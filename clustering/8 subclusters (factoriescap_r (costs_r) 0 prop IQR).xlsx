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20" i="1" l="1"/>
  <c r="D20" i="1"/>
  <c r="C20" i="1"/>
  <c r="B20" i="1"/>
  <c r="E18" i="1"/>
  <c r="D18" i="1"/>
  <c r="C18" i="1"/>
  <c r="B18" i="1"/>
  <c r="E16" i="1"/>
  <c r="D16" i="1"/>
  <c r="C16" i="1"/>
  <c r="B16" i="1"/>
  <c r="E14" i="1"/>
  <c r="D14" i="1"/>
  <c r="C14" i="1"/>
  <c r="B14" i="1"/>
</calcChain>
</file>

<file path=xl/sharedStrings.xml><?xml version="1.0" encoding="utf-8"?>
<sst xmlns="http://schemas.openxmlformats.org/spreadsheetml/2006/main" count="16" uniqueCount="10">
  <si>
    <t>clust</t>
  </si>
  <si>
    <t>factoriescap_r</t>
  </si>
  <si>
    <t>ITcosts_r</t>
  </si>
  <si>
    <t>skvozcosts_r</t>
  </si>
  <si>
    <t>trainingcosts_r</t>
  </si>
  <si>
    <t>factoriescap_s</t>
  </si>
  <si>
    <t>ITcosts_s</t>
  </si>
  <si>
    <t>skvozcosts_s</t>
  </si>
  <si>
    <t>trainingcosts_s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</si>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</sst>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2" fontId="0" fillId="0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1" applyFont="1" applyFill="1" applyAlignment="1">
      <alignment horizontal="center"/>
    </xf>
    <xf numFmtId="9" fontId="0" fillId="3" borderId="0" xfId="1" applyFont="1" applyFill="1" applyAlignment="1">
      <alignment horizontal="center"/>
    </xf>
    <xf numFmtId="0" fontId="4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H30" sqref="H30"/>
    </sheetView>
  </sheetViews>
  <sheetFormatPr defaultRowHeight="15" x14ac:dyDescent="0.25"/>
  <cols>
    <col min="1" max="1" width="12.28515625" customWidth="1"/>
    <col min="2" max="2" width="17.7109375" customWidth="1"/>
    <col min="3" max="3" width="17.140625" customWidth="1"/>
    <col min="4" max="4" width="17.7109375" customWidth="1"/>
    <col min="5" max="5" width="15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117927.2911999995</v>
      </c>
      <c r="C2" s="3">
        <v>1.7948249060713191E-2</v>
      </c>
      <c r="D2" s="3">
        <v>1.403428252722379E-3</v>
      </c>
      <c r="E2" s="3">
        <v>8.7456549404035962E-4</v>
      </c>
    </row>
    <row r="3" spans="1:5" x14ac:dyDescent="0.25">
      <c r="A3" s="2">
        <v>0</v>
      </c>
      <c r="B3" s="2">
        <v>1491186.0673157889</v>
      </c>
      <c r="C3" s="3">
        <v>1.8993495811660481E-2</v>
      </c>
      <c r="D3" s="3">
        <v>2.6296029444390261E-3</v>
      </c>
      <c r="E3" s="3">
        <v>1.129776568089758E-3</v>
      </c>
    </row>
    <row r="4" spans="1:5" x14ac:dyDescent="0.25">
      <c r="A4" s="2">
        <v>1</v>
      </c>
      <c r="B4" s="2">
        <v>960003.35181904677</v>
      </c>
      <c r="C4" s="3">
        <v>7.6268639134485132E-3</v>
      </c>
      <c r="D4" s="3">
        <v>1.9276699166785729E-2</v>
      </c>
      <c r="E4" s="3">
        <v>1.093832813793836E-3</v>
      </c>
    </row>
    <row r="5" spans="1:5" x14ac:dyDescent="0.25">
      <c r="A5" s="2">
        <v>1</v>
      </c>
      <c r="B5" s="2">
        <v>4162810.0760238091</v>
      </c>
      <c r="C5" s="3">
        <v>6.9949507841505984E-3</v>
      </c>
      <c r="D5" s="3">
        <v>1.7376655475476548E-2</v>
      </c>
      <c r="E5" s="3">
        <v>1.192913673099131E-3</v>
      </c>
    </row>
    <row r="6" spans="1:5" x14ac:dyDescent="0.25">
      <c r="A6" s="2">
        <v>2</v>
      </c>
      <c r="B6" s="2">
        <v>445002.36307036981</v>
      </c>
      <c r="C6" s="3">
        <v>8.0460125419670389E-3</v>
      </c>
      <c r="D6" s="3">
        <v>2.9951758856825981E-3</v>
      </c>
      <c r="E6" s="3">
        <v>2.5754441105043159E-3</v>
      </c>
    </row>
    <row r="7" spans="1:5" x14ac:dyDescent="0.25">
      <c r="A7" s="2">
        <v>2</v>
      </c>
      <c r="B7" s="2">
        <v>3396134.1410814808</v>
      </c>
      <c r="C7" s="3">
        <v>6.2793836649756817E-3</v>
      </c>
      <c r="D7" s="3">
        <v>5.4804046081406719E-3</v>
      </c>
      <c r="E7" s="3">
        <v>3.0019384976039251E-3</v>
      </c>
    </row>
    <row r="8" spans="1:5" x14ac:dyDescent="0.25">
      <c r="A8" s="2">
        <v>3</v>
      </c>
      <c r="B8" s="2">
        <v>457094.96860190423</v>
      </c>
      <c r="C8" s="3">
        <v>7.1064079738890531E-3</v>
      </c>
      <c r="D8" s="3">
        <v>2.0790479420874169E-3</v>
      </c>
      <c r="E8" s="3">
        <v>1.0523032585513931E-3</v>
      </c>
    </row>
    <row r="9" spans="1:5" x14ac:dyDescent="0.25">
      <c r="A9" s="2">
        <v>3</v>
      </c>
      <c r="B9" s="2">
        <v>2410768.5110590472</v>
      </c>
      <c r="C9" s="3">
        <v>5.9012093568260506E-3</v>
      </c>
      <c r="D9" s="3">
        <v>2.8461195450637409E-3</v>
      </c>
      <c r="E9" s="3">
        <v>1.05321068457234E-3</v>
      </c>
    </row>
    <row r="10" spans="1:5" x14ac:dyDescent="0.25">
      <c r="A10" s="2"/>
      <c r="B10" s="2"/>
      <c r="C10" s="2"/>
      <c r="D10" s="2"/>
      <c r="E10" s="2"/>
    </row>
    <row r="12" spans="1:5" x14ac:dyDescent="0.25">
      <c r="A12" s="4" t="s">
        <v>0</v>
      </c>
      <c r="B12" s="4" t="s">
        <v>5</v>
      </c>
      <c r="C12" s="4" t="s">
        <v>6</v>
      </c>
      <c r="D12" s="4" t="s">
        <v>7</v>
      </c>
      <c r="E12" s="4" t="s">
        <v>8</v>
      </c>
    </row>
    <row r="13" spans="1:5" x14ac:dyDescent="0.25">
      <c r="A13" s="2">
        <v>0</v>
      </c>
    </row>
    <row r="14" spans="1:5" x14ac:dyDescent="0.25">
      <c r="A14" s="2">
        <v>0</v>
      </c>
      <c r="B14" s="5">
        <f>B3/B2</f>
        <v>12.644961587278409</v>
      </c>
      <c r="C14" s="6">
        <f>(C3/C2)-1</f>
        <v>5.8236697485730016E-2</v>
      </c>
      <c r="D14" s="6">
        <f t="shared" ref="D14:E20" si="0">(D3/D2)-1</f>
        <v>0.87369959193717639</v>
      </c>
      <c r="E14" s="6">
        <f t="shared" si="0"/>
        <v>0.29181470774745755</v>
      </c>
    </row>
    <row r="15" spans="1:5" x14ac:dyDescent="0.25">
      <c r="A15" s="2">
        <v>1</v>
      </c>
      <c r="B15" s="7"/>
      <c r="C15" s="5"/>
      <c r="D15" s="5"/>
      <c r="E15" s="5"/>
    </row>
    <row r="16" spans="1:5" x14ac:dyDescent="0.25">
      <c r="A16" s="2">
        <v>1</v>
      </c>
      <c r="B16" s="7">
        <f>B5/B4</f>
        <v>4.3362453559521184</v>
      </c>
      <c r="C16" s="8">
        <f>(C5/C4)-1</f>
        <v>-8.2853599653673782E-2</v>
      </c>
      <c r="D16" s="8">
        <f t="shared" si="0"/>
        <v>-9.8566859132345974E-2</v>
      </c>
      <c r="E16" s="6">
        <f t="shared" si="0"/>
        <v>9.0581355812177744E-2</v>
      </c>
    </row>
    <row r="17" spans="1:5" x14ac:dyDescent="0.25">
      <c r="A17" s="2">
        <v>2</v>
      </c>
      <c r="B17" s="7"/>
      <c r="C17" s="5"/>
      <c r="D17" s="5"/>
      <c r="E17" s="5"/>
    </row>
    <row r="18" spans="1:5" x14ac:dyDescent="0.25">
      <c r="A18" s="2">
        <v>2</v>
      </c>
      <c r="B18" s="7">
        <f>B7/B6</f>
        <v>7.6317215882838756</v>
      </c>
      <c r="C18" s="8">
        <f>(C7/C6)-1</f>
        <v>-0.21956576226756197</v>
      </c>
      <c r="D18" s="6">
        <f t="shared" si="0"/>
        <v>0.82974383385558403</v>
      </c>
      <c r="E18" s="6">
        <f t="shared" si="0"/>
        <v>0.16560032708925476</v>
      </c>
    </row>
    <row r="19" spans="1:5" x14ac:dyDescent="0.25">
      <c r="A19" s="2">
        <v>3</v>
      </c>
      <c r="B19" s="7"/>
      <c r="C19" s="5"/>
      <c r="D19" s="5"/>
      <c r="E19" s="5"/>
    </row>
    <row r="20" spans="1:5" x14ac:dyDescent="0.25">
      <c r="A20" s="2">
        <v>3</v>
      </c>
      <c r="B20" s="7">
        <f>B9/B8</f>
        <v>5.2741086134305002</v>
      </c>
      <c r="C20" s="8">
        <f>(C9/C8)-1</f>
        <v>-0.16959322086365458</v>
      </c>
      <c r="D20" s="6">
        <f t="shared" si="0"/>
        <v>0.36895330186862596</v>
      </c>
      <c r="E20" s="9">
        <f t="shared" si="0"/>
        <v>8.6232368242988855E-4</v>
      </c>
    </row>
    <row r="22" spans="1:5" x14ac:dyDescent="0.25">
      <c r="A22" s="10" t="s">
        <v>9</v>
      </c>
    </row>
    <row r="23" spans="1:5" x14ac:dyDescent="0.2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</row>
    <row r="24" spans="1:5" x14ac:dyDescent="0.25">
      <c r="A24" s="2">
        <v>0</v>
      </c>
      <c r="B24" s="2">
        <v>344281.6880999998</v>
      </c>
      <c r="C24" s="3">
        <v>1.7557664612523019E-2</v>
      </c>
      <c r="D24" s="3">
        <v>1.114879191324715E-3</v>
      </c>
      <c r="E24" s="3">
        <v>8.9924249847842853E-4</v>
      </c>
    </row>
    <row r="25" spans="1:5" x14ac:dyDescent="0.25">
      <c r="A25" s="2">
        <v>1</v>
      </c>
      <c r="B25" s="2">
        <v>1625020.5812499991</v>
      </c>
      <c r="C25" s="3">
        <v>6.010756636119159E-3</v>
      </c>
      <c r="D25" s="3">
        <v>1.7338986857745899E-2</v>
      </c>
      <c r="E25" s="3">
        <v>1.0748748780202741E-3</v>
      </c>
    </row>
    <row r="26" spans="1:5" x14ac:dyDescent="0.25">
      <c r="A26" s="2">
        <v>2</v>
      </c>
      <c r="B26" s="2">
        <v>1106733.6791999999</v>
      </c>
      <c r="C26" s="3">
        <v>7.2064450482559562E-3</v>
      </c>
      <c r="D26" s="3">
        <v>1.9756721284234472E-3</v>
      </c>
      <c r="E26" s="3">
        <v>2.6195096272892638E-3</v>
      </c>
    </row>
    <row r="27" spans="1:5" x14ac:dyDescent="0.25">
      <c r="A27" s="2">
        <v>3</v>
      </c>
      <c r="B27" s="2">
        <v>805598.14909999946</v>
      </c>
      <c r="C27" s="3">
        <v>6.3401408953920923E-3</v>
      </c>
      <c r="D27" s="3">
        <v>1.642162669737605E-3</v>
      </c>
      <c r="E27" s="3">
        <v>1.0223753930707789E-3</v>
      </c>
    </row>
  </sheetData>
  <conditionalFormatting sqref="B2:B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B2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:C2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:D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4:E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2026-05-04T14:57:23Z</dcterms:created>
  <dcterms:modified xsi:type="dcterms:W3CDTF">2026-05-06T12:23:01Z</dcterms:modified>
</cp:coreProperties>
</file>