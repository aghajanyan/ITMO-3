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0" i="1" l="1"/>
  <c r="D20" i="1"/>
  <c r="C20" i="1"/>
  <c r="E18" i="1"/>
  <c r="D18" i="1"/>
  <c r="C18" i="1"/>
  <c r="E16" i="1"/>
  <c r="D16" i="1"/>
  <c r="C16" i="1"/>
  <c r="D14" i="1"/>
  <c r="E14" i="1"/>
  <c r="C14" i="1"/>
  <c r="B20" i="1" l="1"/>
  <c r="B18" i="1"/>
  <c r="B16" i="1"/>
  <c r="B14" i="1"/>
</calcChain>
</file>

<file path=xl/sharedStrings.xml><?xml version="1.0" encoding="utf-8"?>
<sst xmlns="http://schemas.openxmlformats.org/spreadsheetml/2006/main" count="16" uniqueCount="6">
  <si>
    <t>clust</t>
  </si>
  <si>
    <t>factoriescap_s</t>
  </si>
  <si>
    <t>ITcosts_s</t>
  </si>
  <si>
    <t>skvozcosts_s</t>
  </si>
  <si>
    <t>trainingcosts_s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</si>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</sst>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9" fontId="0" fillId="2" borderId="0" xfId="1" applyFont="1" applyFill="1" applyAlignment="1">
      <alignment horizontal="center"/>
    </xf>
    <xf numFmtId="9" fontId="0" fillId="0" borderId="0" xfId="1" applyFont="1" applyFill="1" applyAlignment="1">
      <alignment horizont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495300</xdr:colOff>
      <xdr:row>0</xdr:row>
      <xdr:rowOff>19050</xdr:rowOff>
    </xdr:from>
    <xdr:to>
      <xdr:col>14</xdr:col>
      <xdr:colOff>323992</xdr:colOff>
      <xdr:row>17</xdr:row>
      <xdr:rowOff>47625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0" y="19050"/>
          <a:ext cx="5315092" cy="3267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activeCell="C22" sqref="C22"/>
    </sheetView>
  </sheetViews>
  <sheetFormatPr defaultRowHeight="15" x14ac:dyDescent="0.25"/>
  <cols>
    <col min="2" max="2" width="19.7109375" customWidth="1"/>
    <col min="3" max="3" width="19.42578125" customWidth="1"/>
    <col min="4" max="4" width="17.42578125" customWidth="1"/>
    <col min="5" max="5" width="16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2">
        <v>513836.84339999908</v>
      </c>
      <c r="C2" s="6">
        <v>3.2040540384835128E-3</v>
      </c>
      <c r="D2" s="6">
        <v>3.6027102385206792E-3</v>
      </c>
      <c r="E2" s="6">
        <v>1.382769540800156E-3</v>
      </c>
    </row>
    <row r="3" spans="1:5" x14ac:dyDescent="0.25">
      <c r="A3" s="2">
        <v>0</v>
      </c>
      <c r="B3" s="2">
        <v>4568912.8562746271</v>
      </c>
      <c r="C3" s="6">
        <v>3.043993965460933E-3</v>
      </c>
      <c r="D3" s="6">
        <v>7.1739340238030731E-3</v>
      </c>
      <c r="E3" s="6">
        <v>1.546349960720892E-3</v>
      </c>
    </row>
    <row r="4" spans="1:5" x14ac:dyDescent="0.25">
      <c r="A4" s="2">
        <v>1</v>
      </c>
      <c r="B4" s="2">
        <v>1169072.66356</v>
      </c>
      <c r="C4" s="6">
        <v>1.4231071957161039E-2</v>
      </c>
      <c r="D4" s="6">
        <v>9.5124144125518263E-3</v>
      </c>
      <c r="E4" s="6">
        <v>8.5056280961609276E-3</v>
      </c>
    </row>
    <row r="5" spans="1:5" x14ac:dyDescent="0.25">
      <c r="A5" s="2">
        <v>1</v>
      </c>
      <c r="B5" s="2">
        <v>3901118.3733799988</v>
      </c>
      <c r="C5" s="6">
        <v>1.4477852829466941E-2</v>
      </c>
      <c r="D5" s="6">
        <v>1.230742909455026E-2</v>
      </c>
      <c r="E5" s="6">
        <v>9.9750357519423107E-3</v>
      </c>
    </row>
    <row r="6" spans="1:5" x14ac:dyDescent="0.25">
      <c r="A6" s="2">
        <v>2</v>
      </c>
      <c r="B6" s="2">
        <v>476236.26529166597</v>
      </c>
      <c r="C6" s="6">
        <v>8.2923793187854276E-3</v>
      </c>
      <c r="D6" s="6">
        <v>3.2726079522927549E-3</v>
      </c>
      <c r="E6" s="6">
        <v>1.4432721746225759E-3</v>
      </c>
    </row>
    <row r="7" spans="1:5" x14ac:dyDescent="0.25">
      <c r="A7" s="2">
        <v>2</v>
      </c>
      <c r="B7" s="2">
        <v>2138222.5147666661</v>
      </c>
      <c r="C7" s="6">
        <v>8.0285881209146755E-3</v>
      </c>
      <c r="D7" s="6">
        <v>3.5810411504599718E-3</v>
      </c>
      <c r="E7" s="6">
        <v>2.3276246028009909E-3</v>
      </c>
    </row>
    <row r="8" spans="1:5" x14ac:dyDescent="0.25">
      <c r="A8" s="2">
        <v>3</v>
      </c>
      <c r="B8" s="2">
        <v>782813.64053333236</v>
      </c>
      <c r="C8" s="6">
        <v>4.3586102450761423E-3</v>
      </c>
      <c r="D8" s="6">
        <v>6.1807776562022222E-2</v>
      </c>
      <c r="E8" s="6">
        <v>1.25370625976207E-3</v>
      </c>
    </row>
    <row r="9" spans="1:5" x14ac:dyDescent="0.25">
      <c r="A9" s="2">
        <v>3</v>
      </c>
      <c r="B9" s="2">
        <v>3167644.9749333318</v>
      </c>
      <c r="C9" s="6">
        <v>6.0248174940261698E-3</v>
      </c>
      <c r="D9" s="6">
        <v>5.837911999034965E-2</v>
      </c>
      <c r="E9" s="6">
        <v>1.2723893622083361E-3</v>
      </c>
    </row>
    <row r="12" spans="1:5" x14ac:dyDescent="0.25">
      <c r="A12" s="3" t="s">
        <v>0</v>
      </c>
      <c r="B12" s="3" t="s">
        <v>1</v>
      </c>
      <c r="C12" s="3" t="s">
        <v>2</v>
      </c>
      <c r="D12" s="3" t="s">
        <v>3</v>
      </c>
      <c r="E12" s="3" t="s">
        <v>4</v>
      </c>
    </row>
    <row r="13" spans="1:5" x14ac:dyDescent="0.25">
      <c r="A13" s="2">
        <v>0</v>
      </c>
    </row>
    <row r="14" spans="1:5" x14ac:dyDescent="0.25">
      <c r="A14" s="2">
        <v>0</v>
      </c>
      <c r="B14" s="4">
        <f>B3/B2</f>
        <v>8.8917579869179058</v>
      </c>
      <c r="C14" s="10">
        <f>(C3/C2)-1</f>
        <v>-4.9955484863899668E-2</v>
      </c>
      <c r="D14" s="9">
        <f t="shared" ref="D14:E20" si="0">(D3/D2)-1</f>
        <v>0.99126034258830265</v>
      </c>
      <c r="E14" s="9">
        <f t="shared" si="0"/>
        <v>0.11829912005877574</v>
      </c>
    </row>
    <row r="15" spans="1:5" x14ac:dyDescent="0.25">
      <c r="A15" s="2">
        <v>1</v>
      </c>
      <c r="B15" s="5"/>
      <c r="C15" s="5"/>
      <c r="D15" s="5"/>
      <c r="E15" s="5"/>
    </row>
    <row r="16" spans="1:5" x14ac:dyDescent="0.25">
      <c r="A16" s="2">
        <v>1</v>
      </c>
      <c r="B16" s="5">
        <f>B5/B4</f>
        <v>3.3369340460844525</v>
      </c>
      <c r="C16" s="9">
        <f>(C5/C4)-1</f>
        <v>1.7340989705397547E-2</v>
      </c>
      <c r="D16" s="9">
        <f t="shared" si="0"/>
        <v>0.29382810302191564</v>
      </c>
      <c r="E16" s="9">
        <f t="shared" si="0"/>
        <v>0.1727571014355318</v>
      </c>
    </row>
    <row r="17" spans="1:5" x14ac:dyDescent="0.25">
      <c r="A17" s="2">
        <v>2</v>
      </c>
      <c r="B17" s="5"/>
      <c r="C17" s="5"/>
      <c r="D17" s="4"/>
      <c r="E17" s="4"/>
    </row>
    <row r="18" spans="1:5" x14ac:dyDescent="0.25">
      <c r="A18" s="2">
        <v>2</v>
      </c>
      <c r="B18" s="5">
        <f>B7/B6</f>
        <v>4.4898355513877837</v>
      </c>
      <c r="C18" s="10">
        <f>(C7/C6)-1</f>
        <v>-3.181127969787434E-2</v>
      </c>
      <c r="D18" s="9">
        <f t="shared" si="0"/>
        <v>9.4246913368016383E-2</v>
      </c>
      <c r="E18" s="9">
        <f t="shared" si="0"/>
        <v>0.61274127204016682</v>
      </c>
    </row>
    <row r="19" spans="1:5" x14ac:dyDescent="0.25">
      <c r="A19" s="2">
        <v>3</v>
      </c>
      <c r="B19" s="5"/>
      <c r="C19" s="5"/>
      <c r="D19" s="4"/>
      <c r="E19" s="4"/>
    </row>
    <row r="20" spans="1:5" x14ac:dyDescent="0.25">
      <c r="A20" s="2">
        <v>3</v>
      </c>
      <c r="B20" s="5">
        <f>B9/B8</f>
        <v>4.046486687144605</v>
      </c>
      <c r="C20" s="9">
        <f>(C9/C8)-1</f>
        <v>0.38227947792127481</v>
      </c>
      <c r="D20" s="10">
        <f t="shared" si="0"/>
        <v>-5.5472899405012877E-2</v>
      </c>
      <c r="E20" s="9">
        <f t="shared" si="0"/>
        <v>1.4902296531415393E-2</v>
      </c>
    </row>
    <row r="23" spans="1:5" x14ac:dyDescent="0.25">
      <c r="A23" s="8" t="s">
        <v>5</v>
      </c>
    </row>
    <row r="24" spans="1:5" x14ac:dyDescent="0.25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</row>
    <row r="25" spans="1:5" x14ac:dyDescent="0.25">
      <c r="A25" s="2">
        <v>0</v>
      </c>
      <c r="B25" s="7">
        <v>1039934.962199999</v>
      </c>
      <c r="C25" s="6">
        <v>2.9568939200096209E-3</v>
      </c>
      <c r="D25" s="6">
        <v>2.5765194972923872E-3</v>
      </c>
      <c r="E25" s="6">
        <v>1.0641046375700089E-3</v>
      </c>
    </row>
    <row r="26" spans="1:5" x14ac:dyDescent="0.25">
      <c r="A26" s="2">
        <v>1</v>
      </c>
      <c r="B26" s="7">
        <v>2686820.6399999992</v>
      </c>
      <c r="C26" s="6">
        <v>1.5160173283880741E-2</v>
      </c>
      <c r="D26" s="6">
        <v>9.6489513212821947E-3</v>
      </c>
      <c r="E26" s="6">
        <v>2.9649214976894202E-3</v>
      </c>
    </row>
    <row r="27" spans="1:5" x14ac:dyDescent="0.25">
      <c r="A27" s="2">
        <v>2</v>
      </c>
      <c r="B27" s="7">
        <v>1039044.479999998</v>
      </c>
      <c r="C27" s="6">
        <v>7.6216305472655774E-3</v>
      </c>
      <c r="D27" s="6">
        <v>1.365428704605655E-3</v>
      </c>
      <c r="E27" s="6">
        <v>1.2338530084869341E-3</v>
      </c>
    </row>
    <row r="28" spans="1:5" x14ac:dyDescent="0.25">
      <c r="A28" s="2">
        <v>3</v>
      </c>
      <c r="B28" s="7">
        <v>1191650.4643999999</v>
      </c>
      <c r="C28" s="6">
        <v>4.3807805911778722E-3</v>
      </c>
      <c r="D28" s="6">
        <v>5.4076639058523807E-2</v>
      </c>
      <c r="E28" s="6">
        <v>1.152625659984912E-3</v>
      </c>
    </row>
  </sheetData>
  <conditionalFormatting sqref="B2:B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5:B2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5:C2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5:D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5:E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2026-04-29T09:26:05Z</dcterms:created>
  <dcterms:modified xsi:type="dcterms:W3CDTF">2026-05-05T07:18:26Z</dcterms:modified>
</cp:coreProperties>
</file>