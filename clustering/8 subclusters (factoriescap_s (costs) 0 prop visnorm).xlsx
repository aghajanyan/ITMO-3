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"/>
    </mc:Choice>
  </mc:AlternateContent>
  <bookViews>
    <workbookView xWindow="0" yWindow="0" windowWidth="28800" windowHeight="1288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20" i="1" l="1"/>
  <c r="D20" i="1"/>
  <c r="C20" i="1"/>
  <c r="B20" i="1"/>
  <c r="E18" i="1"/>
  <c r="D18" i="1"/>
  <c r="C18" i="1"/>
  <c r="B18" i="1"/>
  <c r="E16" i="1"/>
  <c r="D16" i="1"/>
  <c r="C16" i="1"/>
  <c r="B16" i="1"/>
  <c r="B14" i="1"/>
  <c r="D14" i="1"/>
  <c r="E14" i="1"/>
  <c r="C14" i="1"/>
</calcChain>
</file>

<file path=xl/sharedStrings.xml><?xml version="1.0" encoding="utf-8"?>
<sst xmlns="http://schemas.openxmlformats.org/spreadsheetml/2006/main" count="16" uniqueCount="6">
  <si>
    <t>clust</t>
  </si>
  <si>
    <t>factoriescap_s</t>
  </si>
  <si>
    <t>ITcosts_s</t>
  </si>
  <si>
    <t>skvozcosts_s</t>
  </si>
  <si>
    <t>trainingcosts_s</t>
  </si>
  <si>
    <t>Медианы кластеров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</si>
</sst>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%"/>
    <numFmt numFmtId="165" formatCode="0.000%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Fill="1" applyAlignment="1">
      <alignment horizontal="center"/>
    </xf>
    <xf numFmtId="2" fontId="0" fillId="2" borderId="0" xfId="0" applyNumberFormat="1" applyFill="1" applyAlignment="1">
      <alignment horizontal="center"/>
    </xf>
    <xf numFmtId="0" fontId="3" fillId="0" borderId="0" xfId="0" applyFont="1"/>
    <xf numFmtId="165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abSelected="1" workbookViewId="0">
      <selection activeCell="H18" sqref="H18"/>
    </sheetView>
  </sheetViews>
  <sheetFormatPr defaultRowHeight="15" x14ac:dyDescent="0.25"/>
  <cols>
    <col min="2" max="2" width="17.5703125" customWidth="1"/>
    <col min="3" max="3" width="15.7109375" customWidth="1"/>
    <col min="4" max="4" width="15" customWidth="1"/>
    <col min="5" max="5" width="15.57031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>
        <v>0</v>
      </c>
      <c r="B2" s="3">
        <v>494847.27047901019</v>
      </c>
      <c r="C2" s="4">
        <v>2.3614395320195121E-3</v>
      </c>
      <c r="D2" s="4">
        <v>6.8755236621103461E-4</v>
      </c>
      <c r="E2" s="4">
        <v>7.0305306132489799E-4</v>
      </c>
    </row>
    <row r="3" spans="1:5" x14ac:dyDescent="0.25">
      <c r="A3" s="2">
        <v>0</v>
      </c>
      <c r="B3" s="3">
        <v>5137890.7677814802</v>
      </c>
      <c r="C3" s="4">
        <v>5.8827587026286836E-3</v>
      </c>
      <c r="D3" s="4">
        <v>5.7172167306981849E-3</v>
      </c>
      <c r="E3" s="4">
        <v>3.2578372481786981E-3</v>
      </c>
    </row>
    <row r="4" spans="1:5" x14ac:dyDescent="0.25">
      <c r="A4" s="2">
        <v>1</v>
      </c>
      <c r="B4" s="3">
        <v>696644.36444999697</v>
      </c>
      <c r="C4" s="4">
        <v>3.8865980051246071E-3</v>
      </c>
      <c r="D4" s="4">
        <v>5.2561440081365512E-2</v>
      </c>
      <c r="E4" s="4">
        <v>7.8647681063912065E-4</v>
      </c>
    </row>
    <row r="5" spans="1:5" x14ac:dyDescent="0.25">
      <c r="A5" s="2">
        <v>1</v>
      </c>
      <c r="B5" s="3">
        <v>1731990.4654999969</v>
      </c>
      <c r="C5" s="4">
        <v>7.6474050544495797E-3</v>
      </c>
      <c r="D5" s="4">
        <v>8.2459680283814354E-2</v>
      </c>
      <c r="E5" s="4">
        <v>1.6986052410676159E-3</v>
      </c>
    </row>
    <row r="6" spans="1:5" x14ac:dyDescent="0.25">
      <c r="A6" s="2">
        <v>2</v>
      </c>
      <c r="B6" s="3">
        <v>954612.73294285475</v>
      </c>
      <c r="C6" s="4">
        <v>1.2208530216390659E-2</v>
      </c>
      <c r="D6" s="4">
        <v>3.9409780369331817E-3</v>
      </c>
      <c r="E6" s="4">
        <v>1.1826477366159759E-3</v>
      </c>
    </row>
    <row r="7" spans="1:5" x14ac:dyDescent="0.25">
      <c r="A7" s="2">
        <v>2</v>
      </c>
      <c r="B7" s="3">
        <v>3920985.008428568</v>
      </c>
      <c r="C7" s="4">
        <v>1.752384975236905E-2</v>
      </c>
      <c r="D7" s="4">
        <v>1.501027826977259E-2</v>
      </c>
      <c r="E7" s="4">
        <v>1.3185364916054281E-2</v>
      </c>
    </row>
    <row r="8" spans="1:5" x14ac:dyDescent="0.25">
      <c r="A8" s="2">
        <v>3</v>
      </c>
      <c r="B8" s="3">
        <v>1078041.1206333309</v>
      </c>
      <c r="C8" s="4">
        <v>2.6867632207750081E-3</v>
      </c>
      <c r="D8" s="4">
        <v>1.6585148722047159E-2</v>
      </c>
      <c r="E8" s="4">
        <v>7.2172550955266156E-4</v>
      </c>
    </row>
    <row r="9" spans="1:5" x14ac:dyDescent="0.25">
      <c r="A9" s="2">
        <v>3</v>
      </c>
      <c r="B9" s="3">
        <v>14221383.2367</v>
      </c>
      <c r="C9" s="4">
        <v>5.8112421781721874E-3</v>
      </c>
      <c r="D9" s="4">
        <v>2.9819087249808959E-2</v>
      </c>
      <c r="E9" s="4">
        <v>1.1866108407711949E-2</v>
      </c>
    </row>
    <row r="12" spans="1:5" x14ac:dyDescent="0.25">
      <c r="A12" s="1" t="s">
        <v>0</v>
      </c>
      <c r="B12" s="1" t="s">
        <v>1</v>
      </c>
      <c r="C12" s="1" t="s">
        <v>2</v>
      </c>
      <c r="D12" s="1" t="s">
        <v>3</v>
      </c>
      <c r="E12" s="1" t="s">
        <v>4</v>
      </c>
    </row>
    <row r="13" spans="1:5" x14ac:dyDescent="0.25">
      <c r="A13" s="2">
        <v>0</v>
      </c>
    </row>
    <row r="14" spans="1:5" x14ac:dyDescent="0.25">
      <c r="A14" s="2">
        <v>0</v>
      </c>
      <c r="B14" s="5">
        <f>B3/B2</f>
        <v>10.38278085844148</v>
      </c>
      <c r="C14" s="3">
        <f>C3/C2</f>
        <v>2.4911748206390558</v>
      </c>
      <c r="D14" s="6">
        <f t="shared" ref="D14:E20" si="0">D3/D2</f>
        <v>8.3153182385287074</v>
      </c>
      <c r="E14" s="3">
        <f t="shared" si="0"/>
        <v>4.6338426320757771</v>
      </c>
    </row>
    <row r="15" spans="1:5" x14ac:dyDescent="0.25">
      <c r="A15" s="2">
        <v>1</v>
      </c>
      <c r="B15" s="3"/>
      <c r="C15" s="3"/>
      <c r="D15" s="3"/>
      <c r="E15" s="3"/>
    </row>
    <row r="16" spans="1:5" x14ac:dyDescent="0.25">
      <c r="A16" s="2">
        <v>1</v>
      </c>
      <c r="B16" s="3">
        <f>B5/B4</f>
        <v>2.4861903058204011</v>
      </c>
      <c r="C16" s="3">
        <f>C5/C4</f>
        <v>1.9676346883228533</v>
      </c>
      <c r="D16" s="3">
        <f t="shared" si="0"/>
        <v>1.5688246013839449</v>
      </c>
      <c r="E16" s="6">
        <f t="shared" si="0"/>
        <v>2.1597651934419595</v>
      </c>
    </row>
    <row r="17" spans="1:5" x14ac:dyDescent="0.25">
      <c r="A17" s="2">
        <v>2</v>
      </c>
      <c r="B17" s="3"/>
      <c r="C17" s="3"/>
      <c r="D17" s="3"/>
      <c r="E17" s="3"/>
    </row>
    <row r="18" spans="1:5" x14ac:dyDescent="0.25">
      <c r="A18" s="2">
        <v>2</v>
      </c>
      <c r="B18" s="3">
        <f>B7/B6</f>
        <v>4.1074090813151631</v>
      </c>
      <c r="C18" s="3">
        <f>C7/C6</f>
        <v>1.4353775140632625</v>
      </c>
      <c r="D18" s="6">
        <f t="shared" si="0"/>
        <v>3.8087698355846191</v>
      </c>
      <c r="E18" s="3">
        <f t="shared" si="0"/>
        <v>11.149021393118156</v>
      </c>
    </row>
    <row r="19" spans="1:5" x14ac:dyDescent="0.25">
      <c r="A19" s="2">
        <v>3</v>
      </c>
      <c r="B19" s="3"/>
      <c r="C19" s="3"/>
      <c r="D19" s="3"/>
      <c r="E19" s="3"/>
    </row>
    <row r="20" spans="1:5" x14ac:dyDescent="0.25">
      <c r="A20" s="2">
        <v>3</v>
      </c>
      <c r="B20" s="3">
        <f>B9/B8</f>
        <v>13.191874562581786</v>
      </c>
      <c r="C20" s="3">
        <f>C9/C8</f>
        <v>2.1629156351544481</v>
      </c>
      <c r="D20" s="3">
        <f t="shared" si="0"/>
        <v>1.7979390929530532</v>
      </c>
      <c r="E20" s="6">
        <f t="shared" si="0"/>
        <v>16.441303862276914</v>
      </c>
    </row>
    <row r="24" spans="1:5" x14ac:dyDescent="0.25">
      <c r="A24" s="7" t="s">
        <v>5</v>
      </c>
    </row>
    <row r="25" spans="1:5" x14ac:dyDescent="0.25">
      <c r="A25" s="1" t="s">
        <v>0</v>
      </c>
      <c r="B25" s="1" t="s">
        <v>1</v>
      </c>
      <c r="C25" s="1" t="s">
        <v>2</v>
      </c>
      <c r="D25" s="1" t="s">
        <v>3</v>
      </c>
      <c r="E25" s="1" t="s">
        <v>4</v>
      </c>
    </row>
    <row r="26" spans="1:5" x14ac:dyDescent="0.25">
      <c r="A26" s="2">
        <v>0</v>
      </c>
      <c r="B26" s="2">
        <v>993615.17969999847</v>
      </c>
      <c r="C26" s="8">
        <v>3.5324517025561351E-3</v>
      </c>
      <c r="D26" s="8">
        <v>1.673724645056331E-3</v>
      </c>
      <c r="E26" s="8">
        <v>1.197008269244631E-3</v>
      </c>
    </row>
    <row r="27" spans="1:5" x14ac:dyDescent="0.25">
      <c r="A27" s="2">
        <v>1</v>
      </c>
      <c r="B27" s="2">
        <v>1186586.399999998</v>
      </c>
      <c r="C27" s="8">
        <v>4.4260834436022859E-3</v>
      </c>
      <c r="D27" s="8">
        <v>6.3756715528644717E-2</v>
      </c>
      <c r="E27" s="8">
        <v>1.053600347757846E-3</v>
      </c>
    </row>
    <row r="28" spans="1:5" x14ac:dyDescent="0.25">
      <c r="A28" s="2">
        <v>2</v>
      </c>
      <c r="B28" s="2">
        <v>2325159.738599997</v>
      </c>
      <c r="C28" s="8">
        <v>1.4495460515713651E-2</v>
      </c>
      <c r="D28" s="8">
        <v>8.570628609736031E-3</v>
      </c>
      <c r="E28" s="8">
        <v>1.9695490726824071E-3</v>
      </c>
    </row>
    <row r="29" spans="1:5" x14ac:dyDescent="0.25">
      <c r="A29" s="2">
        <v>3</v>
      </c>
      <c r="B29" s="2">
        <v>2422113.7299999991</v>
      </c>
      <c r="C29" s="8">
        <v>4.0288180097590017E-3</v>
      </c>
      <c r="D29" s="8">
        <v>2.1392756463782959E-2</v>
      </c>
      <c r="E29" s="8">
        <v>1.064104637569974E-3</v>
      </c>
    </row>
  </sheetData>
  <conditionalFormatting sqref="B2:B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3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4:B5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6:B7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8:B9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4:C5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:D5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5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6:C7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:D7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:E7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8:C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8:D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8:E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9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:B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6:B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6:C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2026-04-14T09:34:01Z</dcterms:created>
  <dcterms:modified xsi:type="dcterms:W3CDTF">2026-04-15T09:30:14Z</dcterms:modified>
</cp:coreProperties>
</file>