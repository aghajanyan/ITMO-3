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16" i="1" l="1"/>
  <c r="C24" i="1" l="1"/>
  <c r="B30" i="1" l="1"/>
  <c r="B26" i="1"/>
  <c r="B24" i="1"/>
  <c r="E30" i="1"/>
  <c r="D30" i="1"/>
  <c r="C30" i="1"/>
  <c r="E26" i="1"/>
  <c r="D26" i="1"/>
  <c r="C26" i="1"/>
  <c r="D24" i="1"/>
  <c r="E24" i="1"/>
  <c r="C15" i="1"/>
  <c r="D15" i="1"/>
  <c r="E15" i="1"/>
  <c r="D16" i="1"/>
  <c r="E16" i="1"/>
  <c r="C19" i="1"/>
  <c r="D19" i="1"/>
  <c r="E19" i="1"/>
  <c r="C20" i="1"/>
  <c r="D20" i="1"/>
  <c r="E20" i="1"/>
  <c r="C14" i="1"/>
  <c r="D14" i="1"/>
  <c r="E14" i="1"/>
  <c r="D13" i="1"/>
  <c r="E13" i="1"/>
  <c r="C13" i="1"/>
</calcChain>
</file>

<file path=xl/sharedStrings.xml><?xml version="1.0" encoding="utf-8"?>
<sst xmlns="http://schemas.openxmlformats.org/spreadsheetml/2006/main" count="35" uniqueCount="13">
  <si>
    <t>clust</t>
  </si>
  <si>
    <t>factoriescap_s</t>
  </si>
  <si>
    <t>ITcosts_s</t>
  </si>
  <si>
    <t>skvozcosts_s</t>
  </si>
  <si>
    <t>trainingcosts_s</t>
  </si>
  <si>
    <t>0 (lower)</t>
  </si>
  <si>
    <t>0 (upper)</t>
  </si>
  <si>
    <t>1 (lower)</t>
  </si>
  <si>
    <t>1 (upper)</t>
  </si>
  <si>
    <t>2 (lower)</t>
  </si>
  <si>
    <t>2 (upper)</t>
  </si>
  <si>
    <t>3 (lower)</t>
  </si>
  <si>
    <t>3 (upper)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</si>
</sst>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#,##0.00_ ;\-#,##0.00\ "/>
    <numFmt numFmtId="165" formatCode="0.0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F11" sqref="F11"/>
    </sheetView>
  </sheetViews>
  <sheetFormatPr defaultRowHeight="15" x14ac:dyDescent="0.25"/>
  <cols>
    <col min="1" max="1" width="16.42578125" customWidth="1"/>
    <col min="2" max="2" width="15" customWidth="1"/>
    <col min="3" max="3" width="15.7109375" customWidth="1"/>
    <col min="4" max="4" width="16.140625" customWidth="1"/>
    <col min="5" max="5" width="16" customWidth="1"/>
    <col min="7" max="7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25">
      <c r="A2" s="2" t="s">
        <v>5</v>
      </c>
      <c r="B2" s="3">
        <v>893606.96363635943</v>
      </c>
      <c r="C2" s="3">
        <v>1982.412096579623</v>
      </c>
      <c r="D2" s="3">
        <v>3.4338870736360541</v>
      </c>
      <c r="E2" s="3">
        <v>2.382007307636103</v>
      </c>
    </row>
    <row r="3" spans="1:7" x14ac:dyDescent="0.25">
      <c r="A3" s="2" t="s">
        <v>6</v>
      </c>
      <c r="B3" s="3">
        <v>6320027.509090906</v>
      </c>
      <c r="C3" s="3">
        <v>21549.593932658168</v>
      </c>
      <c r="D3" s="3">
        <v>230.75721454549961</v>
      </c>
      <c r="E3" s="3">
        <v>89.051520827136031</v>
      </c>
    </row>
    <row r="4" spans="1:7" x14ac:dyDescent="0.25">
      <c r="A4" s="2" t="s">
        <v>7</v>
      </c>
      <c r="B4" s="3">
        <v>13613152</v>
      </c>
      <c r="C4" s="3">
        <v>28870.29926820999</v>
      </c>
      <c r="D4" s="3">
        <v>4801.8645655200007</v>
      </c>
      <c r="E4" s="3">
        <v>6.7763591199995874</v>
      </c>
    </row>
    <row r="5" spans="1:7" x14ac:dyDescent="0.25">
      <c r="A5" s="2" t="s">
        <v>8</v>
      </c>
      <c r="B5" s="3">
        <v>14090596.499999991</v>
      </c>
      <c r="C5" s="3">
        <v>38217.517777599991</v>
      </c>
      <c r="D5" s="3">
        <v>5240.6774820000001</v>
      </c>
      <c r="E5" s="3">
        <v>12.22452427999966</v>
      </c>
    </row>
    <row r="6" spans="1:7" x14ac:dyDescent="0.25">
      <c r="A6" s="2" t="s">
        <v>9</v>
      </c>
      <c r="B6" s="3">
        <v>723904.99999999453</v>
      </c>
      <c r="C6" s="3">
        <v>9537.5395684799951</v>
      </c>
      <c r="D6" s="3">
        <v>0.21320964000000001</v>
      </c>
      <c r="E6" s="3">
        <v>6388.6231835999988</v>
      </c>
    </row>
    <row r="7" spans="1:7" x14ac:dyDescent="0.25">
      <c r="A7" s="2" t="s">
        <v>10</v>
      </c>
      <c r="B7" s="3">
        <v>23598403</v>
      </c>
      <c r="C7" s="3">
        <v>61599.78433853999</v>
      </c>
      <c r="D7" s="3">
        <v>1184.0482836000001</v>
      </c>
      <c r="E7" s="3">
        <v>6438.3812715599997</v>
      </c>
    </row>
    <row r="8" spans="1:7" x14ac:dyDescent="0.25">
      <c r="A8" s="2" t="s">
        <v>11</v>
      </c>
      <c r="B8" s="3">
        <v>56497978.5</v>
      </c>
      <c r="C8" s="3">
        <v>202674.0021662775</v>
      </c>
      <c r="D8" s="3">
        <v>1055.15352575</v>
      </c>
      <c r="E8" s="3">
        <v>478.83962597999982</v>
      </c>
    </row>
    <row r="9" spans="1:7" x14ac:dyDescent="0.25">
      <c r="A9" s="2" t="s">
        <v>12</v>
      </c>
      <c r="B9" s="3">
        <v>80948674</v>
      </c>
      <c r="C9" s="3">
        <v>247098.16465481001</v>
      </c>
      <c r="D9" s="3">
        <v>6773.9100607100008</v>
      </c>
      <c r="E9" s="3">
        <v>1078.241388214999</v>
      </c>
    </row>
    <row r="12" spans="1:7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</row>
    <row r="13" spans="1:7" x14ac:dyDescent="0.25">
      <c r="A13" s="2" t="s">
        <v>5</v>
      </c>
      <c r="B13" s="3"/>
      <c r="C13" s="5">
        <f>C2/$B2</f>
        <v>2.2184385051259932E-3</v>
      </c>
      <c r="D13" s="5">
        <f t="shared" ref="D13:E14" si="0">D2/$B2</f>
        <v>3.8427264036333374E-6</v>
      </c>
      <c r="E13" s="5">
        <f t="shared" si="0"/>
        <v>2.6656096075426586E-6</v>
      </c>
    </row>
    <row r="14" spans="1:7" x14ac:dyDescent="0.25">
      <c r="A14" s="2" t="s">
        <v>6</v>
      </c>
      <c r="B14" s="3"/>
      <c r="C14" s="5">
        <f>C3/$B3</f>
        <v>3.4097310338698089E-3</v>
      </c>
      <c r="D14" s="5">
        <f t="shared" si="0"/>
        <v>3.6512058565183761E-5</v>
      </c>
      <c r="E14" s="5">
        <f t="shared" si="0"/>
        <v>1.4090369179412876E-5</v>
      </c>
      <c r="G14" s="2"/>
    </row>
    <row r="15" spans="1:7" x14ac:dyDescent="0.25">
      <c r="A15" s="2" t="s">
        <v>7</v>
      </c>
      <c r="B15" s="3"/>
      <c r="C15" s="5">
        <f t="shared" ref="C15:E15" si="1">C4/$B4</f>
        <v>2.1207652179458503E-3</v>
      </c>
      <c r="D15" s="5">
        <f t="shared" si="1"/>
        <v>3.5273715929418851E-4</v>
      </c>
      <c r="E15" s="5">
        <f t="shared" si="1"/>
        <v>4.9778031715208846E-7</v>
      </c>
      <c r="G15" s="2"/>
    </row>
    <row r="16" spans="1:7" x14ac:dyDescent="0.25">
      <c r="A16" s="2" t="s">
        <v>8</v>
      </c>
      <c r="B16" s="3"/>
      <c r="C16" s="5">
        <f>C5/$B5</f>
        <v>2.7122711077277686E-3</v>
      </c>
      <c r="D16" s="5">
        <f t="shared" ref="C16:E16" si="2">D5/$B5</f>
        <v>3.7192729789686357E-4</v>
      </c>
      <c r="E16" s="5">
        <f t="shared" si="2"/>
        <v>8.6756613036216516E-7</v>
      </c>
    </row>
    <row r="17" spans="1:5" x14ac:dyDescent="0.25">
      <c r="A17" s="2"/>
      <c r="B17" s="3"/>
      <c r="C17" s="5"/>
      <c r="D17" s="5"/>
      <c r="E17" s="5"/>
    </row>
    <row r="18" spans="1:5" x14ac:dyDescent="0.25">
      <c r="A18" s="2"/>
      <c r="B18" s="3"/>
      <c r="C18" s="5"/>
      <c r="D18" s="5"/>
      <c r="E18" s="5"/>
    </row>
    <row r="19" spans="1:5" x14ac:dyDescent="0.25">
      <c r="A19" s="2" t="s">
        <v>11</v>
      </c>
      <c r="B19" s="3"/>
      <c r="C19" s="5">
        <f t="shared" ref="C19:E19" si="3">C8/$B8</f>
        <v>3.5872788292111634E-3</v>
      </c>
      <c r="D19" s="5">
        <f t="shared" si="3"/>
        <v>1.8675951844011552E-5</v>
      </c>
      <c r="E19" s="5">
        <f t="shared" si="3"/>
        <v>8.4753408651603309E-6</v>
      </c>
    </row>
    <row r="20" spans="1:5" x14ac:dyDescent="0.25">
      <c r="A20" s="2" t="s">
        <v>12</v>
      </c>
      <c r="B20" s="3"/>
      <c r="C20" s="5">
        <f t="shared" ref="C20:E20" si="4">C9/$B9</f>
        <v>3.0525288734786441E-3</v>
      </c>
      <c r="D20" s="5">
        <f t="shared" si="4"/>
        <v>8.3681544440246183E-5</v>
      </c>
      <c r="E20" s="5">
        <f t="shared" si="4"/>
        <v>1.3320062391818784E-5</v>
      </c>
    </row>
    <row r="22" spans="1:5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</row>
    <row r="23" spans="1:5" x14ac:dyDescent="0.25">
      <c r="A23" s="2" t="s">
        <v>5</v>
      </c>
      <c r="B23" s="2">
        <v>0</v>
      </c>
      <c r="C23" s="2">
        <v>0</v>
      </c>
      <c r="D23" s="2">
        <v>0</v>
      </c>
      <c r="E23" s="2">
        <v>0</v>
      </c>
    </row>
    <row r="24" spans="1:5" x14ac:dyDescent="0.25">
      <c r="A24" s="2" t="s">
        <v>6</v>
      </c>
      <c r="B24" s="4">
        <f>B3/B2</f>
        <v>7.0724913371005806</v>
      </c>
      <c r="C24" s="4">
        <f>C14/C13</f>
        <v>1.5369959663029551</v>
      </c>
      <c r="D24" s="4">
        <f t="shared" ref="D24:E24" si="5">D14/D13</f>
        <v>9.5016024379620774</v>
      </c>
      <c r="E24" s="4">
        <f t="shared" si="5"/>
        <v>5.2859837913033116</v>
      </c>
    </row>
    <row r="25" spans="1:5" x14ac:dyDescent="0.25">
      <c r="A25" s="2" t="s">
        <v>7</v>
      </c>
      <c r="B25" s="2">
        <v>0</v>
      </c>
      <c r="C25" s="2">
        <v>0</v>
      </c>
      <c r="D25" s="2">
        <v>0</v>
      </c>
      <c r="E25" s="2">
        <v>0</v>
      </c>
    </row>
    <row r="26" spans="1:5" x14ac:dyDescent="0.25">
      <c r="A26" s="2" t="s">
        <v>8</v>
      </c>
      <c r="B26" s="4">
        <f>B5/B4</f>
        <v>1.035072296261732</v>
      </c>
      <c r="C26" s="4">
        <f>C16/C15</f>
        <v>1.2789115385223284</v>
      </c>
      <c r="D26" s="4">
        <f t="shared" ref="D26:E26" si="6">D16/D15</f>
        <v>1.0544035072490623</v>
      </c>
      <c r="E26" s="4">
        <f t="shared" si="6"/>
        <v>1.7428694957761754</v>
      </c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4"/>
      <c r="C28" s="4"/>
      <c r="D28" s="4"/>
      <c r="E28" s="4"/>
    </row>
    <row r="29" spans="1:5" x14ac:dyDescent="0.25">
      <c r="A29" s="2" t="s">
        <v>11</v>
      </c>
      <c r="B29" s="2">
        <v>0</v>
      </c>
      <c r="C29" s="2">
        <v>0</v>
      </c>
      <c r="D29" s="2">
        <v>0</v>
      </c>
      <c r="E29" s="2">
        <v>0</v>
      </c>
    </row>
    <row r="30" spans="1:5" x14ac:dyDescent="0.25">
      <c r="A30" s="2" t="s">
        <v>12</v>
      </c>
      <c r="B30" s="4">
        <f>B9/B8</f>
        <v>1.4327711565821775</v>
      </c>
      <c r="C30" s="4">
        <f>C20/C19</f>
        <v>0.85093158876358943</v>
      </c>
      <c r="D30" s="4">
        <f t="shared" ref="D30:E30" si="7">D20/D19</f>
        <v>4.4807110844569182</v>
      </c>
      <c r="E30" s="4">
        <f t="shared" si="7"/>
        <v>1.5716255668929728</v>
      </c>
    </row>
  </sheetData>
  <conditionalFormatting sqref="B2:B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B2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2026-04-10T10:47:24Z</dcterms:created>
  <dcterms:modified xsi:type="dcterms:W3CDTF">2026-04-13T07:30:10Z</dcterms:modified>
</cp:coreProperties>
</file>