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clustering\"/>
    </mc:Choice>
  </mc:AlternateContent>
  <bookViews>
    <workbookView xWindow="0" yWindow="0" windowWidth="28800" windowHeight="1288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E31" i="1" l="1"/>
  <c r="D31" i="1"/>
  <c r="C31" i="1"/>
  <c r="B31" i="1"/>
  <c r="E29" i="1"/>
  <c r="D29" i="1"/>
  <c r="C29" i="1"/>
  <c r="B29" i="1"/>
  <c r="E27" i="1"/>
  <c r="D27" i="1"/>
  <c r="C27" i="1"/>
  <c r="B27" i="1"/>
  <c r="E25" i="1"/>
  <c r="D25" i="1"/>
  <c r="C25" i="1"/>
  <c r="B25" i="1"/>
  <c r="C14" i="1"/>
  <c r="C15" i="1"/>
  <c r="C16" i="1"/>
  <c r="C17" i="1"/>
  <c r="C18" i="1"/>
  <c r="C19" i="1"/>
  <c r="C20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E13" i="1"/>
  <c r="D13" i="1"/>
  <c r="C13" i="1"/>
</calcChain>
</file>

<file path=xl/sharedStrings.xml><?xml version="1.0" encoding="utf-8"?>
<sst xmlns="http://schemas.openxmlformats.org/spreadsheetml/2006/main" count="21" uniqueCount="6">
  <si>
    <t>clust</t>
  </si>
  <si>
    <t>factoriescap_s</t>
  </si>
  <si>
    <t>ITcosts_s</t>
  </si>
  <si>
    <t>skvozcosts_s</t>
  </si>
  <si>
    <t>trainingcosts_s</t>
  </si>
  <si>
    <t>Медианы кластеров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</si>
</sst>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₽_-;\-* #,##0.00\ _₽_-;_-* &quot;-&quot;??\ _₽_-;_-@_-"/>
    <numFmt numFmtId="164" formatCode="0.0000%"/>
    <numFmt numFmtId="165" formatCode="#,##0.00_ ;\-#,##0.00\ 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top"/>
    </xf>
    <xf numFmtId="164" fontId="0" fillId="0" borderId="0" xfId="2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applyFill="1" applyAlignment="1">
      <alignment horizontal="center"/>
    </xf>
    <xf numFmtId="165" fontId="0" fillId="2" borderId="0" xfId="1" applyNumberFormat="1" applyFont="1" applyFill="1" applyAlignment="1">
      <alignment horizontal="center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581025</xdr:colOff>
      <xdr:row>0</xdr:row>
      <xdr:rowOff>142876</xdr:rowOff>
    </xdr:from>
    <xdr:to>
      <xdr:col>13</xdr:col>
      <xdr:colOff>381000</xdr:colOff>
      <xdr:row>18</xdr:row>
      <xdr:rowOff>77972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0675" y="142876"/>
          <a:ext cx="4676775" cy="33640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abSelected="1" workbookViewId="0">
      <selection activeCell="H25" sqref="H25"/>
    </sheetView>
  </sheetViews>
  <sheetFormatPr defaultRowHeight="15" x14ac:dyDescent="0.25"/>
  <cols>
    <col min="2" max="2" width="17.7109375" customWidth="1"/>
    <col min="3" max="3" width="13.28515625" customWidth="1"/>
    <col min="4" max="4" width="16.42578125" customWidth="1"/>
    <col min="5" max="5" width="15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0</v>
      </c>
      <c r="B2" s="3">
        <v>421321.20154216769</v>
      </c>
      <c r="C2" s="3">
        <v>2066.9744852857798</v>
      </c>
      <c r="D2" s="3">
        <v>15.995602130120419</v>
      </c>
      <c r="E2" s="3">
        <v>6.6762750934939357</v>
      </c>
    </row>
    <row r="3" spans="1:5" x14ac:dyDescent="0.25">
      <c r="A3" s="2">
        <v>0</v>
      </c>
      <c r="B3" s="3">
        <v>1676337.0987590351</v>
      </c>
      <c r="C3" s="3">
        <v>6294.4716849843944</v>
      </c>
      <c r="D3" s="3">
        <v>42.504032799758981</v>
      </c>
      <c r="E3" s="3">
        <v>16.181911727349359</v>
      </c>
    </row>
    <row r="4" spans="1:5" x14ac:dyDescent="0.25">
      <c r="A4" s="2">
        <v>1</v>
      </c>
      <c r="B4" s="3">
        <v>3333974.5259499992</v>
      </c>
      <c r="C4" s="3">
        <v>45298.07010474</v>
      </c>
      <c r="D4" s="3">
        <v>659.80761179500018</v>
      </c>
      <c r="E4" s="3">
        <v>87.214838829999962</v>
      </c>
    </row>
    <row r="5" spans="1:5" x14ac:dyDescent="0.25">
      <c r="A5" s="2">
        <v>1</v>
      </c>
      <c r="B5" s="3">
        <v>12043105.263075</v>
      </c>
      <c r="C5" s="3">
        <v>44281.235842734372</v>
      </c>
      <c r="D5" s="3">
        <v>594.87632481062519</v>
      </c>
      <c r="E5" s="3">
        <v>53.160015121874963</v>
      </c>
    </row>
    <row r="6" spans="1:5" x14ac:dyDescent="0.25">
      <c r="A6" s="2">
        <v>2</v>
      </c>
      <c r="B6" s="3">
        <v>1932754.7710999991</v>
      </c>
      <c r="C6" s="3">
        <v>21485.801442642849</v>
      </c>
      <c r="D6" s="3">
        <v>184.50388433428569</v>
      </c>
      <c r="E6" s="3">
        <v>22.86619082428567</v>
      </c>
    </row>
    <row r="7" spans="1:5" x14ac:dyDescent="0.25">
      <c r="A7" s="2">
        <v>2</v>
      </c>
      <c r="B7" s="3">
        <v>8949999.3270999994</v>
      </c>
      <c r="C7" s="3">
        <v>27807.543530828571</v>
      </c>
      <c r="D7" s="3">
        <v>158.57786282285721</v>
      </c>
      <c r="E7" s="3">
        <v>21.830742174285682</v>
      </c>
    </row>
    <row r="8" spans="1:5" x14ac:dyDescent="0.25">
      <c r="A8" s="2">
        <v>3</v>
      </c>
      <c r="B8" s="3">
        <v>2317569.2068499988</v>
      </c>
      <c r="C8" s="3">
        <v>41213.268641934999</v>
      </c>
      <c r="D8" s="3">
        <v>361.17437008500002</v>
      </c>
      <c r="E8" s="3">
        <v>594.72329717499997</v>
      </c>
    </row>
    <row r="9" spans="1:5" x14ac:dyDescent="0.25">
      <c r="A9" s="2">
        <v>3</v>
      </c>
      <c r="B9" s="3">
        <v>4635680.0256000003</v>
      </c>
      <c r="C9" s="3">
        <v>64392.527413990007</v>
      </c>
      <c r="D9" s="3">
        <v>794.88803668000003</v>
      </c>
      <c r="E9" s="3">
        <v>817.28275148</v>
      </c>
    </row>
    <row r="12" spans="1:5" x14ac:dyDescent="0.25">
      <c r="A12" s="4" t="s">
        <v>0</v>
      </c>
      <c r="B12" s="4" t="s">
        <v>1</v>
      </c>
      <c r="C12" s="4" t="s">
        <v>2</v>
      </c>
      <c r="D12" s="4" t="s">
        <v>3</v>
      </c>
      <c r="E12" s="4" t="s">
        <v>4</v>
      </c>
    </row>
    <row r="13" spans="1:5" x14ac:dyDescent="0.25">
      <c r="A13" s="2">
        <v>0</v>
      </c>
      <c r="C13" s="5">
        <f>C2/$B2</f>
        <v>4.9059351338598799E-3</v>
      </c>
      <c r="D13" s="5">
        <f>D2/$C2</f>
        <v>7.7386548522919325E-3</v>
      </c>
      <c r="E13" s="5">
        <f>E2/$C2</f>
        <v>3.2299746034701897E-3</v>
      </c>
    </row>
    <row r="14" spans="1:5" x14ac:dyDescent="0.25">
      <c r="A14" s="2">
        <v>0</v>
      </c>
      <c r="C14" s="5">
        <f t="shared" ref="C14:C20" si="0">C3/$B3</f>
        <v>3.7548961301662348E-3</v>
      </c>
      <c r="D14" s="5">
        <f t="shared" ref="D14:E14" si="1">D3/$C3</f>
        <v>6.7525973468358464E-3</v>
      </c>
      <c r="E14" s="5">
        <f t="shared" si="1"/>
        <v>2.5708133322692797E-3</v>
      </c>
    </row>
    <row r="15" spans="1:5" x14ac:dyDescent="0.25">
      <c r="A15" s="2">
        <v>1</v>
      </c>
      <c r="C15" s="5">
        <f t="shared" si="0"/>
        <v>1.3586807503225461E-2</v>
      </c>
      <c r="D15" s="5">
        <f t="shared" ref="D15:E15" si="2">D4/$C4</f>
        <v>1.4565909988424821E-2</v>
      </c>
      <c r="E15" s="5">
        <f t="shared" si="2"/>
        <v>1.9253544053496835E-3</v>
      </c>
    </row>
    <row r="16" spans="1:5" x14ac:dyDescent="0.25">
      <c r="A16" s="2">
        <v>1</v>
      </c>
      <c r="C16" s="5">
        <f t="shared" si="0"/>
        <v>3.6768951923474196E-3</v>
      </c>
      <c r="D16" s="5">
        <f t="shared" ref="D16:E16" si="3">D5/$C5</f>
        <v>1.3434049738885777E-2</v>
      </c>
      <c r="E16" s="5">
        <f t="shared" si="3"/>
        <v>1.2005088410511789E-3</v>
      </c>
    </row>
    <row r="17" spans="1:5" x14ac:dyDescent="0.25">
      <c r="A17" s="2">
        <v>2</v>
      </c>
      <c r="C17" s="5">
        <f t="shared" si="0"/>
        <v>1.1116672308310753E-2</v>
      </c>
      <c r="D17" s="5">
        <f t="shared" ref="D17:E17" si="4">D6/$C6</f>
        <v>8.5872470164459862E-3</v>
      </c>
      <c r="E17" s="5">
        <f t="shared" si="4"/>
        <v>1.0642465856034193E-3</v>
      </c>
    </row>
    <row r="18" spans="1:5" x14ac:dyDescent="0.25">
      <c r="A18" s="2">
        <v>2</v>
      </c>
      <c r="C18" s="5">
        <f t="shared" si="0"/>
        <v>3.1069883376001143E-3</v>
      </c>
      <c r="D18" s="5">
        <f t="shared" ref="D18:E18" si="5">D7/$C7</f>
        <v>5.7026922441765259E-3</v>
      </c>
      <c r="E18" s="5">
        <f t="shared" si="5"/>
        <v>7.8506546793977812E-4</v>
      </c>
    </row>
    <row r="19" spans="1:5" x14ac:dyDescent="0.25">
      <c r="A19" s="2">
        <v>3</v>
      </c>
      <c r="C19" s="5">
        <f t="shared" si="0"/>
        <v>1.7782972141725761E-2</v>
      </c>
      <c r="D19" s="5">
        <f t="shared" ref="D19:E19" si="6">D8/$C8</f>
        <v>8.7635458673011139E-3</v>
      </c>
      <c r="E19" s="5">
        <f t="shared" si="6"/>
        <v>1.4430384115902466E-2</v>
      </c>
    </row>
    <row r="20" spans="1:5" x14ac:dyDescent="0.25">
      <c r="A20" s="2">
        <v>3</v>
      </c>
      <c r="C20" s="5">
        <f t="shared" si="0"/>
        <v>1.3890632454869579E-2</v>
      </c>
      <c r="D20" s="5">
        <f t="shared" ref="D20:E20" si="7">D9/$C9</f>
        <v>1.2344414307106411E-2</v>
      </c>
      <c r="E20" s="5">
        <f t="shared" si="7"/>
        <v>1.269219868053255E-2</v>
      </c>
    </row>
    <row r="21" spans="1:5" x14ac:dyDescent="0.25">
      <c r="D21" s="5"/>
      <c r="E21" s="5"/>
    </row>
    <row r="23" spans="1:5" x14ac:dyDescent="0.25">
      <c r="A23" s="4" t="s">
        <v>0</v>
      </c>
      <c r="B23" s="4" t="s">
        <v>1</v>
      </c>
      <c r="C23" s="4" t="s">
        <v>2</v>
      </c>
      <c r="D23" s="4" t="s">
        <v>3</v>
      </c>
      <c r="E23" s="4" t="s">
        <v>4</v>
      </c>
    </row>
    <row r="24" spans="1:5" x14ac:dyDescent="0.25">
      <c r="A24" s="2">
        <v>0</v>
      </c>
      <c r="B24" s="2"/>
      <c r="C24" s="2"/>
      <c r="D24" s="2"/>
      <c r="E24" s="2"/>
    </row>
    <row r="25" spans="1:5" x14ac:dyDescent="0.25">
      <c r="A25" s="2">
        <v>0</v>
      </c>
      <c r="B25" s="6">
        <f>B3/B2</f>
        <v>3.9787627411654474</v>
      </c>
      <c r="C25" s="6">
        <f>C14/C13</f>
        <v>0.76537826687732147</v>
      </c>
      <c r="D25" s="6">
        <f>D14/D13</f>
        <v>0.87258024498094156</v>
      </c>
      <c r="E25" s="6">
        <f>E14/E13</f>
        <v>0.79592369844248112</v>
      </c>
    </row>
    <row r="26" spans="1:5" x14ac:dyDescent="0.25">
      <c r="A26" s="2">
        <v>1</v>
      </c>
      <c r="B26" s="2"/>
      <c r="C26" s="2"/>
      <c r="D26" s="7"/>
      <c r="E26" s="7"/>
    </row>
    <row r="27" spans="1:5" x14ac:dyDescent="0.25">
      <c r="A27" s="2">
        <v>1</v>
      </c>
      <c r="B27" s="6">
        <f>B5/B4</f>
        <v>3.6122367370648631</v>
      </c>
      <c r="C27" s="6">
        <f>C16/C15</f>
        <v>0.27062245427960452</v>
      </c>
      <c r="D27" s="6">
        <f>D16/D15</f>
        <v>0.92229388686058711</v>
      </c>
      <c r="E27" s="6">
        <f>E16/E15</f>
        <v>0.62352616106183423</v>
      </c>
    </row>
    <row r="28" spans="1:5" x14ac:dyDescent="0.25">
      <c r="A28" s="2">
        <v>2</v>
      </c>
      <c r="B28" s="2"/>
      <c r="C28" s="2"/>
      <c r="D28" s="7"/>
      <c r="E28" s="7"/>
    </row>
    <row r="29" spans="1:5" x14ac:dyDescent="0.25">
      <c r="A29" s="2">
        <v>2</v>
      </c>
      <c r="B29" s="6">
        <f>B7/B6</f>
        <v>4.6306957617837048</v>
      </c>
      <c r="C29" s="6">
        <f>C18/C17</f>
        <v>0.27948906394203504</v>
      </c>
      <c r="D29" s="6">
        <f>D18/D17</f>
        <v>0.6640885295665695</v>
      </c>
      <c r="E29" s="6">
        <f>E18/E17</f>
        <v>0.7376725267994656</v>
      </c>
    </row>
    <row r="30" spans="1:5" x14ac:dyDescent="0.25">
      <c r="A30" s="2">
        <v>3</v>
      </c>
    </row>
    <row r="31" spans="1:5" x14ac:dyDescent="0.25">
      <c r="A31" s="2">
        <v>3</v>
      </c>
      <c r="B31" s="6">
        <f>B9/B8</f>
        <v>2.000233698263854</v>
      </c>
      <c r="C31" s="6">
        <f>C20/C19</f>
        <v>0.78111984566836046</v>
      </c>
      <c r="D31" s="8">
        <f>D20/D19</f>
        <v>1.4086095393379949</v>
      </c>
      <c r="E31" s="6">
        <f>E20/E19</f>
        <v>0.87954683524644273</v>
      </c>
    </row>
    <row r="34" spans="1:5" x14ac:dyDescent="0.25">
      <c r="A34" t="s">
        <v>5</v>
      </c>
    </row>
    <row r="35" spans="1:5" x14ac:dyDescent="0.2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</row>
    <row r="36" spans="1:5" x14ac:dyDescent="0.25">
      <c r="A36" s="2">
        <v>0</v>
      </c>
      <c r="B36" s="2">
        <v>776820.72219999915</v>
      </c>
      <c r="C36" s="2">
        <v>2819.9111866499979</v>
      </c>
      <c r="D36" s="2">
        <v>5.0002473499999427</v>
      </c>
      <c r="E36" s="2">
        <v>3.8209490699999709</v>
      </c>
    </row>
    <row r="37" spans="1:5" x14ac:dyDescent="0.25">
      <c r="A37" s="2">
        <v>1</v>
      </c>
      <c r="B37" s="2">
        <v>4750155.5530000003</v>
      </c>
      <c r="C37" s="2">
        <v>49794.642191999999</v>
      </c>
      <c r="D37" s="2">
        <v>553.93648592000011</v>
      </c>
      <c r="E37" s="2">
        <v>55.799202919999964</v>
      </c>
    </row>
    <row r="38" spans="1:5" x14ac:dyDescent="0.25">
      <c r="A38" s="2">
        <v>2</v>
      </c>
      <c r="B38" s="2">
        <v>3580372.4543999992</v>
      </c>
      <c r="C38" s="2">
        <v>24111.565200000001</v>
      </c>
      <c r="D38" s="2">
        <v>74.500936019999898</v>
      </c>
      <c r="E38" s="2">
        <v>17.19650163999999</v>
      </c>
    </row>
    <row r="39" spans="1:5" x14ac:dyDescent="0.25">
      <c r="A39" s="2">
        <v>3</v>
      </c>
      <c r="B39" s="2">
        <v>3368911.379399999</v>
      </c>
      <c r="C39" s="2">
        <v>57596.7124071</v>
      </c>
      <c r="D39" s="2">
        <v>523.84824000000015</v>
      </c>
      <c r="E39" s="2">
        <v>759.04169039999988</v>
      </c>
    </row>
  </sheetData>
  <conditionalFormatting sqref="B2:B9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C9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9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9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6:B39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6:C39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36:D39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6:E39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3:C20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3:D20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3:E2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2026-04-29T09:46:51Z</dcterms:created>
  <dcterms:modified xsi:type="dcterms:W3CDTF">2026-04-29T09:58:26Z</dcterms:modified>
</cp:coreProperties>
</file>