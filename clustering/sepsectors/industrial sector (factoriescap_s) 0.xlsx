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bert\.spyder-py3\ITMO-3\clustering\sepsectors\"/>
    </mc:Choice>
  </mc:AlternateContent>
  <bookViews>
    <workbookView xWindow="0" yWindow="0" windowWidth="28800" windowHeight="12885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G80" i="1" l="1"/>
  <c r="F80" i="1"/>
  <c r="E80" i="1"/>
  <c r="D80" i="1"/>
  <c r="E78" i="1"/>
  <c r="F78" i="1"/>
  <c r="G78" i="1"/>
  <c r="D78" i="1"/>
  <c r="E77" i="1"/>
  <c r="F77" i="1"/>
  <c r="G77" i="1"/>
  <c r="D77" i="1"/>
  <c r="D74" i="1"/>
</calcChain>
</file>

<file path=xl/sharedStrings.xml><?xml version="1.0" encoding="utf-8"?>
<sst xmlns="http://schemas.openxmlformats.org/spreadsheetml/2006/main" count="168" uniqueCount="57">
  <si>
    <t>sector</t>
  </si>
  <si>
    <t>okved2</t>
  </si>
  <si>
    <t>year</t>
  </si>
  <si>
    <t>factoriescap_s</t>
  </si>
  <si>
    <t>ITcosts_s</t>
  </si>
  <si>
    <t>skvozcosts_s</t>
  </si>
  <si>
    <t>trainingcosts_s</t>
  </si>
  <si>
    <t>Производство пищевых продуктов</t>
  </si>
  <si>
    <t>10</t>
  </si>
  <si>
    <t>Производство текстильных изделий</t>
  </si>
  <si>
    <t>13</t>
  </si>
  <si>
    <t>Производство одежды</t>
  </si>
  <si>
    <t>14</t>
  </si>
  <si>
    <t>Обработка древесины и производство изделий из дерева и пробки, кроме мебели, производство изделий из соломки и материалов для плетения</t>
  </si>
  <si>
    <t>16</t>
  </si>
  <si>
    <t>Производство бумаги и бумажных изделий</t>
  </si>
  <si>
    <t>17</t>
  </si>
  <si>
    <t>Деятельность полиграфическая и копирование носителей информации</t>
  </si>
  <si>
    <t>18</t>
  </si>
  <si>
    <t>Производство кокса и нефтепродуктов</t>
  </si>
  <si>
    <t>19</t>
  </si>
  <si>
    <t>Производство химических веществ и химических продуктов</t>
  </si>
  <si>
    <t>20</t>
  </si>
  <si>
    <t>Производство лекарственных средств и материалов, применяемых в медицинских целях и ветеринарии</t>
  </si>
  <si>
    <t>21</t>
  </si>
  <si>
    <t>Производство резиновых и пластмассовых изделий</t>
  </si>
  <si>
    <t>22</t>
  </si>
  <si>
    <t>Производство прочей неметаллической минеральной продукции</t>
  </si>
  <si>
    <t>23</t>
  </si>
  <si>
    <t>Производство металлургическое</t>
  </si>
  <si>
    <t>24</t>
  </si>
  <si>
    <t>Производство готовых металлических изделий, кроме машин и оборудования</t>
  </si>
  <si>
    <t>25</t>
  </si>
  <si>
    <t>Производство компьютеров, электронных и оптических изделий</t>
  </si>
  <si>
    <t>26</t>
  </si>
  <si>
    <t>Производство электрического оборудования</t>
  </si>
  <si>
    <t>27</t>
  </si>
  <si>
    <t>Производство машин и оборудования, не включенных в другие группировки</t>
  </si>
  <si>
    <t>28</t>
  </si>
  <si>
    <t>Производство автотранспортных средств, прицепов и полуприцепов</t>
  </si>
  <si>
    <t>29</t>
  </si>
  <si>
    <t>Производство прочих транспортных средств и оборудования</t>
  </si>
  <si>
    <t>30</t>
  </si>
  <si>
    <t>Производство прочих готовых изделий</t>
  </si>
  <si>
    <t>32</t>
  </si>
  <si>
    <t>Ремонт и монтаж машин и оборудования</t>
  </si>
  <si>
    <t>33</t>
  </si>
  <si>
    <t>Затраты организации на внедрение и использование цифровых технологий, всего</t>
  </si>
  <si>
    <t>Затраты на "сквозные" цифровые технологии</t>
  </si>
  <si>
    <t>Затраты на обучение сотрудников, связанное с внедрением и использованием цифровых технологий</t>
  </si>
  <si>
    <t>Доля ITcosts_s получена относительно factoriescap_s</t>
  </si>
  <si>
    <t xml:space="preserve">Доли сквозных техн. и обучения персонала получены от ITcosts_s </t>
  </si>
  <si>
    <t>Медианный разделитель</t>
  </si>
  <si>
    <t>нижний кластер</t>
  </si>
  <si>
    <t>верхний кластер</t>
  </si>
  <si>
    <t>разница</t>
  </si>
  <si>
    <t>Медиана factoriescap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</si>
</sst>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%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164" fontId="0" fillId="2" borderId="0" xfId="1" applyNumberFormat="1" applyFont="1" applyFill="1" applyAlignment="1">
      <alignment horizontal="center"/>
    </xf>
    <xf numFmtId="10" fontId="0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0"/>
  <sheetViews>
    <sheetView tabSelected="1" zoomScaleNormal="100" workbookViewId="0">
      <selection activeCell="J14" sqref="J14"/>
    </sheetView>
  </sheetViews>
  <sheetFormatPr defaultRowHeight="15" x14ac:dyDescent="0.25"/>
  <cols>
    <col min="1" max="1" width="100.7109375" customWidth="1"/>
    <col min="4" max="4" width="19.140625" customWidth="1"/>
    <col min="5" max="5" width="13" customWidth="1"/>
    <col min="6" max="6" width="14.85546875" customWidth="1"/>
    <col min="7" max="7" width="16.140625" customWidth="1"/>
    <col min="8" max="8" width="16.7109375" customWidth="1"/>
    <col min="9" max="9" width="9.140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9" t="s">
        <v>4</v>
      </c>
      <c r="I1" s="7" t="s">
        <v>47</v>
      </c>
      <c r="J1" s="2"/>
    </row>
    <row r="2" spans="1:10" x14ac:dyDescent="0.25">
      <c r="A2" s="2" t="s">
        <v>19</v>
      </c>
      <c r="B2" s="2" t="s">
        <v>20</v>
      </c>
      <c r="C2" s="2">
        <v>2021</v>
      </c>
      <c r="D2" s="2">
        <v>9574934.4179999996</v>
      </c>
      <c r="E2" s="3">
        <v>3.5947651359046632E-3</v>
      </c>
      <c r="F2" s="3">
        <v>1.2450489874850871E-3</v>
      </c>
      <c r="G2" s="3">
        <v>2.6914455891389468E-4</v>
      </c>
      <c r="H2" s="9" t="s">
        <v>5</v>
      </c>
      <c r="I2" s="7" t="s">
        <v>48</v>
      </c>
      <c r="J2" s="2"/>
    </row>
    <row r="3" spans="1:10" x14ac:dyDescent="0.25">
      <c r="A3" s="2" t="s">
        <v>19</v>
      </c>
      <c r="B3" s="2" t="s">
        <v>20</v>
      </c>
      <c r="C3" s="2">
        <v>2022</v>
      </c>
      <c r="D3" s="2">
        <v>8928283.6928000003</v>
      </c>
      <c r="E3" s="3">
        <v>3.2439371620725209E-3</v>
      </c>
      <c r="F3" s="3">
        <v>0.18094518011478611</v>
      </c>
      <c r="G3" s="3">
        <v>2.339677504868966E-4</v>
      </c>
      <c r="H3" s="9" t="s">
        <v>6</v>
      </c>
      <c r="I3" s="7" t="s">
        <v>49</v>
      </c>
      <c r="J3" s="2"/>
    </row>
    <row r="4" spans="1:10" x14ac:dyDescent="0.25">
      <c r="A4" s="2" t="s">
        <v>29</v>
      </c>
      <c r="B4" s="2" t="s">
        <v>30</v>
      </c>
      <c r="C4" s="2">
        <v>2021</v>
      </c>
      <c r="D4" s="2">
        <v>8241155.9369999999</v>
      </c>
      <c r="E4" s="3">
        <v>2.7809960833944602E-3</v>
      </c>
      <c r="F4" s="3">
        <v>1.411209606183382E-2</v>
      </c>
      <c r="G4" s="3">
        <v>6.7540592802753808E-4</v>
      </c>
    </row>
    <row r="5" spans="1:10" x14ac:dyDescent="0.25">
      <c r="A5" s="2" t="s">
        <v>19</v>
      </c>
      <c r="B5" s="2" t="s">
        <v>20</v>
      </c>
      <c r="C5" s="2">
        <v>2023</v>
      </c>
      <c r="D5" s="2">
        <v>8175278.4864000008</v>
      </c>
      <c r="E5" s="3">
        <v>4.6807742061947526E-3</v>
      </c>
      <c r="F5" s="3">
        <v>0.1254843771395045</v>
      </c>
      <c r="G5" s="3">
        <v>3.2594779133939081E-4</v>
      </c>
      <c r="H5" s="7" t="s">
        <v>50</v>
      </c>
    </row>
    <row r="6" spans="1:10" x14ac:dyDescent="0.25">
      <c r="A6" s="2" t="s">
        <v>19</v>
      </c>
      <c r="B6" s="2" t="s">
        <v>20</v>
      </c>
      <c r="C6" s="2">
        <v>2024</v>
      </c>
      <c r="D6" s="2">
        <v>7560598.0800000001</v>
      </c>
      <c r="E6" s="3">
        <v>4.3650949835968532E-3</v>
      </c>
      <c r="F6" s="3">
        <v>1.2530342781881009E-2</v>
      </c>
      <c r="G6" s="3">
        <v>4.7058508757579111E-4</v>
      </c>
      <c r="H6" s="8" t="s">
        <v>51</v>
      </c>
      <c r="I6" s="6"/>
    </row>
    <row r="7" spans="1:10" x14ac:dyDescent="0.25">
      <c r="A7" s="2" t="s">
        <v>29</v>
      </c>
      <c r="B7" s="2" t="s">
        <v>30</v>
      </c>
      <c r="C7" s="2">
        <v>2022</v>
      </c>
      <c r="D7" s="2">
        <v>6852020.7139999997</v>
      </c>
      <c r="E7" s="3">
        <v>3.9676744972899098E-3</v>
      </c>
      <c r="F7" s="3">
        <v>1.428164445640567E-2</v>
      </c>
      <c r="G7" s="3">
        <v>1.063284111568874E-3</v>
      </c>
    </row>
    <row r="8" spans="1:10" x14ac:dyDescent="0.25">
      <c r="A8" s="2" t="s">
        <v>29</v>
      </c>
      <c r="B8" s="2" t="s">
        <v>30</v>
      </c>
      <c r="C8" s="2">
        <v>2023</v>
      </c>
      <c r="D8" s="2">
        <v>6604739.7520000003</v>
      </c>
      <c r="E8" s="3">
        <v>5.5748344307995374E-3</v>
      </c>
      <c r="F8" s="3">
        <v>1.1388913987487259E-2</v>
      </c>
      <c r="G8" s="3">
        <v>1.346627653376551E-3</v>
      </c>
    </row>
    <row r="9" spans="1:10" x14ac:dyDescent="0.25">
      <c r="A9" s="2" t="s">
        <v>7</v>
      </c>
      <c r="B9" s="2" t="s">
        <v>8</v>
      </c>
      <c r="C9" s="2">
        <v>2021</v>
      </c>
      <c r="D9" s="2">
        <v>6564192.1757999994</v>
      </c>
      <c r="E9" s="3">
        <v>2.7966234577955062E-3</v>
      </c>
      <c r="F9" s="3">
        <v>4.0583214726084837E-3</v>
      </c>
      <c r="G9" s="3">
        <v>1.389545336964106E-3</v>
      </c>
    </row>
    <row r="10" spans="1:10" x14ac:dyDescent="0.25">
      <c r="A10" s="2" t="s">
        <v>7</v>
      </c>
      <c r="B10" s="2" t="s">
        <v>8</v>
      </c>
      <c r="C10" s="2">
        <v>2022</v>
      </c>
      <c r="D10" s="2">
        <v>6380697.2337999996</v>
      </c>
      <c r="E10" s="3">
        <v>1.852565852192966E-3</v>
      </c>
      <c r="F10" s="3">
        <v>5.4855955047510736E-3</v>
      </c>
      <c r="G10" s="3">
        <v>1.4583432839246711E-3</v>
      </c>
    </row>
    <row r="11" spans="1:10" x14ac:dyDescent="0.25">
      <c r="A11" s="2" t="s">
        <v>7</v>
      </c>
      <c r="B11" s="2" t="s">
        <v>8</v>
      </c>
      <c r="C11" s="2">
        <v>2023</v>
      </c>
      <c r="D11" s="2">
        <v>6152667.6392000001</v>
      </c>
      <c r="E11" s="3">
        <v>1.749462439879098E-3</v>
      </c>
      <c r="F11" s="3">
        <v>7.8014511771691691E-3</v>
      </c>
      <c r="G11" s="3">
        <v>1.5986961793893069E-3</v>
      </c>
    </row>
    <row r="12" spans="1:10" x14ac:dyDescent="0.25">
      <c r="A12" s="2" t="s">
        <v>29</v>
      </c>
      <c r="B12" s="2" t="s">
        <v>30</v>
      </c>
      <c r="C12" s="2">
        <v>2024</v>
      </c>
      <c r="D12" s="2">
        <v>5957550.2400000002</v>
      </c>
      <c r="E12" s="3">
        <v>4.0472281774664477E-3</v>
      </c>
      <c r="F12" s="3">
        <v>1.6816288641435851E-2</v>
      </c>
      <c r="G12" s="3">
        <v>4.7603910840263489E-4</v>
      </c>
    </row>
    <row r="13" spans="1:10" x14ac:dyDescent="0.25">
      <c r="A13" s="2" t="s">
        <v>7</v>
      </c>
      <c r="B13" s="2" t="s">
        <v>8</v>
      </c>
      <c r="C13" s="2">
        <v>2024</v>
      </c>
      <c r="D13" s="2">
        <v>5906711.04</v>
      </c>
      <c r="E13" s="3">
        <v>1.6542978801278891E-3</v>
      </c>
      <c r="F13" s="3">
        <v>3.6917981196183118E-3</v>
      </c>
      <c r="G13" s="3">
        <v>1.028913229031601E-3</v>
      </c>
    </row>
    <row r="14" spans="1:10" x14ac:dyDescent="0.25">
      <c r="A14" s="2" t="s">
        <v>21</v>
      </c>
      <c r="B14" s="2" t="s">
        <v>22</v>
      </c>
      <c r="C14" s="2">
        <v>2021</v>
      </c>
      <c r="D14" s="2">
        <v>4045665.9852</v>
      </c>
      <c r="E14" s="3">
        <v>3.0701072747175841E-3</v>
      </c>
      <c r="F14" s="3">
        <v>9.5505969516812179E-3</v>
      </c>
      <c r="G14" s="3">
        <v>7.1947529628030547E-3</v>
      </c>
    </row>
    <row r="15" spans="1:10" x14ac:dyDescent="0.25">
      <c r="A15" s="2" t="s">
        <v>21</v>
      </c>
      <c r="B15" s="2" t="s">
        <v>22</v>
      </c>
      <c r="C15" s="2">
        <v>2022</v>
      </c>
      <c r="D15" s="2">
        <v>3872035.8108000001</v>
      </c>
      <c r="E15" s="3">
        <v>2.586985604317128E-3</v>
      </c>
      <c r="F15" s="3">
        <v>4.8543989239808157E-3</v>
      </c>
      <c r="G15" s="3">
        <v>2.722411311338672E-3</v>
      </c>
    </row>
    <row r="16" spans="1:10" x14ac:dyDescent="0.25">
      <c r="A16" s="2" t="s">
        <v>31</v>
      </c>
      <c r="B16" s="2" t="s">
        <v>32</v>
      </c>
      <c r="C16" s="2">
        <v>2024</v>
      </c>
      <c r="D16" s="2">
        <v>3341058.72</v>
      </c>
      <c r="E16" s="3">
        <v>8.9265882713967983E-3</v>
      </c>
      <c r="F16" s="3">
        <v>1.7700063980245699E-2</v>
      </c>
      <c r="G16" s="3">
        <v>1.8406361575525849E-2</v>
      </c>
    </row>
    <row r="17" spans="1:7" x14ac:dyDescent="0.25">
      <c r="A17" s="2" t="s">
        <v>21</v>
      </c>
      <c r="B17" s="2" t="s">
        <v>22</v>
      </c>
      <c r="C17" s="2">
        <v>2023</v>
      </c>
      <c r="D17" s="2">
        <v>3309061.7527999999</v>
      </c>
      <c r="E17" s="3">
        <v>4.0522832267405121E-3</v>
      </c>
      <c r="F17" s="3">
        <v>1.2431315547808089E-3</v>
      </c>
      <c r="G17" s="3">
        <v>1.4794270549193711E-3</v>
      </c>
    </row>
    <row r="18" spans="1:7" x14ac:dyDescent="0.25">
      <c r="A18" s="2" t="s">
        <v>21</v>
      </c>
      <c r="B18" s="2" t="s">
        <v>22</v>
      </c>
      <c r="C18" s="2">
        <v>2024</v>
      </c>
      <c r="D18" s="2">
        <v>3108887.52</v>
      </c>
      <c r="E18" s="3">
        <v>5.7148544763047579E-3</v>
      </c>
      <c r="F18" s="3">
        <v>9.3958949512133153E-4</v>
      </c>
      <c r="G18" s="3">
        <v>8.8262764857625984E-4</v>
      </c>
    </row>
    <row r="19" spans="1:7" x14ac:dyDescent="0.25">
      <c r="A19" s="2" t="s">
        <v>31</v>
      </c>
      <c r="B19" s="2" t="s">
        <v>32</v>
      </c>
      <c r="C19" s="2">
        <v>2023</v>
      </c>
      <c r="D19" s="2">
        <v>2979488.8336</v>
      </c>
      <c r="E19" s="3">
        <v>7.36661400817542E-3</v>
      </c>
      <c r="F19" s="3">
        <v>5.1385668600091312E-2</v>
      </c>
      <c r="G19" s="3">
        <v>1.045825844659099E-3</v>
      </c>
    </row>
    <row r="20" spans="1:7" x14ac:dyDescent="0.25">
      <c r="A20" s="2" t="s">
        <v>31</v>
      </c>
      <c r="B20" s="2" t="s">
        <v>32</v>
      </c>
      <c r="C20" s="2">
        <v>2021</v>
      </c>
      <c r="D20" s="2">
        <v>2665736.9172</v>
      </c>
      <c r="E20" s="3">
        <v>1.1917499168180849E-2</v>
      </c>
      <c r="F20" s="3">
        <v>4.5024994770462897E-3</v>
      </c>
      <c r="G20" s="3">
        <v>6.1504127372638605E-4</v>
      </c>
    </row>
    <row r="21" spans="1:7" x14ac:dyDescent="0.25">
      <c r="A21" s="2" t="s">
        <v>31</v>
      </c>
      <c r="B21" s="2" t="s">
        <v>32</v>
      </c>
      <c r="C21" s="2">
        <v>2022</v>
      </c>
      <c r="D21" s="2">
        <v>2567021.7022000002</v>
      </c>
      <c r="E21" s="3">
        <v>4.6928473760996002E-3</v>
      </c>
      <c r="F21" s="3">
        <v>1.264319260007594E-2</v>
      </c>
      <c r="G21" s="3">
        <v>9.2646432850616075E-4</v>
      </c>
    </row>
    <row r="22" spans="1:7" x14ac:dyDescent="0.25">
      <c r="A22" s="2" t="s">
        <v>39</v>
      </c>
      <c r="B22" s="2" t="s">
        <v>40</v>
      </c>
      <c r="C22" s="2">
        <v>2021</v>
      </c>
      <c r="D22" s="2">
        <v>2486600.0838000001</v>
      </c>
      <c r="E22" s="3">
        <v>5.5151610100416248E-3</v>
      </c>
      <c r="F22" s="3">
        <v>1.8909555433829729E-4</v>
      </c>
      <c r="G22" s="3">
        <v>1.421912259449817E-2</v>
      </c>
    </row>
    <row r="23" spans="1:7" x14ac:dyDescent="0.25">
      <c r="A23" s="2" t="s">
        <v>41</v>
      </c>
      <c r="B23" s="2" t="s">
        <v>42</v>
      </c>
      <c r="C23" s="2">
        <v>2024</v>
      </c>
      <c r="D23" s="2">
        <v>1984582.56</v>
      </c>
      <c r="E23" s="3">
        <v>1.18366044454205E-2</v>
      </c>
      <c r="F23" s="3">
        <v>1.927088927244758E-3</v>
      </c>
      <c r="G23" s="3">
        <v>1.8760825696850091E-3</v>
      </c>
    </row>
    <row r="24" spans="1:7" x14ac:dyDescent="0.25">
      <c r="A24" s="2" t="s">
        <v>41</v>
      </c>
      <c r="B24" s="2" t="s">
        <v>42</v>
      </c>
      <c r="C24" s="2">
        <v>2021</v>
      </c>
      <c r="D24" s="2">
        <v>1940025.5658</v>
      </c>
      <c r="E24" s="3">
        <v>9.109976613474173E-3</v>
      </c>
      <c r="F24" s="3">
        <v>1.2639185721094849E-3</v>
      </c>
      <c r="G24" s="3">
        <v>7.224852054202324E-4</v>
      </c>
    </row>
    <row r="25" spans="1:7" x14ac:dyDescent="0.25">
      <c r="A25" s="2" t="s">
        <v>41</v>
      </c>
      <c r="B25" s="2" t="s">
        <v>42</v>
      </c>
      <c r="C25" s="2">
        <v>2023</v>
      </c>
      <c r="D25" s="2">
        <v>1894213.5527999999</v>
      </c>
      <c r="E25" s="3">
        <v>9.6633912203523756E-3</v>
      </c>
      <c r="F25" s="3">
        <v>2.0544865338363899E-3</v>
      </c>
      <c r="G25" s="3">
        <v>2.397692315221963E-3</v>
      </c>
    </row>
    <row r="26" spans="1:7" x14ac:dyDescent="0.25">
      <c r="A26" s="2" t="s">
        <v>33</v>
      </c>
      <c r="B26" s="2" t="s">
        <v>34</v>
      </c>
      <c r="C26" s="2">
        <v>2024</v>
      </c>
      <c r="D26" s="2">
        <v>1743332.64</v>
      </c>
      <c r="E26" s="3">
        <v>1.416414448134236E-2</v>
      </c>
      <c r="F26" s="3">
        <v>1.2473785395074479E-2</v>
      </c>
      <c r="G26" s="3">
        <v>1.210844187888221E-3</v>
      </c>
    </row>
    <row r="27" spans="1:7" x14ac:dyDescent="0.25">
      <c r="A27" s="2" t="s">
        <v>27</v>
      </c>
      <c r="B27" s="2" t="s">
        <v>28</v>
      </c>
      <c r="C27" s="2">
        <v>2022</v>
      </c>
      <c r="D27" s="2">
        <v>1680196.5164000001</v>
      </c>
      <c r="E27" s="3">
        <v>2.889340070327978E-3</v>
      </c>
      <c r="F27" s="3">
        <v>3.7612999688359748E-4</v>
      </c>
      <c r="G27" s="3">
        <v>2.0756040556386131E-3</v>
      </c>
    </row>
    <row r="28" spans="1:7" x14ac:dyDescent="0.25">
      <c r="A28" s="2" t="s">
        <v>27</v>
      </c>
      <c r="B28" s="2" t="s">
        <v>28</v>
      </c>
      <c r="C28" s="2">
        <v>2023</v>
      </c>
      <c r="D28" s="2">
        <v>1679966.5079999999</v>
      </c>
      <c r="E28" s="3">
        <v>2.842290574235662E-3</v>
      </c>
      <c r="F28" s="3">
        <v>2.8738600116371028E-4</v>
      </c>
      <c r="G28" s="3">
        <v>1.316480132589062E-3</v>
      </c>
    </row>
    <row r="29" spans="1:7" x14ac:dyDescent="0.25">
      <c r="A29" s="2" t="s">
        <v>27</v>
      </c>
      <c r="B29" s="2" t="s">
        <v>28</v>
      </c>
      <c r="C29" s="2">
        <v>2024</v>
      </c>
      <c r="D29" s="2">
        <v>1633041.6</v>
      </c>
      <c r="E29" s="3">
        <v>2.118279598021263E-3</v>
      </c>
      <c r="F29" s="3">
        <v>2.6129124854981389E-3</v>
      </c>
      <c r="G29" s="3">
        <v>2.2962786554205951E-3</v>
      </c>
    </row>
    <row r="30" spans="1:7" x14ac:dyDescent="0.25">
      <c r="A30" s="2" t="s">
        <v>41</v>
      </c>
      <c r="B30" s="2" t="s">
        <v>42</v>
      </c>
      <c r="C30" s="2">
        <v>2022</v>
      </c>
      <c r="D30" s="2">
        <v>1616706.6266000001</v>
      </c>
      <c r="E30" s="3">
        <v>9.1791730918856871E-3</v>
      </c>
      <c r="F30" s="3">
        <v>3.348617336982791E-3</v>
      </c>
      <c r="G30" s="3">
        <v>9.7700369843055682E-4</v>
      </c>
    </row>
    <row r="31" spans="1:7" x14ac:dyDescent="0.25">
      <c r="A31" s="2" t="s">
        <v>27</v>
      </c>
      <c r="B31" s="2" t="s">
        <v>28</v>
      </c>
      <c r="C31" s="2">
        <v>2021</v>
      </c>
      <c r="D31" s="2">
        <v>1611186.9731999999</v>
      </c>
      <c r="E31" s="3">
        <v>3.7232522938449491E-3</v>
      </c>
      <c r="F31" s="3">
        <v>3.3561812091085249E-3</v>
      </c>
      <c r="G31" s="3">
        <v>1.7434020366891251E-3</v>
      </c>
    </row>
    <row r="32" spans="1:7" x14ac:dyDescent="0.25">
      <c r="A32" s="2" t="s">
        <v>39</v>
      </c>
      <c r="B32" s="2" t="s">
        <v>40</v>
      </c>
      <c r="C32" s="2">
        <v>2024</v>
      </c>
      <c r="D32" s="2">
        <v>1584809.28</v>
      </c>
      <c r="E32" s="3">
        <v>6.0895219290992538E-3</v>
      </c>
      <c r="F32" s="3">
        <v>3.2382873836611008E-4</v>
      </c>
      <c r="G32" s="3">
        <v>1.307147425181787E-3</v>
      </c>
    </row>
    <row r="33" spans="1:8" x14ac:dyDescent="0.25">
      <c r="A33" s="2" t="s">
        <v>33</v>
      </c>
      <c r="B33" s="2" t="s">
        <v>34</v>
      </c>
      <c r="C33" s="2">
        <v>2023</v>
      </c>
      <c r="D33" s="2">
        <v>1516151.2736</v>
      </c>
      <c r="E33" s="3">
        <v>1.343252461807647E-2</v>
      </c>
      <c r="F33" s="3">
        <v>2.3285205202868371E-2</v>
      </c>
      <c r="G33" s="3">
        <v>1.5783067550306741E-3</v>
      </c>
    </row>
    <row r="34" spans="1:8" x14ac:dyDescent="0.25">
      <c r="A34" s="2" t="s">
        <v>37</v>
      </c>
      <c r="B34" s="2" t="s">
        <v>38</v>
      </c>
      <c r="C34" s="2">
        <v>2024</v>
      </c>
      <c r="D34" s="2">
        <v>1480739.04</v>
      </c>
      <c r="E34" s="3">
        <v>8.2310505165042458E-3</v>
      </c>
      <c r="F34" s="3">
        <v>3.5563801629943082E-3</v>
      </c>
      <c r="G34" s="3">
        <v>2.3262126662383252E-3</v>
      </c>
    </row>
    <row r="35" spans="1:8" x14ac:dyDescent="0.25">
      <c r="A35" s="2" t="s">
        <v>37</v>
      </c>
      <c r="B35" s="2" t="s">
        <v>38</v>
      </c>
      <c r="C35" s="2">
        <v>2023</v>
      </c>
      <c r="D35" s="2">
        <v>1475964.3504000001</v>
      </c>
      <c r="E35" s="3">
        <v>6.3554281329476752E-3</v>
      </c>
      <c r="F35" s="3">
        <v>2.4821681068467739E-3</v>
      </c>
      <c r="G35" s="3">
        <v>1.7821392198706289E-3</v>
      </c>
    </row>
    <row r="36" spans="1:8" x14ac:dyDescent="0.25">
      <c r="A36" s="2" t="s">
        <v>39</v>
      </c>
      <c r="B36" s="2" t="s">
        <v>40</v>
      </c>
      <c r="C36" s="2">
        <v>2023</v>
      </c>
      <c r="D36" s="2">
        <v>1397273.5392</v>
      </c>
      <c r="E36" s="3">
        <v>5.5583372440922846E-3</v>
      </c>
      <c r="F36" s="3">
        <v>5.6879237956854514E-4</v>
      </c>
      <c r="G36" s="3">
        <v>9.2862762115340628E-4</v>
      </c>
    </row>
    <row r="37" spans="1:8" x14ac:dyDescent="0.25">
      <c r="A37" s="10" t="s">
        <v>25</v>
      </c>
      <c r="B37" s="10" t="s">
        <v>26</v>
      </c>
      <c r="C37" s="10">
        <v>2021</v>
      </c>
      <c r="D37" s="10">
        <v>1391118.3467999999</v>
      </c>
      <c r="E37" s="11">
        <v>2.34087604105776E-3</v>
      </c>
      <c r="F37" s="11">
        <v>3.8592436982227681E-4</v>
      </c>
      <c r="G37" s="11">
        <v>2.369477916386043E-3</v>
      </c>
      <c r="H37" s="4" t="s">
        <v>52</v>
      </c>
    </row>
    <row r="38" spans="1:8" x14ac:dyDescent="0.25">
      <c r="A38" s="2" t="s">
        <v>37</v>
      </c>
      <c r="B38" s="2" t="s">
        <v>38</v>
      </c>
      <c r="C38" s="2">
        <v>2021</v>
      </c>
      <c r="D38" s="2">
        <v>1323628.3493999999</v>
      </c>
      <c r="E38" s="3">
        <v>8.0199543123656812E-3</v>
      </c>
      <c r="F38" s="3">
        <v>5.7122249315871114E-3</v>
      </c>
      <c r="G38" s="3">
        <v>1.223257961926933E-3</v>
      </c>
    </row>
    <row r="39" spans="1:8" x14ac:dyDescent="0.25">
      <c r="A39" s="2" t="s">
        <v>25</v>
      </c>
      <c r="B39" s="2" t="s">
        <v>26</v>
      </c>
      <c r="C39" s="2">
        <v>2022</v>
      </c>
      <c r="D39" s="2">
        <v>1306372.004</v>
      </c>
      <c r="E39" s="3">
        <v>2.094901225853275E-3</v>
      </c>
      <c r="F39" s="3">
        <v>6.5575458761258591E-4</v>
      </c>
      <c r="G39" s="3">
        <v>9.6186040198574876E-4</v>
      </c>
    </row>
    <row r="40" spans="1:8" x14ac:dyDescent="0.25">
      <c r="A40" s="2" t="s">
        <v>37</v>
      </c>
      <c r="B40" s="2" t="s">
        <v>38</v>
      </c>
      <c r="C40" s="2">
        <v>2022</v>
      </c>
      <c r="D40" s="2">
        <v>1305131.6499999999</v>
      </c>
      <c r="E40" s="3">
        <v>6.6514351038686401E-3</v>
      </c>
      <c r="F40" s="3">
        <v>5.3628300774693723E-2</v>
      </c>
      <c r="G40" s="3">
        <v>1.9809359137092151E-3</v>
      </c>
    </row>
    <row r="41" spans="1:8" x14ac:dyDescent="0.25">
      <c r="A41" s="2" t="s">
        <v>33</v>
      </c>
      <c r="B41" s="2" t="s">
        <v>34</v>
      </c>
      <c r="C41" s="2">
        <v>2021</v>
      </c>
      <c r="D41" s="2">
        <v>1302351.9642</v>
      </c>
      <c r="E41" s="3">
        <v>2.1679115959366099E-2</v>
      </c>
      <c r="F41" s="3">
        <v>1.7629362658082969E-3</v>
      </c>
      <c r="G41" s="3">
        <v>1.091290811894655E-3</v>
      </c>
    </row>
    <row r="42" spans="1:8" x14ac:dyDescent="0.25">
      <c r="A42" s="2" t="s">
        <v>25</v>
      </c>
      <c r="B42" s="2" t="s">
        <v>26</v>
      </c>
      <c r="C42" s="2">
        <v>2023</v>
      </c>
      <c r="D42" s="2">
        <v>1294069.4295999999</v>
      </c>
      <c r="E42" s="3">
        <v>2.004748701313422E-3</v>
      </c>
      <c r="F42" s="3">
        <v>4.4144095106468531E-4</v>
      </c>
      <c r="G42" s="3">
        <v>4.2813564143465432E-3</v>
      </c>
    </row>
    <row r="43" spans="1:8" x14ac:dyDescent="0.25">
      <c r="A43" s="2" t="s">
        <v>33</v>
      </c>
      <c r="B43" s="2" t="s">
        <v>34</v>
      </c>
      <c r="C43" s="2">
        <v>2022</v>
      </c>
      <c r="D43" s="2">
        <v>1269113.9778</v>
      </c>
      <c r="E43" s="3">
        <v>4.5383404024076299E-2</v>
      </c>
      <c r="F43" s="3">
        <v>6.9328647193893768E-4</v>
      </c>
      <c r="G43" s="3">
        <v>1.2640594598421069E-2</v>
      </c>
    </row>
    <row r="44" spans="1:8" x14ac:dyDescent="0.25">
      <c r="A44" s="2" t="s">
        <v>39</v>
      </c>
      <c r="B44" s="2" t="s">
        <v>40</v>
      </c>
      <c r="C44" s="2">
        <v>2022</v>
      </c>
      <c r="D44" s="2">
        <v>1254275.8372</v>
      </c>
      <c r="E44" s="3">
        <v>6.5463129543894246E-3</v>
      </c>
      <c r="F44" s="3">
        <v>1.515288413031857E-4</v>
      </c>
      <c r="G44" s="3">
        <v>1.134724744407487E-2</v>
      </c>
    </row>
    <row r="45" spans="1:8" x14ac:dyDescent="0.25">
      <c r="A45" s="2" t="s">
        <v>25</v>
      </c>
      <c r="B45" s="2" t="s">
        <v>26</v>
      </c>
      <c r="C45" s="2">
        <v>2024</v>
      </c>
      <c r="D45" s="2">
        <v>1242436.8</v>
      </c>
      <c r="E45" s="3">
        <v>2.2487630630386988E-3</v>
      </c>
      <c r="F45" s="3">
        <v>3.0877619142976242E-4</v>
      </c>
      <c r="G45" s="3">
        <v>1.0062327675981299E-3</v>
      </c>
    </row>
    <row r="46" spans="1:8" x14ac:dyDescent="0.25">
      <c r="A46" s="2" t="s">
        <v>35</v>
      </c>
      <c r="B46" s="2" t="s">
        <v>36</v>
      </c>
      <c r="C46" s="2">
        <v>2023</v>
      </c>
      <c r="D46" s="2">
        <v>1077071.2032000001</v>
      </c>
      <c r="E46" s="3">
        <v>4.7636779071580692E-3</v>
      </c>
      <c r="F46" s="3">
        <v>7.1409024001186736E-3</v>
      </c>
      <c r="G46" s="3">
        <v>1.6292149323472839E-3</v>
      </c>
    </row>
    <row r="47" spans="1:8" x14ac:dyDescent="0.25">
      <c r="A47" s="2" t="s">
        <v>35</v>
      </c>
      <c r="B47" s="2" t="s">
        <v>36</v>
      </c>
      <c r="C47" s="2">
        <v>2024</v>
      </c>
      <c r="D47" s="2">
        <v>1073971.2</v>
      </c>
      <c r="E47" s="3">
        <v>6.1361553829376433E-3</v>
      </c>
      <c r="F47" s="3">
        <v>3.968817154607421E-3</v>
      </c>
      <c r="G47" s="3">
        <v>1.4273582237145071E-3</v>
      </c>
    </row>
    <row r="48" spans="1:8" x14ac:dyDescent="0.25">
      <c r="A48" s="2" t="s">
        <v>35</v>
      </c>
      <c r="B48" s="2" t="s">
        <v>36</v>
      </c>
      <c r="C48" s="2">
        <v>2021</v>
      </c>
      <c r="D48" s="2">
        <v>1050179.6843999999</v>
      </c>
      <c r="E48" s="3">
        <v>4.5071699574195266E-3</v>
      </c>
      <c r="F48" s="3">
        <v>6.6356632156617178E-4</v>
      </c>
      <c r="G48" s="3">
        <v>3.1476572520248271E-3</v>
      </c>
    </row>
    <row r="49" spans="1:7" x14ac:dyDescent="0.25">
      <c r="A49" s="2" t="s">
        <v>23</v>
      </c>
      <c r="B49" s="2" t="s">
        <v>24</v>
      </c>
      <c r="C49" s="2">
        <v>2021</v>
      </c>
      <c r="D49" s="2">
        <v>1041751.2168000001</v>
      </c>
      <c r="E49" s="3">
        <v>8.8070717757571994E-3</v>
      </c>
      <c r="F49" s="3">
        <v>7.2720955318134649E-3</v>
      </c>
      <c r="G49" s="3">
        <v>4.0538663342816288E-4</v>
      </c>
    </row>
    <row r="50" spans="1:7" x14ac:dyDescent="0.25">
      <c r="A50" s="2" t="s">
        <v>45</v>
      </c>
      <c r="B50" s="2" t="s">
        <v>46</v>
      </c>
      <c r="C50" s="2">
        <v>2021</v>
      </c>
      <c r="D50" s="2">
        <v>1026217.0422</v>
      </c>
      <c r="E50" s="3">
        <v>5.9038463065196603E-3</v>
      </c>
      <c r="F50" s="3">
        <v>1.149126975828702E-3</v>
      </c>
      <c r="G50" s="3">
        <v>4.3326889923906344E-3</v>
      </c>
    </row>
    <row r="51" spans="1:7" x14ac:dyDescent="0.25">
      <c r="A51" s="2" t="s">
        <v>15</v>
      </c>
      <c r="B51" s="2" t="s">
        <v>16</v>
      </c>
      <c r="C51" s="2">
        <v>2021</v>
      </c>
      <c r="D51" s="2">
        <v>1001546.5194</v>
      </c>
      <c r="E51" s="3">
        <v>3.1592327096054799E-3</v>
      </c>
      <c r="F51" s="3">
        <v>6.7699852441129374E-3</v>
      </c>
      <c r="G51" s="3">
        <v>2.6803313639870169E-3</v>
      </c>
    </row>
    <row r="52" spans="1:7" x14ac:dyDescent="0.25">
      <c r="A52" s="2" t="s">
        <v>45</v>
      </c>
      <c r="B52" s="2" t="s">
        <v>46</v>
      </c>
      <c r="C52" s="2">
        <v>2024</v>
      </c>
      <c r="D52" s="2">
        <v>985683.84</v>
      </c>
      <c r="E52" s="3">
        <v>6.6963482976448111E-3</v>
      </c>
      <c r="F52" s="3">
        <v>1.0184783005820781E-3</v>
      </c>
      <c r="G52" s="3">
        <v>1.1952508372333631E-3</v>
      </c>
    </row>
    <row r="53" spans="1:7" x14ac:dyDescent="0.25">
      <c r="A53" s="2" t="s">
        <v>35</v>
      </c>
      <c r="B53" s="2" t="s">
        <v>36</v>
      </c>
      <c r="C53" s="2">
        <v>2022</v>
      </c>
      <c r="D53" s="2">
        <v>957666.28359999997</v>
      </c>
      <c r="E53" s="3">
        <v>4.7952673096927231E-2</v>
      </c>
      <c r="F53" s="3">
        <v>4.0433840100499702E-5</v>
      </c>
      <c r="G53" s="3">
        <v>1.5232724169502069E-4</v>
      </c>
    </row>
    <row r="54" spans="1:7" x14ac:dyDescent="0.25">
      <c r="A54" s="2" t="s">
        <v>45</v>
      </c>
      <c r="B54" s="2" t="s">
        <v>46</v>
      </c>
      <c r="C54" s="2">
        <v>2023</v>
      </c>
      <c r="D54" s="2">
        <v>950470.25840000005</v>
      </c>
      <c r="E54" s="3">
        <v>5.9542005438094634E-3</v>
      </c>
      <c r="F54" s="3">
        <v>2.7642536319032169E-4</v>
      </c>
      <c r="G54" s="3">
        <v>2.609783923120391E-3</v>
      </c>
    </row>
    <row r="55" spans="1:7" x14ac:dyDescent="0.25">
      <c r="A55" s="2" t="s">
        <v>45</v>
      </c>
      <c r="B55" s="2" t="s">
        <v>46</v>
      </c>
      <c r="C55" s="2">
        <v>2022</v>
      </c>
      <c r="D55" s="2">
        <v>914479.8848</v>
      </c>
      <c r="E55" s="3">
        <v>7.0041083886288229E-3</v>
      </c>
      <c r="F55" s="3">
        <v>1.36542870460566E-3</v>
      </c>
      <c r="G55" s="3">
        <v>1.06191448730258E-3</v>
      </c>
    </row>
    <row r="56" spans="1:7" x14ac:dyDescent="0.25">
      <c r="A56" s="2" t="s">
        <v>13</v>
      </c>
      <c r="B56" s="2" t="s">
        <v>14</v>
      </c>
      <c r="C56" s="2">
        <v>2021</v>
      </c>
      <c r="D56" s="2">
        <v>860049.56519999995</v>
      </c>
      <c r="E56" s="3">
        <v>2.0009715973983498E-3</v>
      </c>
      <c r="F56" s="3">
        <v>5.4438237053266124E-4</v>
      </c>
      <c r="G56" s="3">
        <v>1.095196036606934E-3</v>
      </c>
    </row>
    <row r="57" spans="1:7" x14ac:dyDescent="0.25">
      <c r="A57" s="2" t="s">
        <v>15</v>
      </c>
      <c r="B57" s="2" t="s">
        <v>16</v>
      </c>
      <c r="C57" s="2">
        <v>2024</v>
      </c>
      <c r="D57" s="2">
        <v>792776.64</v>
      </c>
      <c r="E57" s="3">
        <v>3.2707280375970709E-3</v>
      </c>
      <c r="F57" s="3">
        <v>1.8052595511364291E-3</v>
      </c>
      <c r="G57" s="3">
        <v>8.4950123873718997E-4</v>
      </c>
    </row>
    <row r="58" spans="1:7" x14ac:dyDescent="0.25">
      <c r="A58" s="2" t="s">
        <v>23</v>
      </c>
      <c r="B58" s="2" t="s">
        <v>24</v>
      </c>
      <c r="C58" s="2">
        <v>2022</v>
      </c>
      <c r="D58" s="2">
        <v>716892.14199999999</v>
      </c>
      <c r="E58" s="3">
        <v>1.0465565026768001E-2</v>
      </c>
      <c r="F58" s="3">
        <v>1.753601618218082E-3</v>
      </c>
      <c r="G58" s="3">
        <v>3.3407912051630981E-4</v>
      </c>
    </row>
    <row r="59" spans="1:7" x14ac:dyDescent="0.25">
      <c r="A59" s="2" t="s">
        <v>23</v>
      </c>
      <c r="B59" s="2" t="s">
        <v>24</v>
      </c>
      <c r="C59" s="2">
        <v>2023</v>
      </c>
      <c r="D59" s="2">
        <v>678275.2648</v>
      </c>
      <c r="E59" s="3">
        <v>5.0181397711497383E-3</v>
      </c>
      <c r="F59" s="3">
        <v>7.8396110552474759E-4</v>
      </c>
      <c r="G59" s="3">
        <v>1.35821810761219E-3</v>
      </c>
    </row>
    <row r="60" spans="1:7" x14ac:dyDescent="0.25">
      <c r="A60" s="2" t="s">
        <v>23</v>
      </c>
      <c r="B60" s="2" t="s">
        <v>24</v>
      </c>
      <c r="C60" s="2">
        <v>2024</v>
      </c>
      <c r="D60" s="2">
        <v>657101.28</v>
      </c>
      <c r="E60" s="3">
        <v>5.7533949469707303E-3</v>
      </c>
      <c r="F60" s="3">
        <v>1.04121883656369E-2</v>
      </c>
      <c r="G60" s="3">
        <v>1.4970467955548929E-3</v>
      </c>
    </row>
    <row r="61" spans="1:7" x14ac:dyDescent="0.25">
      <c r="A61" s="2" t="s">
        <v>13</v>
      </c>
      <c r="B61" s="2" t="s">
        <v>14</v>
      </c>
      <c r="C61" s="2">
        <v>2022</v>
      </c>
      <c r="D61" s="2">
        <v>622538.86780000001</v>
      </c>
      <c r="E61" s="3">
        <v>2.7872259259761512E-3</v>
      </c>
      <c r="F61" s="3">
        <v>3.0591654094954831E-3</v>
      </c>
      <c r="G61" s="3">
        <v>7.4264450532327117E-4</v>
      </c>
    </row>
    <row r="62" spans="1:7" x14ac:dyDescent="0.25">
      <c r="A62" s="2" t="s">
        <v>13</v>
      </c>
      <c r="B62" s="2" t="s">
        <v>14</v>
      </c>
      <c r="C62" s="2">
        <v>2024</v>
      </c>
      <c r="D62" s="2">
        <v>531070.55999999994</v>
      </c>
      <c r="E62" s="3">
        <v>2.6404984829134569E-3</v>
      </c>
      <c r="F62" s="3">
        <v>2.940331198358508E-3</v>
      </c>
      <c r="G62" s="3">
        <v>9.1745863922704425E-4</v>
      </c>
    </row>
    <row r="63" spans="1:7" x14ac:dyDescent="0.25">
      <c r="A63" s="2" t="s">
        <v>13</v>
      </c>
      <c r="B63" s="2" t="s">
        <v>14</v>
      </c>
      <c r="C63" s="2">
        <v>2023</v>
      </c>
      <c r="D63" s="2">
        <v>529351.38320000004</v>
      </c>
      <c r="E63" s="3">
        <v>3.6169901694138051E-3</v>
      </c>
      <c r="F63" s="3">
        <v>2.4675821537253392E-3</v>
      </c>
      <c r="G63" s="3">
        <v>4.9806477545852595E-4</v>
      </c>
    </row>
    <row r="64" spans="1:7" x14ac:dyDescent="0.25">
      <c r="A64" s="2" t="s">
        <v>43</v>
      </c>
      <c r="B64" s="2" t="s">
        <v>44</v>
      </c>
      <c r="C64" s="2">
        <v>2023</v>
      </c>
      <c r="D64" s="2">
        <v>289425.68479999999</v>
      </c>
      <c r="E64" s="3">
        <v>3.1976191138651838E-3</v>
      </c>
      <c r="F64" s="3">
        <v>2.0469138178056509E-3</v>
      </c>
      <c r="G64" s="3">
        <v>1.95474240856882E-3</v>
      </c>
    </row>
    <row r="65" spans="1:8" x14ac:dyDescent="0.25">
      <c r="A65" s="2" t="s">
        <v>9</v>
      </c>
      <c r="B65" s="2" t="s">
        <v>10</v>
      </c>
      <c r="C65" s="2">
        <v>2023</v>
      </c>
      <c r="D65" s="2">
        <v>273354.02159999998</v>
      </c>
      <c r="E65" s="3">
        <v>1.8132181477296401E-3</v>
      </c>
      <c r="F65" s="3">
        <v>8.2511209513368383E-4</v>
      </c>
      <c r="G65" s="3">
        <v>1.2973175965540721E-3</v>
      </c>
    </row>
    <row r="66" spans="1:8" x14ac:dyDescent="0.25">
      <c r="A66" s="2" t="s">
        <v>43</v>
      </c>
      <c r="B66" s="2" t="s">
        <v>44</v>
      </c>
      <c r="C66" s="2">
        <v>2021</v>
      </c>
      <c r="D66" s="2">
        <v>258165.054</v>
      </c>
      <c r="E66" s="3">
        <v>3.9120072047396466E-3</v>
      </c>
      <c r="F66" s="3">
        <v>8.5387861422959034E-4</v>
      </c>
      <c r="G66" s="3">
        <v>8.3858185830622603E-4</v>
      </c>
    </row>
    <row r="67" spans="1:8" x14ac:dyDescent="0.25">
      <c r="A67" s="2" t="s">
        <v>9</v>
      </c>
      <c r="B67" s="2" t="s">
        <v>10</v>
      </c>
      <c r="C67" s="2">
        <v>2021</v>
      </c>
      <c r="D67" s="2">
        <v>255563.34299999999</v>
      </c>
      <c r="E67" s="3">
        <v>3.1501015022330492E-3</v>
      </c>
      <c r="F67" s="3">
        <v>7.746620400802158E-3</v>
      </c>
      <c r="G67" s="3">
        <v>1.311216226085985E-3</v>
      </c>
    </row>
    <row r="68" spans="1:8" x14ac:dyDescent="0.25">
      <c r="A68" s="2" t="s">
        <v>43</v>
      </c>
      <c r="B68" s="2" t="s">
        <v>44</v>
      </c>
      <c r="C68" s="2">
        <v>2022</v>
      </c>
      <c r="D68" s="2">
        <v>250663.8542</v>
      </c>
      <c r="E68" s="3">
        <v>4.9561732984795053E-3</v>
      </c>
      <c r="F68" s="3">
        <v>2.2201217930630291E-3</v>
      </c>
      <c r="G68" s="3">
        <v>9.0849775766235264E-4</v>
      </c>
    </row>
    <row r="69" spans="1:8" x14ac:dyDescent="0.25">
      <c r="A69" s="2" t="s">
        <v>9</v>
      </c>
      <c r="B69" s="2" t="s">
        <v>10</v>
      </c>
      <c r="C69" s="2">
        <v>2022</v>
      </c>
      <c r="D69" s="2">
        <v>250294.995</v>
      </c>
      <c r="E69" s="3">
        <v>1.898320295777388E-3</v>
      </c>
      <c r="F69" s="3">
        <v>6.0154981800975621E-3</v>
      </c>
      <c r="G69" s="3">
        <v>4.719404543175171E-4</v>
      </c>
    </row>
    <row r="70" spans="1:8" x14ac:dyDescent="0.25">
      <c r="A70" s="2" t="s">
        <v>11</v>
      </c>
      <c r="B70" s="2" t="s">
        <v>12</v>
      </c>
      <c r="C70" s="2">
        <v>2023</v>
      </c>
      <c r="D70" s="2">
        <v>247105.92000000001</v>
      </c>
      <c r="E70" s="3">
        <v>2.2668726722532592E-3</v>
      </c>
      <c r="F70" s="3">
        <v>1.018638936138424E-3</v>
      </c>
      <c r="G70" s="3">
        <v>2.2590782857908591E-5</v>
      </c>
    </row>
    <row r="71" spans="1:8" x14ac:dyDescent="0.25">
      <c r="A71" s="2" t="s">
        <v>17</v>
      </c>
      <c r="B71" s="2" t="s">
        <v>18</v>
      </c>
      <c r="C71" s="2">
        <v>2022</v>
      </c>
      <c r="D71" s="2">
        <v>246035.58040000001</v>
      </c>
      <c r="E71" s="3">
        <v>2.7786972174858658E-3</v>
      </c>
      <c r="F71" s="3">
        <v>5.6993377084615887E-5</v>
      </c>
      <c r="G71" s="3">
        <v>2.003412193486057E-3</v>
      </c>
    </row>
    <row r="72" spans="1:8" x14ac:dyDescent="0.25">
      <c r="A72" s="2" t="s">
        <v>17</v>
      </c>
      <c r="B72" s="2" t="s">
        <v>18</v>
      </c>
      <c r="C72" s="2">
        <v>2023</v>
      </c>
      <c r="D72" s="2">
        <v>243554.06</v>
      </c>
      <c r="E72" s="3">
        <v>7.2526780421562258E-3</v>
      </c>
      <c r="F72" s="3">
        <v>1.0827214844375309E-3</v>
      </c>
      <c r="G72" s="3">
        <v>1.157616504413661E-3</v>
      </c>
    </row>
    <row r="73" spans="1:8" x14ac:dyDescent="0.25">
      <c r="A73" s="2" t="s">
        <v>17</v>
      </c>
      <c r="B73" s="2" t="s">
        <v>18</v>
      </c>
      <c r="C73" s="2">
        <v>2021</v>
      </c>
      <c r="D73" s="2">
        <v>239983.05239999999</v>
      </c>
      <c r="E73" s="3">
        <v>9.4866286182798791E-3</v>
      </c>
      <c r="F73" s="3">
        <v>2.6907058899788261E-3</v>
      </c>
      <c r="G73" s="3">
        <v>8.8722397476340717E-4</v>
      </c>
    </row>
    <row r="74" spans="1:8" x14ac:dyDescent="0.25">
      <c r="B74" s="5" t="s">
        <v>56</v>
      </c>
      <c r="D74" s="2">
        <f>MEDIAN(D2:D73)</f>
        <v>1357373.3481000001</v>
      </c>
    </row>
    <row r="76" spans="1:8" x14ac:dyDescent="0.25">
      <c r="D76" s="1" t="s">
        <v>3</v>
      </c>
      <c r="E76" s="1" t="s">
        <v>4</v>
      </c>
      <c r="F76" s="1" t="s">
        <v>5</v>
      </c>
      <c r="G76" s="1" t="s">
        <v>6</v>
      </c>
    </row>
    <row r="77" spans="1:8" x14ac:dyDescent="0.25">
      <c r="B77" s="4" t="s">
        <v>53</v>
      </c>
      <c r="D77" s="13">
        <f>AVERAGE(D38:D73)</f>
        <v>786628.28926111141</v>
      </c>
      <c r="E77" s="12">
        <f>AVERAGE(E38:E73)</f>
        <v>7.5494152717185091E-3</v>
      </c>
      <c r="F77" s="12">
        <f>AVERAGE(F38:F73)</f>
        <v>3.9261995892600947E-3</v>
      </c>
      <c r="G77" s="12">
        <f>AVERAGE(G38:G73)</f>
        <v>1.9811121993681476E-3</v>
      </c>
      <c r="H77" s="4"/>
    </row>
    <row r="78" spans="1:8" x14ac:dyDescent="0.25">
      <c r="B78" s="4" t="s">
        <v>54</v>
      </c>
      <c r="D78" s="13">
        <f>AVERAGE(D2:D37)</f>
        <v>3886213.7529833326</v>
      </c>
      <c r="E78" s="12">
        <f>AVERAGE(E2:E37)</f>
        <v>5.6023718220380991E-3</v>
      </c>
      <c r="F78" s="12">
        <f>AVERAGE(F2:F37)</f>
        <v>1.5532002805574905E-2</v>
      </c>
      <c r="G78" s="12">
        <f>AVERAGE(G2:G37)</f>
        <v>2.2982310853999588E-3</v>
      </c>
    </row>
    <row r="80" spans="1:8" x14ac:dyDescent="0.25">
      <c r="B80" s="4" t="s">
        <v>55</v>
      </c>
      <c r="D80" s="13">
        <f>D78/D77</f>
        <v>4.9403432422112559</v>
      </c>
      <c r="E80" s="13">
        <f>E78/E77</f>
        <v>0.74209347616968546</v>
      </c>
      <c r="F80" s="13">
        <f>F78/F77</f>
        <v>3.9559891066317294</v>
      </c>
      <c r="G80" s="13">
        <f>G78/G77</f>
        <v>1.1600711388950875</v>
      </c>
      <c r="H80" s="4"/>
    </row>
  </sheetData>
  <sortState ref="A2:G73">
    <sortCondition descending="1" ref="D2:D73"/>
  </sortState>
  <conditionalFormatting sqref="D77:D78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77:E78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77:F78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77:G78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:D73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73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:F73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:G7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</cp:lastModifiedBy>
  <dcterms:created xsi:type="dcterms:W3CDTF">2026-05-07T13:08:46Z</dcterms:created>
  <dcterms:modified xsi:type="dcterms:W3CDTF">2026-05-08T07:59:48Z</dcterms:modified>
</cp:coreProperties>
</file>