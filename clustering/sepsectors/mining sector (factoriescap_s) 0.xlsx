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G53" i="1" l="1"/>
  <c r="F53" i="1"/>
  <c r="E53" i="1"/>
  <c r="D53" i="1"/>
  <c r="G52" i="1"/>
  <c r="G55" i="1" s="1"/>
  <c r="F52" i="1"/>
  <c r="F55" i="1" s="1"/>
  <c r="E52" i="1"/>
  <c r="E55" i="1" s="1"/>
  <c r="D52" i="1"/>
  <c r="D55" i="1" s="1"/>
  <c r="G43" i="1"/>
  <c r="F43" i="1"/>
  <c r="E43" i="1"/>
  <c r="D43" i="1"/>
  <c r="G42" i="1"/>
  <c r="G45" i="1" s="1"/>
  <c r="F42" i="1"/>
  <c r="F45" i="1" s="1"/>
  <c r="E42" i="1"/>
  <c r="E45" i="1" s="1"/>
  <c r="D42" i="1"/>
  <c r="D45" i="1" s="1"/>
  <c r="G32" i="1"/>
  <c r="F32" i="1"/>
  <c r="E32" i="1"/>
  <c r="D32" i="1"/>
  <c r="G31" i="1"/>
  <c r="G34" i="1" s="1"/>
  <c r="F31" i="1"/>
  <c r="F34" i="1" s="1"/>
  <c r="E31" i="1"/>
  <c r="E34" i="1" s="1"/>
  <c r="D31" i="1"/>
  <c r="D34" i="1" s="1"/>
  <c r="E23" i="1" l="1"/>
  <c r="F23" i="1"/>
  <c r="G23" i="1"/>
  <c r="D23" i="1"/>
  <c r="E22" i="1"/>
  <c r="F22" i="1"/>
  <c r="G22" i="1"/>
  <c r="D22" i="1"/>
  <c r="D19" i="1"/>
</calcChain>
</file>

<file path=xl/sharedStrings.xml><?xml version="1.0" encoding="utf-8"?>
<sst xmlns="http://schemas.openxmlformats.org/spreadsheetml/2006/main" count="87" uniqueCount="27">
  <si>
    <t>sector</t>
  </si>
  <si>
    <t>okved2</t>
  </si>
  <si>
    <t>year</t>
  </si>
  <si>
    <t>factoriescap_s</t>
  </si>
  <si>
    <t>ITcosts_s</t>
  </si>
  <si>
    <t>skvozcosts_s</t>
  </si>
  <si>
    <t>trainingcosts_s</t>
  </si>
  <si>
    <t>Добыча угля</t>
  </si>
  <si>
    <t>05</t>
  </si>
  <si>
    <t>Добыча нефти и природного газа</t>
  </si>
  <si>
    <t>06</t>
  </si>
  <si>
    <t>Добыча металлических руд</t>
  </si>
  <si>
    <t>07</t>
  </si>
  <si>
    <t>Добыча прочих полезных ископаемых</t>
  </si>
  <si>
    <t>08</t>
  </si>
  <si>
    <t>Предоставление услуг в области добычи полезных ископаемых</t>
  </si>
  <si>
    <t>09</t>
  </si>
  <si>
    <t>Медиана</t>
  </si>
  <si>
    <t>Нижний</t>
  </si>
  <si>
    <t>Верхний</t>
  </si>
  <si>
    <t>Затраты организации на внедрение и использование цифровых технологий, всего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</si>
  <si>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</si>
  <si>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</si>
  <si>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 xml:space="preserve">Доли сквозных техн. и обучения персонала получены от ITcosts_s </t>
  </si>
  <si>
    <t>верхний кластер:</t>
  </si>
  <si>
    <t>нижний кластер:</t>
  </si>
  <si>
    <t>разница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</si>
</sst>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2" fontId="0" fillId="0" borderId="0" xfId="0" applyNumberFormat="1" applyAlignment="1">
      <alignment horizontal="center"/>
    </xf>
    <xf numFmtId="0" fontId="4" fillId="0" borderId="0" xfId="0" applyFont="1"/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tabSelected="1" workbookViewId="0">
      <selection activeCell="I42" sqref="I42"/>
    </sheetView>
  </sheetViews>
  <sheetFormatPr defaultRowHeight="15" x14ac:dyDescent="0.25"/>
  <cols>
    <col min="1" max="1" width="67" customWidth="1"/>
    <col min="4" max="4" width="16.7109375" customWidth="1"/>
    <col min="5" max="5" width="16" customWidth="1"/>
    <col min="6" max="6" width="14" customWidth="1"/>
    <col min="7" max="7" width="14.85546875" customWidth="1"/>
    <col min="9" max="9" width="14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4" t="s">
        <v>4</v>
      </c>
      <c r="J1" s="4" t="s">
        <v>20</v>
      </c>
    </row>
    <row r="2" spans="1:10" x14ac:dyDescent="0.25">
      <c r="A2" s="2" t="s">
        <v>9</v>
      </c>
      <c r="B2" s="2" t="s">
        <v>10</v>
      </c>
      <c r="C2" s="2">
        <v>2022</v>
      </c>
      <c r="D2" s="2">
        <v>12596210.486</v>
      </c>
      <c r="E2" s="2">
        <v>29618.176784399999</v>
      </c>
      <c r="F2" s="3">
        <v>1.244197192428451E-3</v>
      </c>
      <c r="G2" s="3">
        <v>9.1204876912707078E-4</v>
      </c>
      <c r="I2" s="4" t="s">
        <v>5</v>
      </c>
      <c r="J2" s="4" t="s">
        <v>21</v>
      </c>
    </row>
    <row r="3" spans="1:10" x14ac:dyDescent="0.25">
      <c r="A3" s="2" t="s">
        <v>9</v>
      </c>
      <c r="B3" s="2" t="s">
        <v>10</v>
      </c>
      <c r="C3" s="2">
        <v>2021</v>
      </c>
      <c r="D3" s="2">
        <v>12460128.155999999</v>
      </c>
      <c r="E3" s="2">
        <v>32672.95173072</v>
      </c>
      <c r="F3" s="3">
        <v>2.8388815641284579E-2</v>
      </c>
      <c r="G3" s="3">
        <v>1.009990774998547E-3</v>
      </c>
      <c r="I3" s="4" t="s">
        <v>6</v>
      </c>
      <c r="J3" s="4" t="s">
        <v>22</v>
      </c>
    </row>
    <row r="4" spans="1:10" x14ac:dyDescent="0.25">
      <c r="A4" s="2" t="s">
        <v>9</v>
      </c>
      <c r="B4" s="2" t="s">
        <v>10</v>
      </c>
      <c r="C4" s="2">
        <v>2023</v>
      </c>
      <c r="D4" s="2">
        <v>11423484.0792</v>
      </c>
      <c r="E4" s="2">
        <v>30582.725913679998</v>
      </c>
      <c r="F4" s="3">
        <v>8.6595807302297054E-5</v>
      </c>
      <c r="G4" s="3">
        <v>1.69804857508698E-3</v>
      </c>
    </row>
    <row r="5" spans="1:10" x14ac:dyDescent="0.25">
      <c r="A5" s="2" t="s">
        <v>9</v>
      </c>
      <c r="B5" s="2" t="s">
        <v>10</v>
      </c>
      <c r="C5" s="2">
        <v>2024</v>
      </c>
      <c r="D5" s="2">
        <v>11300772.48</v>
      </c>
      <c r="E5" s="2">
        <v>31974.339456000002</v>
      </c>
      <c r="F5" s="3">
        <v>5.7574468505698965E-4</v>
      </c>
      <c r="G5" s="3">
        <v>6.8807976565944413E-4</v>
      </c>
      <c r="I5" s="5" t="s">
        <v>23</v>
      </c>
    </row>
    <row r="6" spans="1:10" x14ac:dyDescent="0.25">
      <c r="A6" s="2" t="s">
        <v>7</v>
      </c>
      <c r="B6" s="2" t="s">
        <v>8</v>
      </c>
      <c r="C6" s="2">
        <v>2022</v>
      </c>
      <c r="D6" s="2">
        <v>1821631.94</v>
      </c>
      <c r="E6" s="2">
        <v>2075.48415338</v>
      </c>
      <c r="F6" s="3">
        <v>2.1284775510358608E-2</v>
      </c>
      <c r="G6" s="3">
        <v>9.5791533592884642E-4</v>
      </c>
    </row>
    <row r="7" spans="1:10" x14ac:dyDescent="0.25">
      <c r="A7" s="2" t="s">
        <v>11</v>
      </c>
      <c r="B7" s="2" t="s">
        <v>12</v>
      </c>
      <c r="C7" s="2">
        <v>2021</v>
      </c>
      <c r="D7" s="2">
        <v>1743254.7426</v>
      </c>
      <c r="E7" s="2">
        <v>5649.2667995399997</v>
      </c>
      <c r="F7" s="3">
        <v>4.3069526144492228E-2</v>
      </c>
      <c r="G7" s="3">
        <v>2.415866866318173E-3</v>
      </c>
    </row>
    <row r="8" spans="1:10" x14ac:dyDescent="0.25">
      <c r="A8" s="2" t="s">
        <v>15</v>
      </c>
      <c r="B8" s="2" t="s">
        <v>16</v>
      </c>
      <c r="C8" s="2">
        <v>2021</v>
      </c>
      <c r="D8" s="2">
        <v>1730400.6762000001</v>
      </c>
      <c r="E8" s="2">
        <v>11453.66344206</v>
      </c>
      <c r="F8" s="3">
        <v>3.6351540108211508E-4</v>
      </c>
      <c r="G8" s="3">
        <v>1.736681726385915E-4</v>
      </c>
    </row>
    <row r="9" spans="1:10" x14ac:dyDescent="0.25">
      <c r="A9" s="2" t="s">
        <v>15</v>
      </c>
      <c r="B9" s="2" t="s">
        <v>16</v>
      </c>
      <c r="C9" s="2">
        <v>2022</v>
      </c>
      <c r="D9" s="2">
        <v>1665422.6664</v>
      </c>
      <c r="E9" s="2">
        <v>8756.6848730599995</v>
      </c>
      <c r="F9" s="3">
        <v>7.9418686213037007E-3</v>
      </c>
      <c r="G9" s="3">
        <v>6.2767209962179716E-4</v>
      </c>
    </row>
    <row r="10" spans="1:10" x14ac:dyDescent="0.25">
      <c r="A10" s="2" t="s">
        <v>7</v>
      </c>
      <c r="B10" s="2" t="s">
        <v>8</v>
      </c>
      <c r="C10" s="2">
        <v>2021</v>
      </c>
      <c r="D10" s="2">
        <v>1647555.588</v>
      </c>
      <c r="E10" s="2">
        <v>2286.3627977400001</v>
      </c>
      <c r="F10" s="3">
        <v>3.8549628469778359E-3</v>
      </c>
      <c r="G10" s="3">
        <v>4.9060229684840982E-4</v>
      </c>
      <c r="H10" t="s">
        <v>17</v>
      </c>
    </row>
    <row r="11" spans="1:10" x14ac:dyDescent="0.25">
      <c r="A11" s="2" t="s">
        <v>15</v>
      </c>
      <c r="B11" s="2" t="s">
        <v>16</v>
      </c>
      <c r="C11" s="2">
        <v>2023</v>
      </c>
      <c r="D11" s="2">
        <v>1646977.0623999999</v>
      </c>
      <c r="E11" s="2">
        <v>8501.7368701600008</v>
      </c>
      <c r="F11" s="3">
        <v>3.13244725480416E-3</v>
      </c>
      <c r="G11" s="3">
        <v>3.3557754651448161E-4</v>
      </c>
    </row>
    <row r="12" spans="1:10" x14ac:dyDescent="0.25">
      <c r="A12" s="2" t="s">
        <v>15</v>
      </c>
      <c r="B12" s="2" t="s">
        <v>16</v>
      </c>
      <c r="C12" s="2">
        <v>2024</v>
      </c>
      <c r="D12" s="2">
        <v>1581936.48</v>
      </c>
      <c r="E12" s="2">
        <v>7766.5038239999994</v>
      </c>
      <c r="F12" s="3">
        <v>1.717868258658569E-2</v>
      </c>
      <c r="G12" s="3">
        <v>1.213271790439538E-4</v>
      </c>
    </row>
    <row r="13" spans="1:10" x14ac:dyDescent="0.25">
      <c r="A13" s="2" t="s">
        <v>11</v>
      </c>
      <c r="B13" s="2" t="s">
        <v>12</v>
      </c>
      <c r="C13" s="2">
        <v>2023</v>
      </c>
      <c r="D13" s="2">
        <v>1196714.5288</v>
      </c>
      <c r="E13" s="2">
        <v>5296.7583626400001</v>
      </c>
      <c r="F13" s="3">
        <v>0.1023070329623097</v>
      </c>
      <c r="G13" s="3">
        <v>6.5499992306063972E-4</v>
      </c>
    </row>
    <row r="14" spans="1:10" x14ac:dyDescent="0.25">
      <c r="A14" s="2" t="s">
        <v>11</v>
      </c>
      <c r="B14" s="2" t="s">
        <v>12</v>
      </c>
      <c r="C14" s="2">
        <v>2024</v>
      </c>
      <c r="D14" s="2">
        <v>1186586.3999999999</v>
      </c>
      <c r="E14" s="2">
        <v>4305.8265600000004</v>
      </c>
      <c r="F14" s="3">
        <v>7.4943726483957598E-2</v>
      </c>
      <c r="G14" s="3">
        <v>1.251650972211942E-3</v>
      </c>
    </row>
    <row r="15" spans="1:10" x14ac:dyDescent="0.25">
      <c r="A15" s="2" t="s">
        <v>11</v>
      </c>
      <c r="B15" s="2" t="s">
        <v>12</v>
      </c>
      <c r="C15" s="2">
        <v>2022</v>
      </c>
      <c r="D15" s="2">
        <v>1110225.9291999999</v>
      </c>
      <c r="E15" s="2">
        <v>5731.3955529599998</v>
      </c>
      <c r="F15" s="3">
        <v>2.961302102283718E-2</v>
      </c>
      <c r="G15" s="3">
        <v>1.1157895805494109E-3</v>
      </c>
    </row>
    <row r="16" spans="1:10" x14ac:dyDescent="0.25">
      <c r="A16" s="2" t="s">
        <v>13</v>
      </c>
      <c r="B16" s="2" t="s">
        <v>14</v>
      </c>
      <c r="C16" s="2">
        <v>2021</v>
      </c>
      <c r="D16" s="2">
        <v>556393.38299999991</v>
      </c>
      <c r="E16" s="2">
        <v>9537.5395684800005</v>
      </c>
      <c r="F16" s="3">
        <v>2.2354784320331711E-5</v>
      </c>
      <c r="G16" s="3">
        <v>0.66983975665100759</v>
      </c>
    </row>
    <row r="17" spans="1:7" x14ac:dyDescent="0.25">
      <c r="A17" s="2" t="s">
        <v>13</v>
      </c>
      <c r="B17" s="2" t="s">
        <v>14</v>
      </c>
      <c r="C17" s="2">
        <v>2024</v>
      </c>
      <c r="D17" s="2">
        <v>438367.2</v>
      </c>
      <c r="E17" s="2">
        <v>4244.5644000000002</v>
      </c>
      <c r="F17" s="3">
        <v>1.0462699069897489E-4</v>
      </c>
      <c r="G17" s="3">
        <v>1.199840435923177E-4</v>
      </c>
    </row>
    <row r="19" spans="1:7" x14ac:dyDescent="0.25">
      <c r="C19" t="s">
        <v>17</v>
      </c>
      <c r="D19">
        <f>MEDIAN(D2:D17)</f>
        <v>1656489.1272</v>
      </c>
    </row>
    <row r="21" spans="1:7" x14ac:dyDescent="0.25">
      <c r="D21" s="1" t="s">
        <v>3</v>
      </c>
      <c r="E21" s="1" t="s">
        <v>4</v>
      </c>
      <c r="F21" s="1" t="s">
        <v>5</v>
      </c>
      <c r="G21" s="1" t="s">
        <v>6</v>
      </c>
    </row>
    <row r="22" spans="1:7" x14ac:dyDescent="0.25">
      <c r="C22" t="s">
        <v>18</v>
      </c>
      <c r="D22" s="2">
        <f>AVERAGE(D11:D17)</f>
        <v>1102457.2833428574</v>
      </c>
      <c r="E22" s="2">
        <f t="shared" ref="E22:G22" si="0">AVERAGE(E11:E17)</f>
        <v>6483.4750197485719</v>
      </c>
      <c r="F22" s="3">
        <f t="shared" si="0"/>
        <v>3.2471698869359092E-2</v>
      </c>
      <c r="G22" s="3">
        <f t="shared" si="0"/>
        <v>9.6205583699425765E-2</v>
      </c>
    </row>
    <row r="23" spans="1:7" x14ac:dyDescent="0.25">
      <c r="C23" t="s">
        <v>19</v>
      </c>
      <c r="D23" s="2">
        <f>AVERAGE(D2:D9)</f>
        <v>6842663.1532999994</v>
      </c>
      <c r="E23" s="2">
        <f t="shared" ref="E23:G23" si="1">AVERAGE(E2:E9)</f>
        <v>19097.911644105003</v>
      </c>
      <c r="F23" s="3">
        <f t="shared" si="1"/>
        <v>1.286937987541362E-2</v>
      </c>
      <c r="G23" s="3">
        <f t="shared" si="1"/>
        <v>1.0604112949224313E-3</v>
      </c>
    </row>
    <row r="26" spans="1:7" x14ac:dyDescent="0.25">
      <c r="A26" s="2" t="s">
        <v>9</v>
      </c>
      <c r="B26" s="2" t="s">
        <v>10</v>
      </c>
      <c r="C26" s="2">
        <v>2022</v>
      </c>
      <c r="D26" s="6">
        <v>12596210.486</v>
      </c>
      <c r="E26" s="6">
        <v>29618.176784399999</v>
      </c>
      <c r="F26" s="3">
        <v>1.244197192428451E-3</v>
      </c>
      <c r="G26" s="3">
        <v>9.1204876912707078E-4</v>
      </c>
    </row>
    <row r="27" spans="1:7" x14ac:dyDescent="0.25">
      <c r="A27" s="2" t="s">
        <v>9</v>
      </c>
      <c r="B27" s="2" t="s">
        <v>10</v>
      </c>
      <c r="C27" s="2">
        <v>2021</v>
      </c>
      <c r="D27" s="6">
        <v>12460128.155999999</v>
      </c>
      <c r="E27" s="6">
        <v>32672.95173072</v>
      </c>
      <c r="F27" s="3">
        <v>2.8388815641284579E-2</v>
      </c>
      <c r="G27" s="3">
        <v>1.009990774998547E-3</v>
      </c>
    </row>
    <row r="28" spans="1:7" x14ac:dyDescent="0.25">
      <c r="A28" s="2" t="s">
        <v>9</v>
      </c>
      <c r="B28" s="2" t="s">
        <v>10</v>
      </c>
      <c r="C28" s="2">
        <v>2023</v>
      </c>
      <c r="D28" s="6">
        <v>11423484.0792</v>
      </c>
      <c r="E28" s="6">
        <v>30582.725913679998</v>
      </c>
      <c r="F28" s="3">
        <v>8.6595807302297054E-5</v>
      </c>
      <c r="G28" s="3">
        <v>1.69804857508698E-3</v>
      </c>
    </row>
    <row r="29" spans="1:7" x14ac:dyDescent="0.25">
      <c r="A29" s="2" t="s">
        <v>9</v>
      </c>
      <c r="B29" s="2" t="s">
        <v>10</v>
      </c>
      <c r="C29" s="2">
        <v>2024</v>
      </c>
      <c r="D29" s="6">
        <v>11300772.48</v>
      </c>
      <c r="E29" s="6">
        <v>31974.339456000002</v>
      </c>
      <c r="F29" s="3">
        <v>5.7574468505698965E-4</v>
      </c>
      <c r="G29" s="3">
        <v>6.8807976565944413E-4</v>
      </c>
    </row>
    <row r="31" spans="1:7" x14ac:dyDescent="0.25">
      <c r="B31" s="7" t="s">
        <v>24</v>
      </c>
      <c r="D31" s="6">
        <f>AVERAGE(D26:D27)</f>
        <v>12528169.320999999</v>
      </c>
      <c r="E31" s="6">
        <f t="shared" ref="E31:G31" si="2">AVERAGE(E26:E27)</f>
        <v>31145.56425756</v>
      </c>
      <c r="F31" s="3">
        <f t="shared" si="2"/>
        <v>1.4816506416856515E-2</v>
      </c>
      <c r="G31" s="3">
        <f t="shared" si="2"/>
        <v>9.6101977206280889E-4</v>
      </c>
    </row>
    <row r="32" spans="1:7" x14ac:dyDescent="0.25">
      <c r="B32" s="7" t="s">
        <v>25</v>
      </c>
      <c r="D32" s="6">
        <f>AVERAGE(D28:D29)</f>
        <v>11362128.2796</v>
      </c>
      <c r="E32" s="6">
        <f t="shared" ref="E32:G32" si="3">AVERAGE(E28:E29)</f>
        <v>31278.53268484</v>
      </c>
      <c r="F32" s="3">
        <f t="shared" si="3"/>
        <v>3.3117024617964334E-4</v>
      </c>
      <c r="G32" s="3">
        <f t="shared" si="3"/>
        <v>1.193064170373212E-3</v>
      </c>
    </row>
    <row r="34" spans="1:7" x14ac:dyDescent="0.25">
      <c r="B34" s="7" t="s">
        <v>26</v>
      </c>
      <c r="D34" s="6">
        <f>D31/D32</f>
        <v>1.1026252311808127</v>
      </c>
      <c r="E34" s="6">
        <f t="shared" ref="E34:G34" si="4">E31/E32</f>
        <v>0.99574889178403025</v>
      </c>
      <c r="F34" s="6">
        <f t="shared" si="4"/>
        <v>44.739847820807242</v>
      </c>
      <c r="G34" s="6">
        <f t="shared" si="4"/>
        <v>0.8055055175801521</v>
      </c>
    </row>
    <row r="37" spans="1:7" x14ac:dyDescent="0.25">
      <c r="A37" s="2" t="s">
        <v>11</v>
      </c>
      <c r="B37" s="2" t="s">
        <v>12</v>
      </c>
      <c r="C37" s="2">
        <v>2021</v>
      </c>
      <c r="D37" s="6">
        <v>1743254.7426</v>
      </c>
      <c r="E37" s="6">
        <v>5649.2667995399997</v>
      </c>
      <c r="F37" s="3">
        <v>4.3069526144492228E-2</v>
      </c>
      <c r="G37" s="3">
        <v>2.415866866318173E-3</v>
      </c>
    </row>
    <row r="38" spans="1:7" x14ac:dyDescent="0.25">
      <c r="A38" s="2" t="s">
        <v>11</v>
      </c>
      <c r="B38" s="2" t="s">
        <v>12</v>
      </c>
      <c r="C38" s="2">
        <v>2023</v>
      </c>
      <c r="D38" s="6">
        <v>1196714.5288</v>
      </c>
      <c r="E38" s="6">
        <v>5296.7583626400001</v>
      </c>
      <c r="F38" s="3">
        <v>0.1023070329623097</v>
      </c>
      <c r="G38" s="3">
        <v>6.5499992306063972E-4</v>
      </c>
    </row>
    <row r="39" spans="1:7" x14ac:dyDescent="0.25">
      <c r="A39" s="2" t="s">
        <v>11</v>
      </c>
      <c r="B39" s="2" t="s">
        <v>12</v>
      </c>
      <c r="C39" s="2">
        <v>2024</v>
      </c>
      <c r="D39" s="6">
        <v>1186586.3999999999</v>
      </c>
      <c r="E39" s="6">
        <v>4305.8265600000004</v>
      </c>
      <c r="F39" s="3">
        <v>7.4943726483957598E-2</v>
      </c>
      <c r="G39" s="3">
        <v>1.251650972211942E-3</v>
      </c>
    </row>
    <row r="40" spans="1:7" x14ac:dyDescent="0.25">
      <c r="A40" s="2" t="s">
        <v>11</v>
      </c>
      <c r="B40" s="2" t="s">
        <v>12</v>
      </c>
      <c r="C40" s="2">
        <v>2022</v>
      </c>
      <c r="D40" s="6">
        <v>1110225.9291999999</v>
      </c>
      <c r="E40" s="6">
        <v>5731.3955529599998</v>
      </c>
      <c r="F40" s="3">
        <v>2.961302102283718E-2</v>
      </c>
      <c r="G40" s="3">
        <v>1.1157895805494109E-3</v>
      </c>
    </row>
    <row r="42" spans="1:7" x14ac:dyDescent="0.25">
      <c r="B42" s="7" t="s">
        <v>24</v>
      </c>
      <c r="D42" s="6">
        <f>AVERAGE(D37:D38)</f>
        <v>1469984.6357</v>
      </c>
      <c r="E42" s="6">
        <f t="shared" ref="E42:G42" si="5">AVERAGE(E37:E38)</f>
        <v>5473.0125810899999</v>
      </c>
      <c r="F42" s="3">
        <f t="shared" si="5"/>
        <v>7.2688279553400958E-2</v>
      </c>
      <c r="G42" s="3">
        <f t="shared" si="5"/>
        <v>1.5354333946894063E-3</v>
      </c>
    </row>
    <row r="43" spans="1:7" x14ac:dyDescent="0.25">
      <c r="B43" s="7" t="s">
        <v>25</v>
      </c>
      <c r="D43" s="6">
        <f>AVERAGE(D39:D40)</f>
        <v>1148406.1645999998</v>
      </c>
      <c r="E43" s="6">
        <f t="shared" ref="E43:G43" si="6">AVERAGE(E39:E40)</f>
        <v>5018.6110564800001</v>
      </c>
      <c r="F43" s="3">
        <f t="shared" si="6"/>
        <v>5.2278373753397389E-2</v>
      </c>
      <c r="G43" s="3">
        <f t="shared" si="6"/>
        <v>1.1837202763806765E-3</v>
      </c>
    </row>
    <row r="45" spans="1:7" x14ac:dyDescent="0.25">
      <c r="B45" s="7" t="s">
        <v>26</v>
      </c>
      <c r="D45" s="6">
        <f>D42/D43</f>
        <v>1.2800215472650383</v>
      </c>
      <c r="E45" s="6">
        <f t="shared" ref="E45:G45" si="7">E42/E43</f>
        <v>1.090543283688677</v>
      </c>
      <c r="F45" s="6">
        <f t="shared" si="7"/>
        <v>1.3904082000767517</v>
      </c>
      <c r="G45" s="6">
        <f t="shared" si="7"/>
        <v>1.297125195307224</v>
      </c>
    </row>
    <row r="47" spans="1:7" x14ac:dyDescent="0.25">
      <c r="A47" s="2" t="s">
        <v>15</v>
      </c>
      <c r="B47" s="2" t="s">
        <v>16</v>
      </c>
      <c r="C47" s="2">
        <v>2021</v>
      </c>
      <c r="D47" s="6">
        <v>1730400.6762000001</v>
      </c>
      <c r="E47" s="6">
        <v>11453.66344206</v>
      </c>
      <c r="F47" s="3">
        <v>3.6351540108211508E-4</v>
      </c>
      <c r="G47" s="3">
        <v>1.736681726385915E-4</v>
      </c>
    </row>
    <row r="48" spans="1:7" x14ac:dyDescent="0.25">
      <c r="A48" s="2" t="s">
        <v>15</v>
      </c>
      <c r="B48" s="2" t="s">
        <v>16</v>
      </c>
      <c r="C48" s="2">
        <v>2022</v>
      </c>
      <c r="D48" s="6">
        <v>1665422.6664</v>
      </c>
      <c r="E48" s="6">
        <v>8756.6848730599995</v>
      </c>
      <c r="F48" s="3">
        <v>7.9418686213037007E-3</v>
      </c>
      <c r="G48" s="3">
        <v>6.2767209962179716E-4</v>
      </c>
    </row>
    <row r="49" spans="1:7" x14ac:dyDescent="0.25">
      <c r="A49" s="2" t="s">
        <v>15</v>
      </c>
      <c r="B49" s="2" t="s">
        <v>16</v>
      </c>
      <c r="C49" s="2">
        <v>2023</v>
      </c>
      <c r="D49" s="6">
        <v>1646977.0623999999</v>
      </c>
      <c r="E49" s="6">
        <v>8501.7368701600008</v>
      </c>
      <c r="F49" s="3">
        <v>3.13244725480416E-3</v>
      </c>
      <c r="G49" s="3">
        <v>3.3557754651448161E-4</v>
      </c>
    </row>
    <row r="50" spans="1:7" x14ac:dyDescent="0.25">
      <c r="A50" s="2" t="s">
        <v>15</v>
      </c>
      <c r="B50" s="2" t="s">
        <v>16</v>
      </c>
      <c r="C50" s="2">
        <v>2024</v>
      </c>
      <c r="D50" s="6">
        <v>1581936.48</v>
      </c>
      <c r="E50" s="6">
        <v>7766.5038239999994</v>
      </c>
      <c r="F50" s="3">
        <v>1.717868258658569E-2</v>
      </c>
      <c r="G50" s="3">
        <v>1.213271790439538E-4</v>
      </c>
    </row>
    <row r="52" spans="1:7" x14ac:dyDescent="0.25">
      <c r="B52" s="7" t="s">
        <v>24</v>
      </c>
      <c r="D52" s="6">
        <f>AVERAGE(D47:D48)</f>
        <v>1697911.6713</v>
      </c>
      <c r="E52" s="6">
        <f t="shared" ref="E52:G52" si="8">AVERAGE(E47:E48)</f>
        <v>10105.174157559999</v>
      </c>
      <c r="F52" s="3">
        <f t="shared" si="8"/>
        <v>4.1526920111929081E-3</v>
      </c>
      <c r="G52" s="3">
        <f t="shared" si="8"/>
        <v>4.0067013613019435E-4</v>
      </c>
    </row>
    <row r="53" spans="1:7" x14ac:dyDescent="0.25">
      <c r="B53" s="7" t="s">
        <v>25</v>
      </c>
      <c r="D53" s="6">
        <f>AVERAGE(D49:D50)</f>
        <v>1614456.7711999998</v>
      </c>
      <c r="E53" s="6">
        <f t="shared" ref="E53:G53" si="9">AVERAGE(E49:E50)</f>
        <v>8134.1203470800001</v>
      </c>
      <c r="F53" s="3">
        <f t="shared" si="9"/>
        <v>1.0155564920694925E-2</v>
      </c>
      <c r="G53" s="3">
        <f t="shared" si="9"/>
        <v>2.2845236277921772E-4</v>
      </c>
    </row>
    <row r="55" spans="1:7" x14ac:dyDescent="0.25">
      <c r="B55" s="7" t="s">
        <v>26</v>
      </c>
      <c r="D55" s="6">
        <f>D52/D53</f>
        <v>1.0516922481844897</v>
      </c>
      <c r="E55" s="6">
        <f t="shared" ref="E55:G55" si="10">E52/E53</f>
        <v>1.2423192338416251</v>
      </c>
      <c r="F55" s="6">
        <f t="shared" si="10"/>
        <v>0.40890802664562625</v>
      </c>
      <c r="G55" s="6">
        <f t="shared" si="10"/>
        <v>1.7538454461835107</v>
      </c>
    </row>
  </sheetData>
  <sortState ref="A2:G17">
    <sortCondition descending="1" ref="D2:D17"/>
  </sortState>
  <conditionalFormatting sqref="D2:D17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7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7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:D2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:E29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:F29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:G29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:D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:E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:F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:G3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:D4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:E40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:F40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:G40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D4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2:E4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2:F4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2:G43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:D5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7:E5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7:F5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7:G5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2026-05-08T07:35:04Z</dcterms:created>
  <dcterms:modified xsi:type="dcterms:W3CDTF">2026-05-22T08:28:36Z</dcterms:modified>
</cp:coreProperties>
</file>