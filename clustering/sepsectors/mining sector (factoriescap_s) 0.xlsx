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minimized="1"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39" i="1" l="1"/>
  <c r="K39" i="1"/>
  <c r="L110" i="1" l="1"/>
  <c r="K110" i="1"/>
  <c r="L86" i="1"/>
  <c r="K86" i="1"/>
  <c r="L62" i="1"/>
  <c r="K62" i="1"/>
  <c r="G84" i="1" l="1"/>
  <c r="G87" i="1" s="1"/>
  <c r="F84" i="1"/>
  <c r="F87" i="1" s="1"/>
  <c r="E84" i="1"/>
  <c r="E88" i="1" s="1"/>
  <c r="D84" i="1"/>
  <c r="D88" i="1" s="1"/>
  <c r="C84" i="1"/>
  <c r="C89" i="1" s="1"/>
  <c r="D63" i="1"/>
  <c r="E63" i="1"/>
  <c r="F63" i="1"/>
  <c r="G63" i="1"/>
  <c r="D64" i="1"/>
  <c r="E64" i="1"/>
  <c r="F64" i="1"/>
  <c r="G64" i="1"/>
  <c r="D65" i="1"/>
  <c r="E65" i="1"/>
  <c r="F65" i="1"/>
  <c r="G65" i="1"/>
  <c r="D62" i="1"/>
  <c r="E62" i="1"/>
  <c r="F62" i="1"/>
  <c r="G62" i="1"/>
  <c r="C63" i="1"/>
  <c r="C64" i="1"/>
  <c r="C65" i="1"/>
  <c r="C62" i="1"/>
  <c r="G60" i="1"/>
  <c r="F60" i="1"/>
  <c r="E60" i="1"/>
  <c r="D60" i="1"/>
  <c r="C60" i="1"/>
  <c r="D39" i="1"/>
  <c r="E39" i="1"/>
  <c r="F39" i="1"/>
  <c r="G39" i="1"/>
  <c r="D40" i="1"/>
  <c r="E40" i="1"/>
  <c r="F40" i="1"/>
  <c r="G40" i="1"/>
  <c r="D41" i="1"/>
  <c r="E41" i="1"/>
  <c r="F41" i="1"/>
  <c r="G41" i="1"/>
  <c r="D38" i="1"/>
  <c r="E38" i="1"/>
  <c r="F38" i="1"/>
  <c r="G38" i="1"/>
  <c r="G36" i="1"/>
  <c r="F36" i="1"/>
  <c r="E36" i="1"/>
  <c r="D36" i="1"/>
  <c r="C36" i="1"/>
  <c r="C39" i="1" s="1"/>
  <c r="E87" i="1" l="1"/>
  <c r="C88" i="1"/>
  <c r="D87" i="1"/>
  <c r="G86" i="1"/>
  <c r="E86" i="1"/>
  <c r="E89" i="1"/>
  <c r="D89" i="1"/>
  <c r="G88" i="1"/>
  <c r="C87" i="1"/>
  <c r="F86" i="1"/>
  <c r="F88" i="1"/>
  <c r="D86" i="1"/>
  <c r="C86" i="1"/>
  <c r="G89" i="1"/>
  <c r="F89" i="1"/>
  <c r="C41" i="1"/>
  <c r="C38" i="1"/>
  <c r="C40" i="1"/>
  <c r="G80" i="1"/>
  <c r="F80" i="1"/>
  <c r="E80" i="1"/>
  <c r="D80" i="1"/>
  <c r="G79" i="1"/>
  <c r="G82" i="1" s="1"/>
  <c r="F79" i="1"/>
  <c r="E79" i="1"/>
  <c r="D79" i="1"/>
  <c r="G56" i="1"/>
  <c r="F56" i="1"/>
  <c r="E56" i="1"/>
  <c r="D56" i="1"/>
  <c r="G55" i="1"/>
  <c r="G58" i="1" s="1"/>
  <c r="F55" i="1"/>
  <c r="E55" i="1"/>
  <c r="D55" i="1"/>
  <c r="G32" i="1"/>
  <c r="F32" i="1"/>
  <c r="E32" i="1"/>
  <c r="D32" i="1"/>
  <c r="G31" i="1"/>
  <c r="G34" i="1" s="1"/>
  <c r="F31" i="1"/>
  <c r="F34" i="1" s="1"/>
  <c r="E31" i="1"/>
  <c r="E34" i="1" s="1"/>
  <c r="D31" i="1"/>
  <c r="D34" i="1" s="1"/>
  <c r="D82" i="1" l="1"/>
  <c r="E58" i="1"/>
  <c r="E82" i="1"/>
  <c r="D58" i="1"/>
  <c r="F58" i="1"/>
  <c r="F82" i="1"/>
  <c r="E23" i="1"/>
  <c r="F23" i="1"/>
  <c r="G23" i="1"/>
  <c r="D23" i="1"/>
  <c r="E22" i="1"/>
  <c r="F22" i="1"/>
  <c r="G22" i="1"/>
  <c r="D22" i="1"/>
  <c r="D19" i="1"/>
</calcChain>
</file>

<file path=xl/sharedStrings.xml><?xml version="1.0" encoding="utf-8"?>
<sst xmlns="http://schemas.openxmlformats.org/spreadsheetml/2006/main" count="131" uniqueCount="31">
  <si>
    <t>sector</t>
  </si>
  <si>
    <t>okved2</t>
  </si>
  <si>
    <t>year</t>
  </si>
  <si>
    <t>factoriescap_s</t>
  </si>
  <si>
    <t>ITcosts_s</t>
  </si>
  <si>
    <t>skvozcosts_s</t>
  </si>
  <si>
    <t>trainingcosts_s</t>
  </si>
  <si>
    <t>Добыча угля</t>
  </si>
  <si>
    <t>05</t>
  </si>
  <si>
    <t>Добыча нефти и природного газа</t>
  </si>
  <si>
    <t>06</t>
  </si>
  <si>
    <t>Добыча металлических руд</t>
  </si>
  <si>
    <t>07</t>
  </si>
  <si>
    <t>Добыча прочих полезных ископаемых</t>
  </si>
  <si>
    <t>08</t>
  </si>
  <si>
    <t>Предоставление услуг в области добычи полезных ископаемых</t>
  </si>
  <si>
    <t>09</t>
  </si>
  <si>
    <t>Медиана</t>
  </si>
  <si>
    <t>Нижний</t>
  </si>
  <si>
    <t>Верхний</t>
  </si>
  <si>
    <t>Затраты организации на внедрение и использование цифровых технологий, всего</t>
  </si>
  <si>
    <t>Затраты на "сквозные" цифровые технологии</t>
  </si>
  <si>
    <t>Затраты на обучение сотрудников, связанное с внедрением и использованием цифровых технологий</t>
  </si>
  <si>
    <t xml:space="preserve">Доли сквозных техн. и обучения персонала получены от ITcosts_s </t>
  </si>
  <si>
    <t>верхний кластер:</t>
  </si>
  <si>
    <t>нижний кластер:</t>
  </si>
  <si>
    <t>разница</t>
  </si>
  <si>
    <t>Year</t>
  </si>
  <si>
    <t>best</t>
  </si>
  <si>
    <t>worst</t>
  </si>
  <si>
    <t>сред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</si>
</sst>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2" fontId="0" fillId="0" borderId="0" xfId="0" applyNumberForma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Sheet1!$C$44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Sheet1!$D$44:$G$44</c:f>
              <c:numCache>
                <c:formatCode>General</c:formatCode>
                <c:ptCount val="4"/>
                <c:pt idx="0">
                  <c:v>1</c:v>
                </c:pt>
                <c:pt idx="1">
                  <c:v>0.97861802384805219</c:v>
                </c:pt>
                <c:pt idx="2">
                  <c:v>2.0280687025904316E-2</c:v>
                </c:pt>
                <c:pt idx="3">
                  <c:v>0.40521795180340958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4-4428-B98A-36ED0CEBEA0B}"/>
            </c:ext>
          </c:extLst>
        </c:ser>
        <c:ser>
          <c:idx val="3"/>
          <c:order val="1"/>
          <c:tx>
            <c:strRef>
              <c:f>Sheet1!$C$47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Sheet1!$D$47:$G$47</c:f>
              <c:numCache>
                <c:formatCode>General</c:formatCode>
                <c:ptCount val="4"/>
                <c:pt idx="0">
                  <c:v>0.5</c:v>
                </c:pt>
                <c:pt idx="1">
                  <c:v>0.9065044697676391</c:v>
                </c:pt>
                <c:pt idx="2">
                  <c:v>4.3827020054301634E-2</c:v>
                </c:pt>
                <c:pt idx="3">
                  <c:v>0.53711582961067672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E4-4428-B98A-36ED0CEB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Sheet1!$C$68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Sheet1!$D$68:$G$68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0.28945244686889443</c:v>
                </c:pt>
                <c:pt idx="3">
                  <c:v>0.46185888639215267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A-4E36-8F98-28BF4F7796B2}"/>
            </c:ext>
          </c:extLst>
        </c:ser>
        <c:ser>
          <c:idx val="3"/>
          <c:order val="1"/>
          <c:tx>
            <c:strRef>
              <c:f>Sheet1!$C$71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Sheet1!$D$71:$G$71</c:f>
              <c:numCache>
                <c:formatCode>General</c:formatCode>
                <c:ptCount val="4"/>
                <c:pt idx="0">
                  <c:v>0.25</c:v>
                </c:pt>
                <c:pt idx="1">
                  <c:v>0.98567037422891113</c:v>
                </c:pt>
                <c:pt idx="2">
                  <c:v>0.42098304385739743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A-4E36-8F98-28BF4F77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Sheet1!$C$92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Sheet1!$D$92:$G$92</c:f>
              <c:numCache>
                <c:formatCode>General</c:formatCode>
                <c:ptCount val="4"/>
                <c:pt idx="0">
                  <c:v>1</c:v>
                </c:pt>
                <c:pt idx="1">
                  <c:v>0.67808032454314493</c:v>
                </c:pt>
                <c:pt idx="2">
                  <c:v>1</c:v>
                </c:pt>
                <c:pt idx="3">
                  <c:v>0.19329707201747426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B-4295-8E85-83ADBF1EE423}"/>
            </c:ext>
          </c:extLst>
        </c:ser>
        <c:ser>
          <c:idx val="3"/>
          <c:order val="1"/>
          <c:tx>
            <c:strRef>
              <c:f>Sheet1!$C$95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Sheet1!$D$95:$G$95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2.1160842762527853E-2</c:v>
                </c:pt>
                <c:pt idx="3">
                  <c:v>0.2766861435186222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B-4295-8E85-83ADBF1EE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247403</xdr:colOff>
      <xdr:row>12</xdr:row>
      <xdr:rowOff>6185</xdr:rowOff>
    </xdr:from>
    <xdr:to>
      <xdr:col>21</xdr:col>
      <xdr:colOff>230550</xdr:colOff>
      <xdr:row>34</xdr:row>
      <xdr:rowOff>141964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357497</xdr:colOff>
      <xdr:row>12</xdr:row>
      <xdr:rowOff>44533</xdr:rowOff>
    </xdr:from>
    <xdr:to>
      <xdr:col>30</xdr:col>
      <xdr:colOff>324564</xdr:colOff>
      <xdr:row>34</xdr:row>
      <xdr:rowOff>180312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289315</xdr:colOff>
      <xdr:row>35</xdr:row>
      <xdr:rowOff>179295</xdr:rowOff>
    </xdr:from>
    <xdr:to>
      <xdr:col>21</xdr:col>
      <xdr:colOff>249252</xdr:colOff>
      <xdr:row>58</xdr:row>
      <xdr:rowOff>124574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topLeftCell="A31" zoomScale="70" zoomScaleNormal="70" workbookViewId="0">
      <selection activeCell="A74" sqref="A74"/>
    </sheetView>
  </sheetViews>
  <sheetFormatPr defaultRowHeight="15" x14ac:dyDescent="0.25"/>
  <cols>
    <col min="1" max="1" width="67" customWidth="1"/>
    <col min="4" max="4" width="15.5703125" customWidth="1"/>
    <col min="5" max="5" width="16" customWidth="1"/>
    <col min="6" max="6" width="14" customWidth="1"/>
    <col min="7" max="7" width="14.85546875" customWidth="1"/>
    <col min="9" max="9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4" t="s">
        <v>4</v>
      </c>
      <c r="J1" s="4" t="s">
        <v>20</v>
      </c>
    </row>
    <row r="2" spans="1:10" x14ac:dyDescent="0.25">
      <c r="A2" s="2" t="s">
        <v>9</v>
      </c>
      <c r="B2" s="2" t="s">
        <v>10</v>
      </c>
      <c r="C2" s="2">
        <v>2022</v>
      </c>
      <c r="D2" s="2">
        <v>12596210.486</v>
      </c>
      <c r="E2" s="2">
        <v>29618.176784399999</v>
      </c>
      <c r="F2" s="3">
        <v>1.244197192428451E-3</v>
      </c>
      <c r="G2" s="3">
        <v>9.1204876912707078E-4</v>
      </c>
      <c r="I2" s="4" t="s">
        <v>5</v>
      </c>
      <c r="J2" s="4" t="s">
        <v>21</v>
      </c>
    </row>
    <row r="3" spans="1:10" x14ac:dyDescent="0.25">
      <c r="A3" s="2" t="s">
        <v>9</v>
      </c>
      <c r="B3" s="2" t="s">
        <v>10</v>
      </c>
      <c r="C3" s="2">
        <v>2021</v>
      </c>
      <c r="D3" s="2">
        <v>12460128.155999999</v>
      </c>
      <c r="E3" s="2">
        <v>32672.95173072</v>
      </c>
      <c r="F3" s="3">
        <v>2.8388815641284579E-2</v>
      </c>
      <c r="G3" s="3">
        <v>1.009990774998547E-3</v>
      </c>
      <c r="I3" s="4" t="s">
        <v>6</v>
      </c>
      <c r="J3" s="4" t="s">
        <v>22</v>
      </c>
    </row>
    <row r="4" spans="1:10" x14ac:dyDescent="0.25">
      <c r="A4" s="2" t="s">
        <v>9</v>
      </c>
      <c r="B4" s="2" t="s">
        <v>10</v>
      </c>
      <c r="C4" s="2">
        <v>2023</v>
      </c>
      <c r="D4" s="2">
        <v>11423484.0792</v>
      </c>
      <c r="E4" s="2">
        <v>30582.725913679998</v>
      </c>
      <c r="F4" s="3">
        <v>8.6595807302297054E-5</v>
      </c>
      <c r="G4" s="3">
        <v>1.69804857508698E-3</v>
      </c>
    </row>
    <row r="5" spans="1:10" x14ac:dyDescent="0.25">
      <c r="A5" s="2" t="s">
        <v>9</v>
      </c>
      <c r="B5" s="2" t="s">
        <v>10</v>
      </c>
      <c r="C5" s="2">
        <v>2024</v>
      </c>
      <c r="D5" s="2">
        <v>11300772.48</v>
      </c>
      <c r="E5" s="2">
        <v>31974.339456000002</v>
      </c>
      <c r="F5" s="3">
        <v>5.7574468505698965E-4</v>
      </c>
      <c r="G5" s="3">
        <v>6.8807976565944413E-4</v>
      </c>
      <c r="I5" s="5" t="s">
        <v>23</v>
      </c>
    </row>
    <row r="6" spans="1:10" x14ac:dyDescent="0.25">
      <c r="A6" s="2" t="s">
        <v>7</v>
      </c>
      <c r="B6" s="2" t="s">
        <v>8</v>
      </c>
      <c r="C6" s="2">
        <v>2022</v>
      </c>
      <c r="D6" s="2">
        <v>1821631.94</v>
      </c>
      <c r="E6" s="2">
        <v>2075.48415338</v>
      </c>
      <c r="F6" s="3">
        <v>2.1284775510358608E-2</v>
      </c>
      <c r="G6" s="3">
        <v>9.5791533592884642E-4</v>
      </c>
    </row>
    <row r="7" spans="1:10" x14ac:dyDescent="0.25">
      <c r="A7" s="2" t="s">
        <v>11</v>
      </c>
      <c r="B7" s="2" t="s">
        <v>12</v>
      </c>
      <c r="C7" s="2">
        <v>2021</v>
      </c>
      <c r="D7" s="2">
        <v>1743254.7426</v>
      </c>
      <c r="E7" s="2">
        <v>5649.2667995399997</v>
      </c>
      <c r="F7" s="3">
        <v>4.3069526144492228E-2</v>
      </c>
      <c r="G7" s="3">
        <v>2.415866866318173E-3</v>
      </c>
    </row>
    <row r="8" spans="1:10" x14ac:dyDescent="0.25">
      <c r="A8" s="2" t="s">
        <v>15</v>
      </c>
      <c r="B8" s="2" t="s">
        <v>16</v>
      </c>
      <c r="C8" s="2">
        <v>2021</v>
      </c>
      <c r="D8" s="2">
        <v>1730400.6762000001</v>
      </c>
      <c r="E8" s="2">
        <v>11453.66344206</v>
      </c>
      <c r="F8" s="3">
        <v>3.6351540108211508E-4</v>
      </c>
      <c r="G8" s="3">
        <v>1.736681726385915E-4</v>
      </c>
    </row>
    <row r="9" spans="1:10" x14ac:dyDescent="0.25">
      <c r="A9" s="2" t="s">
        <v>15</v>
      </c>
      <c r="B9" s="2" t="s">
        <v>16</v>
      </c>
      <c r="C9" s="2">
        <v>2022</v>
      </c>
      <c r="D9" s="2">
        <v>1665422.6664</v>
      </c>
      <c r="E9" s="2">
        <v>8756.6848730599995</v>
      </c>
      <c r="F9" s="3">
        <v>7.9418686213037007E-3</v>
      </c>
      <c r="G9" s="3">
        <v>6.2767209962179716E-4</v>
      </c>
    </row>
    <row r="10" spans="1:10" x14ac:dyDescent="0.25">
      <c r="A10" s="2" t="s">
        <v>7</v>
      </c>
      <c r="B10" s="2" t="s">
        <v>8</v>
      </c>
      <c r="C10" s="2">
        <v>2021</v>
      </c>
      <c r="D10" s="2">
        <v>1647555.588</v>
      </c>
      <c r="E10" s="2">
        <v>2286.3627977400001</v>
      </c>
      <c r="F10" s="3">
        <v>3.8549628469778359E-3</v>
      </c>
      <c r="G10" s="3">
        <v>4.9060229684840982E-4</v>
      </c>
      <c r="H10" t="s">
        <v>17</v>
      </c>
    </row>
    <row r="11" spans="1:10" x14ac:dyDescent="0.25">
      <c r="A11" s="2" t="s">
        <v>15</v>
      </c>
      <c r="B11" s="2" t="s">
        <v>16</v>
      </c>
      <c r="C11" s="2">
        <v>2023</v>
      </c>
      <c r="D11" s="2">
        <v>1646977.0623999999</v>
      </c>
      <c r="E11" s="2">
        <v>8501.7368701600008</v>
      </c>
      <c r="F11" s="3">
        <v>3.13244725480416E-3</v>
      </c>
      <c r="G11" s="3">
        <v>3.3557754651448161E-4</v>
      </c>
    </row>
    <row r="12" spans="1:10" x14ac:dyDescent="0.25">
      <c r="A12" s="2" t="s">
        <v>15</v>
      </c>
      <c r="B12" s="2" t="s">
        <v>16</v>
      </c>
      <c r="C12" s="2">
        <v>2024</v>
      </c>
      <c r="D12" s="2">
        <v>1581936.48</v>
      </c>
      <c r="E12" s="2">
        <v>7766.5038239999994</v>
      </c>
      <c r="F12" s="3">
        <v>1.717868258658569E-2</v>
      </c>
      <c r="G12" s="3">
        <v>1.213271790439538E-4</v>
      </c>
    </row>
    <row r="13" spans="1:10" x14ac:dyDescent="0.25">
      <c r="A13" s="2" t="s">
        <v>11</v>
      </c>
      <c r="B13" s="2" t="s">
        <v>12</v>
      </c>
      <c r="C13" s="2">
        <v>2023</v>
      </c>
      <c r="D13" s="2">
        <v>1196714.5288</v>
      </c>
      <c r="E13" s="2">
        <v>5296.7583626400001</v>
      </c>
      <c r="F13" s="3">
        <v>0.1023070329623097</v>
      </c>
      <c r="G13" s="3">
        <v>6.5499992306063972E-4</v>
      </c>
    </row>
    <row r="14" spans="1:10" x14ac:dyDescent="0.25">
      <c r="A14" s="2" t="s">
        <v>11</v>
      </c>
      <c r="B14" s="2" t="s">
        <v>12</v>
      </c>
      <c r="C14" s="2">
        <v>2024</v>
      </c>
      <c r="D14" s="2">
        <v>1186586.3999999999</v>
      </c>
      <c r="E14" s="2">
        <v>4305.8265600000004</v>
      </c>
      <c r="F14" s="3">
        <v>7.4943726483957598E-2</v>
      </c>
      <c r="G14" s="3">
        <v>1.251650972211942E-3</v>
      </c>
    </row>
    <row r="15" spans="1:10" x14ac:dyDescent="0.25">
      <c r="A15" s="2" t="s">
        <v>11</v>
      </c>
      <c r="B15" s="2" t="s">
        <v>12</v>
      </c>
      <c r="C15" s="2">
        <v>2022</v>
      </c>
      <c r="D15" s="2">
        <v>1110225.9291999999</v>
      </c>
      <c r="E15" s="2">
        <v>5731.3955529599998</v>
      </c>
      <c r="F15" s="3">
        <v>2.961302102283718E-2</v>
      </c>
      <c r="G15" s="3">
        <v>1.1157895805494109E-3</v>
      </c>
    </row>
    <row r="16" spans="1:10" x14ac:dyDescent="0.25">
      <c r="A16" s="2" t="s">
        <v>13</v>
      </c>
      <c r="B16" s="2" t="s">
        <v>14</v>
      </c>
      <c r="C16" s="2">
        <v>2021</v>
      </c>
      <c r="D16" s="2">
        <v>556393.38299999991</v>
      </c>
      <c r="E16" s="2">
        <v>9537.5395684800005</v>
      </c>
      <c r="F16" s="3">
        <v>2.2354784320331711E-5</v>
      </c>
      <c r="G16" s="3">
        <v>0.66983975665100759</v>
      </c>
    </row>
    <row r="17" spans="1:7" x14ac:dyDescent="0.25">
      <c r="A17" s="2" t="s">
        <v>13</v>
      </c>
      <c r="B17" s="2" t="s">
        <v>14</v>
      </c>
      <c r="C17" s="2">
        <v>2024</v>
      </c>
      <c r="D17" s="2">
        <v>438367.2</v>
      </c>
      <c r="E17" s="2">
        <v>4244.5644000000002</v>
      </c>
      <c r="F17" s="3">
        <v>1.0462699069897489E-4</v>
      </c>
      <c r="G17" s="3">
        <v>1.199840435923177E-4</v>
      </c>
    </row>
    <row r="19" spans="1:7" x14ac:dyDescent="0.25">
      <c r="C19" t="s">
        <v>17</v>
      </c>
      <c r="D19">
        <f>MEDIAN(D2:D17)</f>
        <v>1656489.1272</v>
      </c>
    </row>
    <row r="21" spans="1:7" x14ac:dyDescent="0.25">
      <c r="D21" s="1" t="s">
        <v>3</v>
      </c>
      <c r="E21" s="1" t="s">
        <v>4</v>
      </c>
      <c r="F21" s="1" t="s">
        <v>5</v>
      </c>
      <c r="G21" s="1" t="s">
        <v>6</v>
      </c>
    </row>
    <row r="22" spans="1:7" x14ac:dyDescent="0.25">
      <c r="C22" t="s">
        <v>18</v>
      </c>
      <c r="D22" s="2">
        <f>AVERAGE(D11:D17)</f>
        <v>1102457.2833428574</v>
      </c>
      <c r="E22" s="2">
        <f t="shared" ref="E22:G22" si="0">AVERAGE(E11:E17)</f>
        <v>6483.4750197485719</v>
      </c>
      <c r="F22" s="3">
        <f t="shared" si="0"/>
        <v>3.2471698869359092E-2</v>
      </c>
      <c r="G22" s="3">
        <f t="shared" si="0"/>
        <v>9.6205583699425765E-2</v>
      </c>
    </row>
    <row r="23" spans="1:7" x14ac:dyDescent="0.25">
      <c r="C23" t="s">
        <v>19</v>
      </c>
      <c r="D23" s="2">
        <f>AVERAGE(D2:D9)</f>
        <v>6842663.1532999994</v>
      </c>
      <c r="E23" s="2">
        <f t="shared" ref="E23:G23" si="1">AVERAGE(E2:E9)</f>
        <v>19097.911644105003</v>
      </c>
      <c r="F23" s="3">
        <f t="shared" si="1"/>
        <v>1.286937987541362E-2</v>
      </c>
      <c r="G23" s="3">
        <f t="shared" si="1"/>
        <v>1.0604112949224313E-3</v>
      </c>
    </row>
    <row r="25" spans="1:7" x14ac:dyDescent="0.25">
      <c r="C25" s="8" t="s">
        <v>27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7" x14ac:dyDescent="0.25">
      <c r="A26" s="2" t="s">
        <v>9</v>
      </c>
      <c r="B26" s="2" t="s">
        <v>10</v>
      </c>
      <c r="C26" s="2">
        <v>2</v>
      </c>
      <c r="D26" s="6">
        <v>12596210.486</v>
      </c>
      <c r="E26" s="6">
        <v>29618.176784399999</v>
      </c>
      <c r="F26" s="3">
        <v>1.244197192428451E-3</v>
      </c>
      <c r="G26" s="3">
        <v>9.1204876912707078E-4</v>
      </c>
    </row>
    <row r="27" spans="1:7" x14ac:dyDescent="0.25">
      <c r="A27" s="2" t="s">
        <v>9</v>
      </c>
      <c r="B27" s="2" t="s">
        <v>10</v>
      </c>
      <c r="C27" s="2">
        <v>1</v>
      </c>
      <c r="D27" s="6">
        <v>12460128.155999999</v>
      </c>
      <c r="E27" s="6">
        <v>32672.95173072</v>
      </c>
      <c r="F27" s="3">
        <v>2.8388815641284579E-2</v>
      </c>
      <c r="G27" s="3">
        <v>1.009990774998547E-3</v>
      </c>
    </row>
    <row r="28" spans="1:7" x14ac:dyDescent="0.25">
      <c r="A28" s="2" t="s">
        <v>9</v>
      </c>
      <c r="B28" s="2" t="s">
        <v>10</v>
      </c>
      <c r="C28" s="2">
        <v>3</v>
      </c>
      <c r="D28" s="6">
        <v>11423484.0792</v>
      </c>
      <c r="E28" s="6">
        <v>30582.725913679998</v>
      </c>
      <c r="F28" s="3">
        <v>8.6595807302297054E-5</v>
      </c>
      <c r="G28" s="3">
        <v>1.69804857508698E-3</v>
      </c>
    </row>
    <row r="29" spans="1:7" x14ac:dyDescent="0.25">
      <c r="A29" s="2" t="s">
        <v>9</v>
      </c>
      <c r="B29" s="2" t="s">
        <v>10</v>
      </c>
      <c r="C29" s="2">
        <v>4</v>
      </c>
      <c r="D29" s="6">
        <v>11300772.48</v>
      </c>
      <c r="E29" s="6">
        <v>31974.339456000002</v>
      </c>
      <c r="F29" s="3">
        <v>5.7574468505698965E-4</v>
      </c>
      <c r="G29" s="3">
        <v>6.8807976565944413E-4</v>
      </c>
    </row>
    <row r="31" spans="1:7" x14ac:dyDescent="0.25">
      <c r="B31" s="7" t="s">
        <v>24</v>
      </c>
      <c r="D31" s="6">
        <f>AVERAGE(D26:D27)</f>
        <v>12528169.320999999</v>
      </c>
      <c r="E31" s="6">
        <f t="shared" ref="E31:G31" si="2">AVERAGE(E26:E27)</f>
        <v>31145.56425756</v>
      </c>
      <c r="F31" s="3">
        <f t="shared" si="2"/>
        <v>1.4816506416856515E-2</v>
      </c>
      <c r="G31" s="3">
        <f t="shared" si="2"/>
        <v>9.6101977206280889E-4</v>
      </c>
    </row>
    <row r="32" spans="1:7" x14ac:dyDescent="0.25">
      <c r="B32" s="7" t="s">
        <v>25</v>
      </c>
      <c r="D32" s="6">
        <f>AVERAGE(D28:D29)</f>
        <v>11362128.2796</v>
      </c>
      <c r="E32" s="6">
        <f t="shared" ref="E32:G32" si="3">AVERAGE(E28:E29)</f>
        <v>31278.53268484</v>
      </c>
      <c r="F32" s="3">
        <f t="shared" si="3"/>
        <v>3.3117024617964334E-4</v>
      </c>
      <c r="G32" s="3">
        <f t="shared" si="3"/>
        <v>1.193064170373212E-3</v>
      </c>
    </row>
    <row r="34" spans="2:12" x14ac:dyDescent="0.25">
      <c r="B34" s="7" t="s">
        <v>26</v>
      </c>
      <c r="D34" s="6">
        <f>D31/D32</f>
        <v>1.1026252311808127</v>
      </c>
      <c r="E34" s="6">
        <f t="shared" ref="E34:G34" si="4">E31/E32</f>
        <v>0.99574889178403025</v>
      </c>
      <c r="F34" s="6">
        <f t="shared" si="4"/>
        <v>44.739847820807242</v>
      </c>
      <c r="G34" s="6">
        <f t="shared" si="4"/>
        <v>0.8055055175801521</v>
      </c>
      <c r="J34" s="8"/>
      <c r="K34" s="8" t="s">
        <v>28</v>
      </c>
      <c r="L34" s="8" t="s">
        <v>29</v>
      </c>
    </row>
    <row r="35" spans="2:12" x14ac:dyDescent="0.25">
      <c r="J35" s="8">
        <v>6</v>
      </c>
      <c r="K35" s="9">
        <v>0.3925398627504042</v>
      </c>
      <c r="L35" s="9">
        <v>0.70595055998441802</v>
      </c>
    </row>
    <row r="36" spans="2:12" x14ac:dyDescent="0.25">
      <c r="C36" s="2">
        <f>MAX(C26:C29)</f>
        <v>4</v>
      </c>
      <c r="D36" s="2">
        <f t="shared" ref="D36:G36" si="5">MAX(D26:D29)</f>
        <v>12596210.486</v>
      </c>
      <c r="E36" s="2">
        <f t="shared" si="5"/>
        <v>32672.95173072</v>
      </c>
      <c r="F36" s="2">
        <f t="shared" si="5"/>
        <v>2.8388815641284579E-2</v>
      </c>
      <c r="G36" s="2">
        <f t="shared" si="5"/>
        <v>1.69804857508698E-3</v>
      </c>
      <c r="J36" s="8">
        <v>7</v>
      </c>
      <c r="K36" s="6">
        <v>0.66617557589878618</v>
      </c>
      <c r="L36" s="6">
        <v>0.57703403741966097</v>
      </c>
    </row>
    <row r="37" spans="2:12" x14ac:dyDescent="0.25">
      <c r="C37" s="8" t="s">
        <v>27</v>
      </c>
      <c r="D37" s="1" t="s">
        <v>3</v>
      </c>
      <c r="E37" s="1" t="s">
        <v>4</v>
      </c>
      <c r="F37" s="1" t="s">
        <v>5</v>
      </c>
      <c r="G37" s="1" t="s">
        <v>6</v>
      </c>
      <c r="J37" s="8">
        <v>9</v>
      </c>
      <c r="K37" s="6">
        <v>0.17309364530987559</v>
      </c>
      <c r="L37" s="6">
        <v>0.87137739656061919</v>
      </c>
    </row>
    <row r="38" spans="2:12" x14ac:dyDescent="0.25">
      <c r="C38" s="2">
        <f>C26/C$36</f>
        <v>0.5</v>
      </c>
      <c r="D38" s="2">
        <f t="shared" ref="D38:G38" si="6">D26/D$36</f>
        <v>1</v>
      </c>
      <c r="E38" s="2">
        <f t="shared" si="6"/>
        <v>0.9065044697676391</v>
      </c>
      <c r="F38" s="2">
        <f t="shared" si="6"/>
        <v>4.3827020054301634E-2</v>
      </c>
      <c r="G38" s="2">
        <f t="shared" si="6"/>
        <v>0.53711582961067672</v>
      </c>
    </row>
    <row r="39" spans="2:12" x14ac:dyDescent="0.25">
      <c r="C39" s="2">
        <f t="shared" ref="C39:G41" si="7">C27/C$36</f>
        <v>0.25</v>
      </c>
      <c r="D39" s="2">
        <f t="shared" si="7"/>
        <v>0.98919656589168237</v>
      </c>
      <c r="E39" s="2">
        <f t="shared" si="7"/>
        <v>1</v>
      </c>
      <c r="F39" s="2">
        <f t="shared" si="7"/>
        <v>1</v>
      </c>
      <c r="G39" s="2">
        <f t="shared" si="7"/>
        <v>0.5947949839696498</v>
      </c>
      <c r="J39" t="s">
        <v>30</v>
      </c>
      <c r="K39" s="6">
        <f>AVERAGE(K35:K37)</f>
        <v>0.41060302798635534</v>
      </c>
      <c r="L39" s="6">
        <f>AVERAGE(L35:L37)</f>
        <v>0.71812066465489943</v>
      </c>
    </row>
    <row r="40" spans="2:12" x14ac:dyDescent="0.25">
      <c r="C40" s="2">
        <f t="shared" si="7"/>
        <v>0.75</v>
      </c>
      <c r="D40" s="2">
        <f t="shared" si="7"/>
        <v>0.90689847489422148</v>
      </c>
      <c r="E40" s="2">
        <f t="shared" si="7"/>
        <v>0.93602580402692193</v>
      </c>
      <c r="F40" s="2">
        <f t="shared" si="7"/>
        <v>3.0503494191693107E-3</v>
      </c>
      <c r="G40" s="2">
        <f t="shared" si="7"/>
        <v>1</v>
      </c>
    </row>
    <row r="41" spans="2:12" x14ac:dyDescent="0.25">
      <c r="C41" s="2">
        <f t="shared" si="7"/>
        <v>1</v>
      </c>
      <c r="D41" s="2">
        <f t="shared" si="7"/>
        <v>0.89715652914503075</v>
      </c>
      <c r="E41" s="2">
        <f t="shared" si="7"/>
        <v>0.97861802384805219</v>
      </c>
      <c r="F41" s="2">
        <f t="shared" si="7"/>
        <v>2.0280687025904316E-2</v>
      </c>
      <c r="G41" s="2">
        <f t="shared" si="7"/>
        <v>0.40521795180340958</v>
      </c>
    </row>
    <row r="43" spans="2:12" x14ac:dyDescent="0.25">
      <c r="C43" s="8" t="s">
        <v>3</v>
      </c>
      <c r="D43" s="8" t="s">
        <v>27</v>
      </c>
      <c r="E43" s="8" t="s">
        <v>4</v>
      </c>
      <c r="F43" s="8" t="s">
        <v>5</v>
      </c>
      <c r="G43" s="8" t="s">
        <v>6</v>
      </c>
    </row>
    <row r="44" spans="2:12" x14ac:dyDescent="0.25">
      <c r="C44" s="6">
        <v>0.89715652914503075</v>
      </c>
      <c r="D44" s="2">
        <v>1</v>
      </c>
      <c r="E44" s="2">
        <v>0.97861802384805219</v>
      </c>
      <c r="F44" s="2">
        <v>2.0280687025904316E-2</v>
      </c>
      <c r="G44" s="2">
        <v>0.40521795180340958</v>
      </c>
    </row>
    <row r="45" spans="2:12" x14ac:dyDescent="0.25">
      <c r="C45" s="6">
        <v>0.90689847489422148</v>
      </c>
      <c r="D45" s="2">
        <v>0.75</v>
      </c>
      <c r="E45" s="2">
        <v>0.93602580402692193</v>
      </c>
      <c r="F45" s="2">
        <v>3.0503494191693107E-3</v>
      </c>
      <c r="G45" s="2">
        <v>1</v>
      </c>
    </row>
    <row r="46" spans="2:12" x14ac:dyDescent="0.25">
      <c r="C46" s="6">
        <v>0.98919656589168237</v>
      </c>
      <c r="D46" s="2">
        <v>0.25</v>
      </c>
      <c r="E46" s="2">
        <v>1</v>
      </c>
      <c r="F46" s="2">
        <v>1</v>
      </c>
      <c r="G46" s="2">
        <v>0.5947949839696498</v>
      </c>
    </row>
    <row r="47" spans="2:12" x14ac:dyDescent="0.25">
      <c r="C47" s="6">
        <v>1</v>
      </c>
      <c r="D47" s="2">
        <v>0.5</v>
      </c>
      <c r="E47" s="2">
        <v>0.9065044697676391</v>
      </c>
      <c r="F47" s="2">
        <v>4.3827020054301634E-2</v>
      </c>
      <c r="G47" s="2">
        <v>0.53711582961067672</v>
      </c>
    </row>
    <row r="50" spans="1:12" x14ac:dyDescent="0.25">
      <c r="A50" s="2" t="s">
        <v>11</v>
      </c>
      <c r="B50" s="2" t="s">
        <v>12</v>
      </c>
      <c r="C50" s="2">
        <v>1</v>
      </c>
      <c r="D50" s="6">
        <v>1743254.7426</v>
      </c>
      <c r="E50" s="6">
        <v>5649.2667995399997</v>
      </c>
      <c r="F50" s="3">
        <v>4.3069526144492228E-2</v>
      </c>
      <c r="G50" s="3">
        <v>2.415866866318173E-3</v>
      </c>
    </row>
    <row r="51" spans="1:12" x14ac:dyDescent="0.25">
      <c r="A51" s="2" t="s">
        <v>11</v>
      </c>
      <c r="B51" s="2" t="s">
        <v>12</v>
      </c>
      <c r="C51" s="2">
        <v>3</v>
      </c>
      <c r="D51" s="6">
        <v>1196714.5288</v>
      </c>
      <c r="E51" s="6">
        <v>5296.7583626400001</v>
      </c>
      <c r="F51" s="3">
        <v>0.1023070329623097</v>
      </c>
      <c r="G51" s="3">
        <v>6.5499992306063972E-4</v>
      </c>
    </row>
    <row r="52" spans="1:12" x14ac:dyDescent="0.25">
      <c r="A52" s="2" t="s">
        <v>11</v>
      </c>
      <c r="B52" s="2" t="s">
        <v>12</v>
      </c>
      <c r="C52" s="2">
        <v>4</v>
      </c>
      <c r="D52" s="6">
        <v>1186586.3999999999</v>
      </c>
      <c r="E52" s="6">
        <v>4305.8265600000004</v>
      </c>
      <c r="F52" s="3">
        <v>7.4943726483957598E-2</v>
      </c>
      <c r="G52" s="3">
        <v>1.251650972211942E-3</v>
      </c>
    </row>
    <row r="53" spans="1:12" x14ac:dyDescent="0.25">
      <c r="A53" s="2" t="s">
        <v>11</v>
      </c>
      <c r="B53" s="2" t="s">
        <v>12</v>
      </c>
      <c r="C53" s="2">
        <v>2</v>
      </c>
      <c r="D53" s="6">
        <v>1110225.9291999999</v>
      </c>
      <c r="E53" s="6">
        <v>5731.3955529599998</v>
      </c>
      <c r="F53" s="3">
        <v>2.961302102283718E-2</v>
      </c>
      <c r="G53" s="3">
        <v>1.1157895805494109E-3</v>
      </c>
    </row>
    <row r="55" spans="1:12" x14ac:dyDescent="0.25">
      <c r="B55" s="7" t="s">
        <v>24</v>
      </c>
      <c r="D55" s="6">
        <f>AVERAGE(D50:D51)</f>
        <v>1469984.6357</v>
      </c>
      <c r="E55" s="6">
        <f t="shared" ref="E55:G55" si="8">AVERAGE(E50:E51)</f>
        <v>5473.0125810899999</v>
      </c>
      <c r="F55" s="3">
        <f t="shared" si="8"/>
        <v>7.2688279553400958E-2</v>
      </c>
      <c r="G55" s="3">
        <f t="shared" si="8"/>
        <v>1.5354333946894063E-3</v>
      </c>
    </row>
    <row r="56" spans="1:12" x14ac:dyDescent="0.25">
      <c r="B56" s="7" t="s">
        <v>25</v>
      </c>
      <c r="D56" s="6">
        <f>AVERAGE(D52:D53)</f>
        <v>1148406.1645999998</v>
      </c>
      <c r="E56" s="6">
        <f t="shared" ref="E56:G56" si="9">AVERAGE(E52:E53)</f>
        <v>5018.6110564800001</v>
      </c>
      <c r="F56" s="3">
        <f t="shared" si="9"/>
        <v>5.2278373753397389E-2</v>
      </c>
      <c r="G56" s="3">
        <f t="shared" si="9"/>
        <v>1.1837202763806765E-3</v>
      </c>
    </row>
    <row r="58" spans="1:12" x14ac:dyDescent="0.25">
      <c r="B58" s="7" t="s">
        <v>26</v>
      </c>
      <c r="D58" s="6">
        <f>D55/D56</f>
        <v>1.2800215472650383</v>
      </c>
      <c r="E58" s="6">
        <f t="shared" ref="E58:G58" si="10">E55/E56</f>
        <v>1.090543283688677</v>
      </c>
      <c r="F58" s="6">
        <f t="shared" si="10"/>
        <v>1.3904082000767517</v>
      </c>
      <c r="G58" s="6">
        <f t="shared" si="10"/>
        <v>1.297125195307224</v>
      </c>
    </row>
    <row r="60" spans="1:12" x14ac:dyDescent="0.25">
      <c r="C60" s="2">
        <f>MAX(C50:C53)</f>
        <v>4</v>
      </c>
      <c r="D60" s="2">
        <f t="shared" ref="D60:G60" si="11">MAX(D50:D53)</f>
        <v>1743254.7426</v>
      </c>
      <c r="E60" s="2">
        <f t="shared" si="11"/>
        <v>5731.3955529599998</v>
      </c>
      <c r="F60" s="2">
        <f t="shared" si="11"/>
        <v>0.1023070329623097</v>
      </c>
      <c r="G60" s="2">
        <f t="shared" si="11"/>
        <v>2.415866866318173E-3</v>
      </c>
    </row>
    <row r="61" spans="1:12" x14ac:dyDescent="0.25">
      <c r="C61" s="8" t="s">
        <v>27</v>
      </c>
      <c r="D61" s="1" t="s">
        <v>3</v>
      </c>
      <c r="E61" s="1" t="s">
        <v>4</v>
      </c>
      <c r="F61" s="1" t="s">
        <v>5</v>
      </c>
      <c r="G61" s="1" t="s">
        <v>6</v>
      </c>
      <c r="J61" s="2"/>
      <c r="K61" s="8" t="s">
        <v>28</v>
      </c>
      <c r="L61" s="8" t="s">
        <v>29</v>
      </c>
    </row>
    <row r="62" spans="1:12" x14ac:dyDescent="0.25">
      <c r="C62" s="2">
        <f>C50/C$60</f>
        <v>0.25</v>
      </c>
      <c r="D62" s="2">
        <f t="shared" ref="D62:G62" si="12">D50/D$60</f>
        <v>1</v>
      </c>
      <c r="E62" s="2">
        <f t="shared" si="12"/>
        <v>0.98567037422891113</v>
      </c>
      <c r="F62" s="2">
        <f t="shared" si="12"/>
        <v>0.42098304385739743</v>
      </c>
      <c r="G62" s="2">
        <f t="shared" si="12"/>
        <v>1</v>
      </c>
      <c r="J62" s="8">
        <v>6</v>
      </c>
      <c r="K62" s="6">
        <f>0.5*(D47*E47+E47*F47+F47*G47+G47*D47)</f>
        <v>0.3925398627504042</v>
      </c>
      <c r="L62" s="6">
        <f>0.5*(D44*E44+E44*F44+F44*G44+G44*D44)</f>
        <v>0.70595055998441802</v>
      </c>
    </row>
    <row r="63" spans="1:12" x14ac:dyDescent="0.25">
      <c r="C63" s="2">
        <f t="shared" ref="C63:G65" si="13">C51/C$60</f>
        <v>0.75</v>
      </c>
      <c r="D63" s="2">
        <f t="shared" si="13"/>
        <v>0.68648287571278566</v>
      </c>
      <c r="E63" s="2">
        <f t="shared" si="13"/>
        <v>0.92416555683449042</v>
      </c>
      <c r="F63" s="2">
        <f t="shared" si="13"/>
        <v>1</v>
      </c>
      <c r="G63" s="2">
        <f t="shared" si="13"/>
        <v>0.27112417997555965</v>
      </c>
    </row>
    <row r="64" spans="1:12" x14ac:dyDescent="0.25">
      <c r="C64" s="2">
        <f t="shared" si="13"/>
        <v>1</v>
      </c>
      <c r="D64" s="2">
        <f t="shared" si="13"/>
        <v>0.6806729796875528</v>
      </c>
      <c r="E64" s="2">
        <f t="shared" si="13"/>
        <v>0.75127017847795219</v>
      </c>
      <c r="F64" s="2">
        <f t="shared" si="13"/>
        <v>0.73253738588594541</v>
      </c>
      <c r="G64" s="2">
        <f t="shared" si="13"/>
        <v>0.51809600506648856</v>
      </c>
    </row>
    <row r="65" spans="1:7" x14ac:dyDescent="0.25">
      <c r="C65" s="2">
        <f t="shared" si="13"/>
        <v>0.5</v>
      </c>
      <c r="D65" s="2">
        <f t="shared" si="13"/>
        <v>0.63686958771392121</v>
      </c>
      <c r="E65" s="2">
        <f t="shared" si="13"/>
        <v>1</v>
      </c>
      <c r="F65" s="2">
        <f t="shared" si="13"/>
        <v>0.28945244686889443</v>
      </c>
      <c r="G65" s="2">
        <f t="shared" si="13"/>
        <v>0.46185888639215267</v>
      </c>
    </row>
    <row r="67" spans="1:7" x14ac:dyDescent="0.25">
      <c r="C67" s="8" t="s">
        <v>3</v>
      </c>
      <c r="D67" s="8" t="s">
        <v>27</v>
      </c>
      <c r="E67" s="8" t="s">
        <v>4</v>
      </c>
      <c r="F67" s="8" t="s">
        <v>5</v>
      </c>
      <c r="G67" s="8" t="s">
        <v>6</v>
      </c>
    </row>
    <row r="68" spans="1:7" x14ac:dyDescent="0.25">
      <c r="C68" s="6">
        <v>0.63686958771392121</v>
      </c>
      <c r="D68" s="2">
        <v>0.5</v>
      </c>
      <c r="E68" s="2">
        <v>1</v>
      </c>
      <c r="F68" s="2">
        <v>0.28945244686889443</v>
      </c>
      <c r="G68" s="2">
        <v>0.46185888639215267</v>
      </c>
    </row>
    <row r="69" spans="1:7" x14ac:dyDescent="0.25">
      <c r="C69" s="6">
        <v>0.6806729796875528</v>
      </c>
      <c r="D69" s="2">
        <v>1</v>
      </c>
      <c r="E69" s="2">
        <v>0.75127017847795219</v>
      </c>
      <c r="F69" s="2">
        <v>0.73253738588594541</v>
      </c>
      <c r="G69" s="2">
        <v>0.51809600506648856</v>
      </c>
    </row>
    <row r="70" spans="1:7" x14ac:dyDescent="0.25">
      <c r="C70" s="6">
        <v>0.68648287571278566</v>
      </c>
      <c r="D70" s="2">
        <v>0.75</v>
      </c>
      <c r="E70" s="2">
        <v>0.92416555683449042</v>
      </c>
      <c r="F70" s="2">
        <v>1</v>
      </c>
      <c r="G70" s="2">
        <v>0.27112417997555965</v>
      </c>
    </row>
    <row r="71" spans="1:7" x14ac:dyDescent="0.25">
      <c r="C71" s="6">
        <v>1</v>
      </c>
      <c r="D71" s="2">
        <v>0.25</v>
      </c>
      <c r="E71" s="2">
        <v>0.98567037422891113</v>
      </c>
      <c r="F71" s="2">
        <v>0.42098304385739743</v>
      </c>
      <c r="G71" s="2">
        <v>1</v>
      </c>
    </row>
    <row r="74" spans="1:7" x14ac:dyDescent="0.25">
      <c r="A74" s="2" t="s">
        <v>15</v>
      </c>
      <c r="B74" s="2" t="s">
        <v>16</v>
      </c>
      <c r="C74" s="2">
        <v>1</v>
      </c>
      <c r="D74" s="6">
        <v>1730400.6762000001</v>
      </c>
      <c r="E74" s="6">
        <v>11453.66344206</v>
      </c>
      <c r="F74" s="3">
        <v>3.6351540108211508E-4</v>
      </c>
      <c r="G74" s="3">
        <v>1.736681726385915E-4</v>
      </c>
    </row>
    <row r="75" spans="1:7" x14ac:dyDescent="0.25">
      <c r="A75" s="2" t="s">
        <v>15</v>
      </c>
      <c r="B75" s="2" t="s">
        <v>16</v>
      </c>
      <c r="C75" s="2">
        <v>2</v>
      </c>
      <c r="D75" s="6">
        <v>1665422.6664</v>
      </c>
      <c r="E75" s="6">
        <v>8756.6848730599995</v>
      </c>
      <c r="F75" s="3">
        <v>7.9418686213037007E-3</v>
      </c>
      <c r="G75" s="3">
        <v>6.2767209962179716E-4</v>
      </c>
    </row>
    <row r="76" spans="1:7" x14ac:dyDescent="0.25">
      <c r="A76" s="2" t="s">
        <v>15</v>
      </c>
      <c r="B76" s="2" t="s">
        <v>16</v>
      </c>
      <c r="C76" s="2">
        <v>3</v>
      </c>
      <c r="D76" s="6">
        <v>1646977.0623999999</v>
      </c>
      <c r="E76" s="6">
        <v>8501.7368701600008</v>
      </c>
      <c r="F76" s="3">
        <v>3.13244725480416E-3</v>
      </c>
      <c r="G76" s="3">
        <v>3.3557754651448161E-4</v>
      </c>
    </row>
    <row r="77" spans="1:7" x14ac:dyDescent="0.25">
      <c r="A77" s="2" t="s">
        <v>15</v>
      </c>
      <c r="B77" s="2" t="s">
        <v>16</v>
      </c>
      <c r="C77" s="2">
        <v>4</v>
      </c>
      <c r="D77" s="6">
        <v>1581936.48</v>
      </c>
      <c r="E77" s="6">
        <v>7766.5038239999994</v>
      </c>
      <c r="F77" s="3">
        <v>1.717868258658569E-2</v>
      </c>
      <c r="G77" s="3">
        <v>1.213271790439538E-4</v>
      </c>
    </row>
    <row r="79" spans="1:7" x14ac:dyDescent="0.25">
      <c r="B79" s="7" t="s">
        <v>24</v>
      </c>
      <c r="D79" s="6">
        <f>AVERAGE(D74:D75)</f>
        <v>1697911.6713</v>
      </c>
      <c r="E79" s="6">
        <f t="shared" ref="E79:G79" si="14">AVERAGE(E74:E75)</f>
        <v>10105.174157559999</v>
      </c>
      <c r="F79" s="3">
        <f t="shared" si="14"/>
        <v>4.1526920111929081E-3</v>
      </c>
      <c r="G79" s="3">
        <f t="shared" si="14"/>
        <v>4.0067013613019435E-4</v>
      </c>
    </row>
    <row r="80" spans="1:7" x14ac:dyDescent="0.25">
      <c r="B80" s="7" t="s">
        <v>25</v>
      </c>
      <c r="D80" s="6">
        <f>AVERAGE(D76:D77)</f>
        <v>1614456.7711999998</v>
      </c>
      <c r="E80" s="6">
        <f t="shared" ref="E80:G80" si="15">AVERAGE(E76:E77)</f>
        <v>8134.1203470800001</v>
      </c>
      <c r="F80" s="3">
        <f t="shared" si="15"/>
        <v>1.0155564920694925E-2</v>
      </c>
      <c r="G80" s="3">
        <f t="shared" si="15"/>
        <v>2.2845236277921772E-4</v>
      </c>
    </row>
    <row r="82" spans="2:12" x14ac:dyDescent="0.25">
      <c r="B82" s="7" t="s">
        <v>26</v>
      </c>
      <c r="D82" s="6">
        <f>D79/D80</f>
        <v>1.0516922481844897</v>
      </c>
      <c r="E82" s="6">
        <f t="shared" ref="E82:G82" si="16">E79/E80</f>
        <v>1.2423192338416251</v>
      </c>
      <c r="F82" s="6">
        <f t="shared" si="16"/>
        <v>0.40890802664562625</v>
      </c>
      <c r="G82" s="6">
        <f t="shared" si="16"/>
        <v>1.7538454461835107</v>
      </c>
    </row>
    <row r="84" spans="2:12" x14ac:dyDescent="0.25">
      <c r="C84" s="2">
        <f>MAX(C74:C77)</f>
        <v>4</v>
      </c>
      <c r="D84" s="2">
        <f t="shared" ref="D84:G84" si="17">MAX(D74:D77)</f>
        <v>1730400.6762000001</v>
      </c>
      <c r="E84" s="2">
        <f t="shared" si="17"/>
        <v>11453.66344206</v>
      </c>
      <c r="F84" s="2">
        <f t="shared" si="17"/>
        <v>1.717868258658569E-2</v>
      </c>
      <c r="G84" s="2">
        <f t="shared" si="17"/>
        <v>6.2767209962179716E-4</v>
      </c>
      <c r="J84" s="2"/>
      <c r="K84" s="8"/>
      <c r="L84" s="8"/>
    </row>
    <row r="85" spans="2:12" x14ac:dyDescent="0.25">
      <c r="C85" s="8" t="s">
        <v>27</v>
      </c>
      <c r="D85" s="1" t="s">
        <v>3</v>
      </c>
      <c r="E85" s="1" t="s">
        <v>4</v>
      </c>
      <c r="F85" s="1" t="s">
        <v>5</v>
      </c>
      <c r="G85" s="1" t="s">
        <v>6</v>
      </c>
      <c r="J85" s="2"/>
      <c r="K85" s="8" t="s">
        <v>28</v>
      </c>
      <c r="L85" s="8" t="s">
        <v>29</v>
      </c>
    </row>
    <row r="86" spans="2:12" x14ac:dyDescent="0.25">
      <c r="C86" s="2">
        <f t="shared" ref="C86:G89" si="18">C74/C$84</f>
        <v>0.25</v>
      </c>
      <c r="D86" s="2">
        <f t="shared" si="18"/>
        <v>1</v>
      </c>
      <c r="E86" s="2">
        <f t="shared" si="18"/>
        <v>1</v>
      </c>
      <c r="F86" s="2">
        <f t="shared" si="18"/>
        <v>2.1160842762527853E-2</v>
      </c>
      <c r="G86" s="2">
        <f t="shared" si="18"/>
        <v>0.2766861435186222</v>
      </c>
      <c r="J86" s="8">
        <v>7</v>
      </c>
      <c r="K86" s="6">
        <f>0.5*(D71*E71+E71*F71+F71*G71+G71*D71)</f>
        <v>0.66617557589878618</v>
      </c>
      <c r="L86" s="6">
        <f>0.5*(D68*E68+E68*F68+F68*G68+G68*D68)</f>
        <v>0.57703403741966097</v>
      </c>
    </row>
    <row r="87" spans="2:12" x14ac:dyDescent="0.25">
      <c r="C87" s="2">
        <f t="shared" si="18"/>
        <v>0.5</v>
      </c>
      <c r="D87" s="2">
        <f t="shared" si="18"/>
        <v>0.96244915371699158</v>
      </c>
      <c r="E87" s="2">
        <f t="shared" si="18"/>
        <v>0.76453135866589295</v>
      </c>
      <c r="F87" s="2">
        <f t="shared" si="18"/>
        <v>0.46230952701258149</v>
      </c>
      <c r="G87" s="2">
        <f t="shared" si="18"/>
        <v>1</v>
      </c>
    </row>
    <row r="88" spans="2:12" x14ac:dyDescent="0.25">
      <c r="C88" s="2">
        <f t="shared" si="18"/>
        <v>0.75</v>
      </c>
      <c r="D88" s="2">
        <f t="shared" si="18"/>
        <v>0.95178942371705477</v>
      </c>
      <c r="E88" s="2">
        <f t="shared" si="18"/>
        <v>0.74227227935998441</v>
      </c>
      <c r="F88" s="2">
        <f t="shared" si="18"/>
        <v>0.18234502203621789</v>
      </c>
      <c r="G88" s="2">
        <f t="shared" si="18"/>
        <v>0.53463830352931618</v>
      </c>
    </row>
    <row r="89" spans="2:12" x14ac:dyDescent="0.25">
      <c r="C89" s="2">
        <f t="shared" si="18"/>
        <v>1</v>
      </c>
      <c r="D89" s="2">
        <f t="shared" si="18"/>
        <v>0.91420241667610136</v>
      </c>
      <c r="E89" s="2">
        <f t="shared" si="18"/>
        <v>0.67808032454314493</v>
      </c>
      <c r="F89" s="2">
        <f t="shared" si="18"/>
        <v>1</v>
      </c>
      <c r="G89" s="2">
        <f t="shared" si="18"/>
        <v>0.19329707201747426</v>
      </c>
    </row>
    <row r="91" spans="2:12" x14ac:dyDescent="0.25">
      <c r="C91" s="8" t="s">
        <v>3</v>
      </c>
      <c r="D91" s="8" t="s">
        <v>27</v>
      </c>
      <c r="E91" s="8" t="s">
        <v>4</v>
      </c>
      <c r="F91" s="8" t="s">
        <v>5</v>
      </c>
      <c r="G91" s="8" t="s">
        <v>6</v>
      </c>
    </row>
    <row r="92" spans="2:12" x14ac:dyDescent="0.25">
      <c r="C92" s="6">
        <v>0.91420241667610136</v>
      </c>
      <c r="D92" s="2">
        <v>1</v>
      </c>
      <c r="E92" s="2">
        <v>0.67808032454314493</v>
      </c>
      <c r="F92" s="2">
        <v>1</v>
      </c>
      <c r="G92" s="2">
        <v>0.19329707201747426</v>
      </c>
    </row>
    <row r="93" spans="2:12" x14ac:dyDescent="0.25">
      <c r="C93" s="6">
        <v>0.95178942371705477</v>
      </c>
      <c r="D93" s="2">
        <v>0.75</v>
      </c>
      <c r="E93" s="2">
        <v>0.74227227935998441</v>
      </c>
      <c r="F93" s="2">
        <v>0.18234502203621789</v>
      </c>
      <c r="G93" s="2">
        <v>0.53463830352931618</v>
      </c>
    </row>
    <row r="94" spans="2:12" x14ac:dyDescent="0.25">
      <c r="C94" s="6">
        <v>0.96244915371699158</v>
      </c>
      <c r="D94" s="2">
        <v>0.5</v>
      </c>
      <c r="E94" s="2">
        <v>0.76453135866589295</v>
      </c>
      <c r="F94" s="2">
        <v>0.46230952701258149</v>
      </c>
      <c r="G94" s="2">
        <v>1</v>
      </c>
    </row>
    <row r="95" spans="2:12" x14ac:dyDescent="0.25">
      <c r="C95" s="6">
        <v>1</v>
      </c>
      <c r="D95" s="2">
        <v>0.25</v>
      </c>
      <c r="E95" s="2">
        <v>1</v>
      </c>
      <c r="F95" s="2">
        <v>2.1160842762527853E-2</v>
      </c>
      <c r="G95" s="2">
        <v>0.2766861435186222</v>
      </c>
    </row>
    <row r="103" spans="10:12" x14ac:dyDescent="0.25">
      <c r="J103" s="2"/>
      <c r="K103" s="8"/>
      <c r="L103" s="8"/>
    </row>
    <row r="104" spans="10:12" x14ac:dyDescent="0.25">
      <c r="J104" s="8"/>
      <c r="K104" s="6"/>
      <c r="L104" s="6"/>
    </row>
    <row r="106" spans="10:12" x14ac:dyDescent="0.25">
      <c r="J106" s="2"/>
      <c r="K106" s="8"/>
      <c r="L106" s="8"/>
    </row>
    <row r="107" spans="10:12" x14ac:dyDescent="0.25">
      <c r="J107" s="8"/>
      <c r="K107" s="6"/>
      <c r="L107" s="6"/>
    </row>
    <row r="109" spans="10:12" x14ac:dyDescent="0.25">
      <c r="J109" s="2"/>
      <c r="K109" s="8" t="s">
        <v>28</v>
      </c>
      <c r="L109" s="8" t="s">
        <v>29</v>
      </c>
    </row>
    <row r="110" spans="10:12" x14ac:dyDescent="0.25">
      <c r="J110" s="8">
        <v>9</v>
      </c>
      <c r="K110" s="6">
        <f>0.5*(D95*E95+E95*F95+F95*G95+G95*D95)</f>
        <v>0.17309364530987559</v>
      </c>
      <c r="L110" s="6">
        <f>0.5*(D92*E92+E92*F92+F92*G92+G92*D92)</f>
        <v>0.87137739656061919</v>
      </c>
    </row>
    <row r="113" spans="10:12" x14ac:dyDescent="0.25">
      <c r="J113" s="2"/>
      <c r="K113" s="8"/>
      <c r="L113" s="8"/>
    </row>
    <row r="114" spans="10:12" x14ac:dyDescent="0.25">
      <c r="J114" s="8"/>
      <c r="K114" s="6"/>
      <c r="L114" s="6"/>
    </row>
  </sheetData>
  <sortState ref="C92:G95">
    <sortCondition ref="C92:C95"/>
  </sortState>
  <conditionalFormatting sqref="D2:D1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7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7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3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2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3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23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:D2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6:E2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6:F2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6:G29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D3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1:E3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1:F3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0:D5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0:E53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0:F5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0:G5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5:D5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5:E5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5:F5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5:G5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4:D7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4:E7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4:F7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4:G7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9:D8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9:E8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9:F8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9:G8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2026-05-08T07:35:04Z</dcterms:created>
  <dcterms:modified xsi:type="dcterms:W3CDTF">2026-06-08T11:08:31Z</dcterms:modified>
</cp:coreProperties>
</file>