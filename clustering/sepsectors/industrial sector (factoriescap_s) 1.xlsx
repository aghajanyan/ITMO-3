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53" i="1" l="1"/>
  <c r="F53" i="1"/>
  <c r="G53" i="1"/>
  <c r="H53" i="1"/>
  <c r="I53" i="1"/>
  <c r="J53" i="1"/>
  <c r="D53" i="1"/>
  <c r="E51" i="1"/>
  <c r="F51" i="1"/>
  <c r="G51" i="1"/>
  <c r="H51" i="1"/>
  <c r="I51" i="1"/>
  <c r="J51" i="1"/>
  <c r="D51" i="1"/>
  <c r="E50" i="1"/>
  <c r="F50" i="1"/>
  <c r="G50" i="1"/>
  <c r="H50" i="1"/>
  <c r="I50" i="1"/>
  <c r="J50" i="1"/>
  <c r="D50" i="1"/>
  <c r="D47" i="1"/>
</calcChain>
</file>

<file path=xl/sharedStrings.xml><?xml version="1.0" encoding="utf-8"?>
<sst xmlns="http://schemas.openxmlformats.org/spreadsheetml/2006/main" count="124" uniqueCount="51">
  <si>
    <t>sector</t>
  </si>
  <si>
    <t>okved2</t>
  </si>
  <si>
    <t>year</t>
  </si>
  <si>
    <t>factoriescap_s</t>
  </si>
  <si>
    <t>ITcosts_s</t>
  </si>
  <si>
    <t>skvozcosts_s</t>
  </si>
  <si>
    <t>trainingcosts_s</t>
  </si>
  <si>
    <t>RDcosts_s</t>
  </si>
  <si>
    <t>RDsalary_s</t>
  </si>
  <si>
    <t>RDequip_s</t>
  </si>
  <si>
    <t>Производство текстильных изделий</t>
  </si>
  <si>
    <t>13</t>
  </si>
  <si>
    <t>Производство химических веществ и химических продуктов</t>
  </si>
  <si>
    <t>20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</si>
  <si>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</si>
  <si>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</si>
  <si>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резиновых и пластмассовых изделий</t>
  </si>
  <si>
    <t>22</t>
  </si>
  <si>
    <t>Производство прочей неметаллической минеральной продукции</t>
  </si>
  <si>
    <t>23</t>
  </si>
  <si>
    <t>Производство металлургическое</t>
  </si>
  <si>
    <t>24</t>
  </si>
  <si>
    <t>Производство готовых металлических изделий, кроме машин и оборудования</t>
  </si>
  <si>
    <t>25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</si>
  <si>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</si>
  <si>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</si>
  <si>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</si>
  <si>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</si>
  <si>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Производство машин и оборудования, не включенных в другие группировки</t>
  </si>
  <si>
    <t>28</t>
  </si>
  <si>
    <t>Производство прочих транспортных средств и оборудования</t>
  </si>
  <si>
    <t>30</t>
  </si>
  <si>
    <t>Производство прочих готовых изделий</t>
  </si>
  <si>
    <t>32</t>
  </si>
  <si>
    <t>Ремонт и монтаж машин и оборудования</t>
  </si>
  <si>
    <t>33</t>
  </si>
  <si>
    <t>Медиана</t>
  </si>
  <si>
    <t>Нижний</t>
  </si>
  <si>
    <t>Верхний</t>
  </si>
  <si>
    <t>Разница</t>
  </si>
  <si>
    <t>Затраты организации на внедрение и использование цифровых технологий, всего</t>
  </si>
  <si>
    <t>Затраты на "сквозные" цифровые технологии</t>
  </si>
  <si>
    <t>Затраты на обучение сотрудников, связанное с внедрением и использованием цифровых технологий</t>
  </si>
  <si>
    <t>RDcosts_r</t>
  </si>
  <si>
    <t>RDsalary_r</t>
  </si>
  <si>
    <t>RDequip_r</t>
  </si>
  <si>
    <t>Затраты на научные исследования и разработки, всего</t>
  </si>
  <si>
    <t>Затраты на оплату труда (научные разработки), всего</t>
  </si>
  <si>
    <t>Затраты на оборудование (научные разработки), всего</t>
  </si>
  <si>
    <t xml:space="preserve">Доли сквозных техн. и обучения персонала получены от ITcosts_s </t>
  </si>
  <si>
    <t xml:space="preserve">Доли на оплату научного труда и оборудование получены от RDcosts_s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</si>
</sst>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zoomScaleNormal="100" workbookViewId="0">
      <selection activeCell="L11" sqref="L11"/>
    </sheetView>
  </sheetViews>
  <sheetFormatPr defaultRowHeight="15" x14ac:dyDescent="0.25"/>
  <cols>
    <col min="1" max="1" width="82.7109375" customWidth="1"/>
    <col min="4" max="4" width="14.28515625" customWidth="1"/>
    <col min="5" max="5" width="10.7109375" customWidth="1"/>
    <col min="6" max="6" width="13.140625" customWidth="1"/>
    <col min="7" max="7" width="14" customWidth="1"/>
    <col min="8" max="8" width="12.28515625" customWidth="1"/>
    <col min="9" max="9" width="12.7109375" customWidth="1"/>
    <col min="10" max="10" width="13.28515625" customWidth="1"/>
    <col min="12" max="12" width="15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8" t="s">
        <v>4</v>
      </c>
      <c r="M1" s="9" t="s">
        <v>40</v>
      </c>
    </row>
    <row r="2" spans="1:13" x14ac:dyDescent="0.25">
      <c r="A2" s="2" t="s">
        <v>20</v>
      </c>
      <c r="B2" s="2" t="s">
        <v>21</v>
      </c>
      <c r="C2" s="2">
        <v>2021</v>
      </c>
      <c r="D2" s="2">
        <v>8241155.9369999999</v>
      </c>
      <c r="E2" s="2">
        <v>22918.622383440001</v>
      </c>
      <c r="F2" s="3">
        <v>1.411209606183382E-2</v>
      </c>
      <c r="G2" s="3">
        <v>6.7540592802753808E-4</v>
      </c>
      <c r="H2" s="2">
        <v>3789.6784518599989</v>
      </c>
      <c r="I2" s="3">
        <v>0.22088282477611201</v>
      </c>
      <c r="J2" s="3">
        <v>0.17223213746265159</v>
      </c>
      <c r="L2" s="8" t="s">
        <v>5</v>
      </c>
      <c r="M2" s="9" t="s">
        <v>41</v>
      </c>
    </row>
    <row r="3" spans="1:13" x14ac:dyDescent="0.25">
      <c r="A3" s="2" t="s">
        <v>20</v>
      </c>
      <c r="B3" s="2" t="s">
        <v>21</v>
      </c>
      <c r="C3" s="2">
        <v>2022</v>
      </c>
      <c r="D3" s="2">
        <v>6852020.7139999997</v>
      </c>
      <c r="E3" s="2">
        <v>27186.587841839999</v>
      </c>
      <c r="F3" s="3">
        <v>1.428164445640567E-2</v>
      </c>
      <c r="G3" s="3">
        <v>1.063284111568874E-3</v>
      </c>
      <c r="H3" s="2">
        <v>4668.4962073199986</v>
      </c>
      <c r="I3" s="3">
        <v>0.22122148559972241</v>
      </c>
      <c r="J3" s="3">
        <v>2.7756186734568769E-2</v>
      </c>
      <c r="L3" s="8" t="s">
        <v>6</v>
      </c>
      <c r="M3" s="9" t="s">
        <v>42</v>
      </c>
    </row>
    <row r="4" spans="1:13" x14ac:dyDescent="0.25">
      <c r="A4" s="2" t="s">
        <v>20</v>
      </c>
      <c r="B4" s="2" t="s">
        <v>21</v>
      </c>
      <c r="C4" s="2">
        <v>2023</v>
      </c>
      <c r="D4" s="2">
        <v>6604739.7520000003</v>
      </c>
      <c r="E4" s="2">
        <v>36820.330575920001</v>
      </c>
      <c r="F4" s="3">
        <v>1.1388913987487259E-2</v>
      </c>
      <c r="G4" s="3">
        <v>1.346627653376551E-3</v>
      </c>
      <c r="H4" s="2">
        <v>3802.5007540800011</v>
      </c>
      <c r="I4" s="3">
        <v>0.27183368762015853</v>
      </c>
      <c r="J4" s="3">
        <v>2.5201923522875352E-2</v>
      </c>
    </row>
    <row r="5" spans="1:13" x14ac:dyDescent="0.25">
      <c r="A5" s="2" t="s">
        <v>20</v>
      </c>
      <c r="B5" s="2" t="s">
        <v>21</v>
      </c>
      <c r="C5" s="2">
        <v>2024</v>
      </c>
      <c r="D5" s="2">
        <v>5957550.2400000002</v>
      </c>
      <c r="E5" s="2">
        <v>24111.565200000001</v>
      </c>
      <c r="F5" s="3">
        <v>1.6816288641435851E-2</v>
      </c>
      <c r="G5" s="3">
        <v>4.7603910840263489E-4</v>
      </c>
      <c r="H5" s="2">
        <v>3919.8391200000001</v>
      </c>
      <c r="I5" s="3">
        <v>0.29057505196794908</v>
      </c>
      <c r="J5" s="3">
        <v>9.0164010608680276E-2</v>
      </c>
      <c r="L5" s="10" t="s">
        <v>43</v>
      </c>
      <c r="M5" s="11" t="s">
        <v>46</v>
      </c>
    </row>
    <row r="6" spans="1:13" x14ac:dyDescent="0.25">
      <c r="A6" s="2" t="s">
        <v>12</v>
      </c>
      <c r="B6" s="2" t="s">
        <v>13</v>
      </c>
      <c r="C6" s="2">
        <v>2021</v>
      </c>
      <c r="D6" s="2">
        <v>4045665.9852</v>
      </c>
      <c r="E6" s="2">
        <v>12420.628572240001</v>
      </c>
      <c r="F6" s="3">
        <v>9.5505969516812179E-3</v>
      </c>
      <c r="G6" s="3">
        <v>7.1947529628030547E-3</v>
      </c>
      <c r="H6" s="2">
        <v>5949.906611039999</v>
      </c>
      <c r="I6" s="3">
        <v>0.32983648430693108</v>
      </c>
      <c r="J6" s="3">
        <v>7.5424095592915366E-3</v>
      </c>
      <c r="L6" s="10" t="s">
        <v>44</v>
      </c>
      <c r="M6" s="11" t="s">
        <v>47</v>
      </c>
    </row>
    <row r="7" spans="1:13" x14ac:dyDescent="0.25">
      <c r="A7" s="2" t="s">
        <v>12</v>
      </c>
      <c r="B7" s="2" t="s">
        <v>13</v>
      </c>
      <c r="C7" s="2">
        <v>2022</v>
      </c>
      <c r="D7" s="2">
        <v>3872035.8108000001</v>
      </c>
      <c r="E7" s="2">
        <v>10016.90090194</v>
      </c>
      <c r="F7" s="3">
        <v>4.8543989239808157E-3</v>
      </c>
      <c r="G7" s="3">
        <v>2.722411311338672E-3</v>
      </c>
      <c r="H7" s="2">
        <v>4672.0436847000001</v>
      </c>
      <c r="I7" s="3">
        <v>0.38315318976195439</v>
      </c>
      <c r="J7" s="3">
        <v>8.8228616130002768E-3</v>
      </c>
      <c r="L7" s="10" t="s">
        <v>45</v>
      </c>
      <c r="M7" s="11" t="s">
        <v>48</v>
      </c>
    </row>
    <row r="8" spans="1:13" x14ac:dyDescent="0.25">
      <c r="A8" s="2" t="s">
        <v>22</v>
      </c>
      <c r="B8" s="2" t="s">
        <v>23</v>
      </c>
      <c r="C8" s="2">
        <v>2024</v>
      </c>
      <c r="D8" s="2">
        <v>3341058.72</v>
      </c>
      <c r="E8" s="2">
        <v>29824.255583999999</v>
      </c>
      <c r="F8" s="3">
        <v>1.7700063980245699E-2</v>
      </c>
      <c r="G8" s="3">
        <v>1.8406361575525849E-2</v>
      </c>
      <c r="H8" s="2">
        <v>42714.45768</v>
      </c>
      <c r="I8" s="3">
        <v>0.19298988042308199</v>
      </c>
      <c r="J8" s="3">
        <v>5.546653308229477E-3</v>
      </c>
    </row>
    <row r="9" spans="1:13" x14ac:dyDescent="0.25">
      <c r="A9" s="2" t="s">
        <v>12</v>
      </c>
      <c r="B9" s="2" t="s">
        <v>13</v>
      </c>
      <c r="C9" s="2">
        <v>2023</v>
      </c>
      <c r="D9" s="2">
        <v>3309061.7527999999</v>
      </c>
      <c r="E9" s="2">
        <v>13409.25543712</v>
      </c>
      <c r="F9" s="3">
        <v>1.2431315547808089E-3</v>
      </c>
      <c r="G9" s="3">
        <v>1.4794270549193711E-3</v>
      </c>
      <c r="H9" s="2">
        <v>3463.0859903199998</v>
      </c>
      <c r="I9" s="3">
        <v>0.3373382016113472</v>
      </c>
      <c r="J9" s="3">
        <v>1.527195313885722E-2</v>
      </c>
      <c r="L9" s="12" t="s">
        <v>49</v>
      </c>
    </row>
    <row r="10" spans="1:13" x14ac:dyDescent="0.25">
      <c r="A10" s="2" t="s">
        <v>12</v>
      </c>
      <c r="B10" s="2" t="s">
        <v>13</v>
      </c>
      <c r="C10" s="2">
        <v>2024</v>
      </c>
      <c r="D10" s="2">
        <v>3108887.52</v>
      </c>
      <c r="E10" s="2">
        <v>17766.839759999999</v>
      </c>
      <c r="F10" s="3">
        <v>9.3958949512133153E-4</v>
      </c>
      <c r="G10" s="3">
        <v>8.8262764857625984E-4</v>
      </c>
      <c r="H10" s="2">
        <v>6045.036384</v>
      </c>
      <c r="I10" s="3">
        <v>0.28864238379412871</v>
      </c>
      <c r="J10" s="3">
        <v>5.9316049932975883E-3</v>
      </c>
      <c r="L10" s="12" t="s">
        <v>50</v>
      </c>
    </row>
    <row r="11" spans="1:13" x14ac:dyDescent="0.25">
      <c r="A11" s="2" t="s">
        <v>22</v>
      </c>
      <c r="B11" s="2" t="s">
        <v>23</v>
      </c>
      <c r="C11" s="2">
        <v>2023</v>
      </c>
      <c r="D11" s="2">
        <v>2979488.8336</v>
      </c>
      <c r="E11" s="2">
        <v>21948.7441788</v>
      </c>
      <c r="F11" s="3">
        <v>5.1385668600091312E-2</v>
      </c>
      <c r="G11" s="3">
        <v>1.045825844659099E-3</v>
      </c>
      <c r="H11" s="2">
        <v>39518.217134960003</v>
      </c>
      <c r="I11" s="3">
        <v>0.23373977389046879</v>
      </c>
      <c r="J11" s="3">
        <v>3.447874070195903E-3</v>
      </c>
    </row>
    <row r="12" spans="1:13" x14ac:dyDescent="0.25">
      <c r="A12" s="2" t="s">
        <v>22</v>
      </c>
      <c r="B12" s="2" t="s">
        <v>23</v>
      </c>
      <c r="C12" s="2">
        <v>2021</v>
      </c>
      <c r="D12" s="2">
        <v>2665736.9172</v>
      </c>
      <c r="E12" s="2">
        <v>31768.917493320001</v>
      </c>
      <c r="F12" s="3">
        <v>4.5024994770462897E-3</v>
      </c>
      <c r="G12" s="3">
        <v>6.1504127372638605E-4</v>
      </c>
      <c r="H12" s="2">
        <v>46518.645329099993</v>
      </c>
      <c r="I12" s="3">
        <v>0.22148155813933151</v>
      </c>
      <c r="J12" s="3">
        <v>3.9317959327071104E-3</v>
      </c>
    </row>
    <row r="13" spans="1:13" x14ac:dyDescent="0.25">
      <c r="A13" s="2" t="s">
        <v>22</v>
      </c>
      <c r="B13" s="2" t="s">
        <v>23</v>
      </c>
      <c r="C13" s="2">
        <v>2022</v>
      </c>
      <c r="D13" s="2">
        <v>2567021.7022000002</v>
      </c>
      <c r="E13" s="2">
        <v>12046.641059559999</v>
      </c>
      <c r="F13" s="3">
        <v>1.264319260007594E-2</v>
      </c>
      <c r="G13" s="3">
        <v>9.2646432850616075E-4</v>
      </c>
      <c r="H13" s="2">
        <v>33842.065437880003</v>
      </c>
      <c r="I13" s="3">
        <v>0.27053589396798761</v>
      </c>
      <c r="J13" s="3">
        <v>1.218094506426271E-2</v>
      </c>
    </row>
    <row r="14" spans="1:13" x14ac:dyDescent="0.25">
      <c r="A14" s="2" t="s">
        <v>30</v>
      </c>
      <c r="B14" s="2" t="s">
        <v>31</v>
      </c>
      <c r="C14" s="2">
        <v>2024</v>
      </c>
      <c r="D14" s="2">
        <v>1984582.56</v>
      </c>
      <c r="E14" s="2">
        <v>23490.718752000001</v>
      </c>
      <c r="F14" s="3">
        <v>1.927088927244758E-3</v>
      </c>
      <c r="G14" s="3">
        <v>1.8760825696850091E-3</v>
      </c>
      <c r="H14" s="2">
        <v>42333.885263999997</v>
      </c>
      <c r="I14" s="3">
        <v>0.18751110110723521</v>
      </c>
      <c r="J14" s="3">
        <v>2.3891329456124551E-2</v>
      </c>
    </row>
    <row r="15" spans="1:13" x14ac:dyDescent="0.25">
      <c r="A15" s="2" t="s">
        <v>30</v>
      </c>
      <c r="B15" s="2" t="s">
        <v>31</v>
      </c>
      <c r="C15" s="2">
        <v>2021</v>
      </c>
      <c r="D15" s="2">
        <v>1940025.5658</v>
      </c>
      <c r="E15" s="2">
        <v>17673.58753398</v>
      </c>
      <c r="F15" s="3">
        <v>1.2639185721094849E-3</v>
      </c>
      <c r="G15" s="3">
        <v>7.224852054202324E-4</v>
      </c>
      <c r="H15" s="2">
        <v>47317.131494639987</v>
      </c>
      <c r="I15" s="3">
        <v>0.16239400628227921</v>
      </c>
      <c r="J15" s="3">
        <v>1.879106042048893E-2</v>
      </c>
    </row>
    <row r="16" spans="1:13" x14ac:dyDescent="0.25">
      <c r="A16" s="2" t="s">
        <v>30</v>
      </c>
      <c r="B16" s="2" t="s">
        <v>31</v>
      </c>
      <c r="C16" s="2">
        <v>2023</v>
      </c>
      <c r="D16" s="2">
        <v>1894213.5527999999</v>
      </c>
      <c r="E16" s="2">
        <v>18304.5266156</v>
      </c>
      <c r="F16" s="3">
        <v>2.0544865338363899E-3</v>
      </c>
      <c r="G16" s="3">
        <v>2.397692315221963E-3</v>
      </c>
      <c r="H16" s="2">
        <v>38774.66403272</v>
      </c>
      <c r="I16" s="3">
        <v>0.16432982453447251</v>
      </c>
      <c r="J16" s="3">
        <v>1.5314821199195919E-2</v>
      </c>
    </row>
    <row r="17" spans="1:11" x14ac:dyDescent="0.25">
      <c r="A17" s="2" t="s">
        <v>24</v>
      </c>
      <c r="B17" s="2" t="s">
        <v>25</v>
      </c>
      <c r="C17" s="2">
        <v>2024</v>
      </c>
      <c r="D17" s="2">
        <v>1743332.64</v>
      </c>
      <c r="E17" s="2">
        <v>24692.815392</v>
      </c>
      <c r="F17" s="3">
        <v>1.2473785395074479E-2</v>
      </c>
      <c r="G17" s="3">
        <v>1.210844187888221E-3</v>
      </c>
      <c r="H17" s="2">
        <v>53247.408816000003</v>
      </c>
      <c r="I17" s="3">
        <v>0.27926321349052752</v>
      </c>
      <c r="J17" s="3">
        <v>4.1375887859879973E-2</v>
      </c>
    </row>
    <row r="18" spans="1:11" x14ac:dyDescent="0.25">
      <c r="A18" s="2" t="s">
        <v>18</v>
      </c>
      <c r="B18" s="2" t="s">
        <v>19</v>
      </c>
      <c r="C18" s="2">
        <v>2022</v>
      </c>
      <c r="D18" s="2">
        <v>1680196.5164000001</v>
      </c>
      <c r="E18" s="2">
        <v>4854.6591208600003</v>
      </c>
      <c r="F18" s="3">
        <v>3.7612999688359748E-4</v>
      </c>
      <c r="G18" s="3">
        <v>2.0756040556386131E-3</v>
      </c>
      <c r="H18" s="2">
        <v>1326.5035338800001</v>
      </c>
      <c r="I18" s="3">
        <v>0.28896778818131369</v>
      </c>
      <c r="J18" s="3">
        <v>0.13471574958967719</v>
      </c>
    </row>
    <row r="19" spans="1:11" x14ac:dyDescent="0.25">
      <c r="A19" s="2" t="s">
        <v>18</v>
      </c>
      <c r="B19" s="2" t="s">
        <v>19</v>
      </c>
      <c r="C19" s="2">
        <v>2024</v>
      </c>
      <c r="D19" s="2">
        <v>1633041.6</v>
      </c>
      <c r="E19" s="2">
        <v>3459.2387039999999</v>
      </c>
      <c r="F19" s="3">
        <v>2.6129124854981389E-3</v>
      </c>
      <c r="G19" s="3">
        <v>2.2962786554205951E-3</v>
      </c>
      <c r="H19" s="2">
        <v>505.80556799999999</v>
      </c>
      <c r="I19" s="3">
        <v>0.34640207044933119</v>
      </c>
      <c r="J19" s="3">
        <v>4.5530032599403893E-2</v>
      </c>
    </row>
    <row r="20" spans="1:11" x14ac:dyDescent="0.25">
      <c r="A20" s="2" t="s">
        <v>30</v>
      </c>
      <c r="B20" s="2" t="s">
        <v>31</v>
      </c>
      <c r="C20" s="2">
        <v>2022</v>
      </c>
      <c r="D20" s="2">
        <v>1616706.6266000001</v>
      </c>
      <c r="E20" s="2">
        <v>14840.029964359999</v>
      </c>
      <c r="F20" s="3">
        <v>3.348617336982791E-3</v>
      </c>
      <c r="G20" s="3">
        <v>9.7700369843055682E-4</v>
      </c>
      <c r="H20" s="2">
        <v>41839.717888599997</v>
      </c>
      <c r="I20" s="3">
        <v>0.16088587138667351</v>
      </c>
      <c r="J20" s="3">
        <v>1.4515229332018841E-2</v>
      </c>
    </row>
    <row r="21" spans="1:11" x14ac:dyDescent="0.25">
      <c r="A21" s="2" t="s">
        <v>18</v>
      </c>
      <c r="B21" s="2" t="s">
        <v>19</v>
      </c>
      <c r="C21" s="2">
        <v>2021</v>
      </c>
      <c r="D21" s="2">
        <v>1611186.9731999999</v>
      </c>
      <c r="E21" s="2">
        <v>5998.8555937799993</v>
      </c>
      <c r="F21" s="3">
        <v>3.3561812091085249E-3</v>
      </c>
      <c r="G21" s="3">
        <v>1.7434020366891251E-3</v>
      </c>
      <c r="H21" s="2">
        <v>1791.46702224</v>
      </c>
      <c r="I21" s="3">
        <v>0.27882618397040282</v>
      </c>
      <c r="J21" s="3">
        <v>0.14559607046177431</v>
      </c>
    </row>
    <row r="22" spans="1:11" x14ac:dyDescent="0.25">
      <c r="A22" s="2" t="s">
        <v>24</v>
      </c>
      <c r="B22" s="2" t="s">
        <v>25</v>
      </c>
      <c r="C22" s="2">
        <v>2023</v>
      </c>
      <c r="D22" s="2">
        <v>1516151.2736</v>
      </c>
      <c r="E22" s="2">
        <v>20365.73930736</v>
      </c>
      <c r="F22" s="3">
        <v>2.3285205202868371E-2</v>
      </c>
      <c r="G22" s="3">
        <v>1.5783067550306741E-3</v>
      </c>
      <c r="H22" s="2">
        <v>46398.393937840003</v>
      </c>
      <c r="I22" s="3">
        <v>0.26419348279387139</v>
      </c>
      <c r="J22" s="3">
        <v>3.9169211767863303E-2</v>
      </c>
    </row>
    <row r="23" spans="1:11" x14ac:dyDescent="0.25">
      <c r="A23" s="4" t="s">
        <v>28</v>
      </c>
      <c r="B23" s="4" t="s">
        <v>29</v>
      </c>
      <c r="C23" s="4">
        <v>2024</v>
      </c>
      <c r="D23" s="2">
        <v>1480739.04</v>
      </c>
      <c r="E23" s="2">
        <v>12188.037840000001</v>
      </c>
      <c r="F23" s="3">
        <v>3.5563801629943082E-3</v>
      </c>
      <c r="G23" s="3">
        <v>2.3262126662383252E-3</v>
      </c>
      <c r="H23" s="2">
        <v>20605.5756</v>
      </c>
      <c r="I23" s="3">
        <v>0.26889836321776911</v>
      </c>
      <c r="J23" s="3">
        <v>0.11374171561603939</v>
      </c>
      <c r="K23" t="s">
        <v>36</v>
      </c>
    </row>
    <row r="24" spans="1:11" x14ac:dyDescent="0.25">
      <c r="A24" s="2" t="s">
        <v>28</v>
      </c>
      <c r="B24" s="2" t="s">
        <v>29</v>
      </c>
      <c r="C24" s="2">
        <v>2023</v>
      </c>
      <c r="D24" s="2">
        <v>1475964.3504000001</v>
      </c>
      <c r="E24" s="2">
        <v>9380.3853557600014</v>
      </c>
      <c r="F24" s="3">
        <v>2.4821681068467739E-3</v>
      </c>
      <c r="G24" s="3">
        <v>1.7821392198706289E-3</v>
      </c>
      <c r="H24" s="2">
        <v>12393.42468504</v>
      </c>
      <c r="I24" s="3">
        <v>0.32139143858178409</v>
      </c>
      <c r="J24" s="3">
        <v>1.3098604452404111E-2</v>
      </c>
    </row>
    <row r="25" spans="1:11" x14ac:dyDescent="0.25">
      <c r="A25" s="2" t="s">
        <v>16</v>
      </c>
      <c r="B25" s="2" t="s">
        <v>17</v>
      </c>
      <c r="C25" s="2">
        <v>2021</v>
      </c>
      <c r="D25" s="2">
        <v>1391118.3467999999</v>
      </c>
      <c r="E25" s="2">
        <v>3256.4356082999998</v>
      </c>
      <c r="F25" s="3">
        <v>3.8592436982227681E-4</v>
      </c>
      <c r="G25" s="3">
        <v>2.369477916386043E-3</v>
      </c>
      <c r="H25" s="2">
        <v>227.76254298000001</v>
      </c>
      <c r="I25" s="3">
        <v>0.30219215257902982</v>
      </c>
      <c r="J25" s="3">
        <v>7.0856799229788783E-2</v>
      </c>
    </row>
    <row r="26" spans="1:11" x14ac:dyDescent="0.25">
      <c r="A26" s="2" t="s">
        <v>28</v>
      </c>
      <c r="B26" s="2" t="s">
        <v>29</v>
      </c>
      <c r="C26" s="2">
        <v>2021</v>
      </c>
      <c r="D26" s="2">
        <v>1323628.3493999999</v>
      </c>
      <c r="E26" s="2">
        <v>10615.43888874</v>
      </c>
      <c r="F26" s="3">
        <v>5.7122249315871114E-3</v>
      </c>
      <c r="G26" s="3">
        <v>1.223257961926933E-3</v>
      </c>
      <c r="H26" s="2">
        <v>13200.66572454</v>
      </c>
      <c r="I26" s="3">
        <v>0.3162567429822164</v>
      </c>
      <c r="J26" s="3">
        <v>5.0240714253304133E-2</v>
      </c>
    </row>
    <row r="27" spans="1:11" x14ac:dyDescent="0.25">
      <c r="A27" s="2" t="s">
        <v>16</v>
      </c>
      <c r="B27" s="2" t="s">
        <v>17</v>
      </c>
      <c r="C27" s="2">
        <v>2022</v>
      </c>
      <c r="D27" s="2">
        <v>1306372.004</v>
      </c>
      <c r="E27" s="2">
        <v>2736.7203125999999</v>
      </c>
      <c r="F27" s="3">
        <v>6.5575458761258591E-4</v>
      </c>
      <c r="G27" s="3">
        <v>9.6186040198574876E-4</v>
      </c>
      <c r="H27" s="2">
        <v>184.44434138</v>
      </c>
      <c r="I27" s="3">
        <v>0.27255849620470479</v>
      </c>
      <c r="J27" s="3">
        <v>3.6992817827589133E-2</v>
      </c>
    </row>
    <row r="28" spans="1:11" x14ac:dyDescent="0.25">
      <c r="A28" s="2" t="s">
        <v>28</v>
      </c>
      <c r="B28" s="2" t="s">
        <v>29</v>
      </c>
      <c r="C28" s="2">
        <v>2022</v>
      </c>
      <c r="D28" s="2">
        <v>1305131.6499999999</v>
      </c>
      <c r="E28" s="2">
        <v>8680.9984719799995</v>
      </c>
      <c r="F28" s="3">
        <v>5.3628300774693723E-2</v>
      </c>
      <c r="G28" s="3">
        <v>1.9809359137092151E-3</v>
      </c>
      <c r="H28" s="2">
        <v>11646.658520340001</v>
      </c>
      <c r="I28" s="3">
        <v>0.31878707726476818</v>
      </c>
      <c r="J28" s="3">
        <v>6.4910121703982996E-3</v>
      </c>
    </row>
    <row r="29" spans="1:11" x14ac:dyDescent="0.25">
      <c r="A29" s="2" t="s">
        <v>24</v>
      </c>
      <c r="B29" s="2" t="s">
        <v>25</v>
      </c>
      <c r="C29" s="2">
        <v>2021</v>
      </c>
      <c r="D29" s="2">
        <v>1302351.9642</v>
      </c>
      <c r="E29" s="2">
        <v>28233.8392518</v>
      </c>
      <c r="F29" s="3">
        <v>1.7629362658082969E-3</v>
      </c>
      <c r="G29" s="3">
        <v>1.091290811894655E-3</v>
      </c>
      <c r="H29" s="2">
        <v>43741.866387239992</v>
      </c>
      <c r="I29" s="3">
        <v>0.22888523522902479</v>
      </c>
      <c r="J29" s="3">
        <v>3.7896544788577201E-2</v>
      </c>
    </row>
    <row r="30" spans="1:11" x14ac:dyDescent="0.25">
      <c r="A30" s="2" t="s">
        <v>16</v>
      </c>
      <c r="B30" s="2" t="s">
        <v>17</v>
      </c>
      <c r="C30" s="2">
        <v>2023</v>
      </c>
      <c r="D30" s="2">
        <v>1294069.4295999999</v>
      </c>
      <c r="E30" s="2">
        <v>2594.2840083999999</v>
      </c>
      <c r="F30" s="3">
        <v>4.4144095106468531E-4</v>
      </c>
      <c r="G30" s="3">
        <v>4.2813564143465432E-3</v>
      </c>
      <c r="H30" s="2">
        <v>273.85519335999999</v>
      </c>
      <c r="I30" s="3">
        <v>0.3035765482479364</v>
      </c>
      <c r="J30" s="3">
        <v>6.9345099382635278E-2</v>
      </c>
    </row>
    <row r="31" spans="1:11" x14ac:dyDescent="0.25">
      <c r="A31" s="2" t="s">
        <v>24</v>
      </c>
      <c r="B31" s="2" t="s">
        <v>25</v>
      </c>
      <c r="C31" s="2">
        <v>2022</v>
      </c>
      <c r="D31" s="2">
        <v>1269113.9778</v>
      </c>
      <c r="E31" s="2">
        <v>57596.7124071</v>
      </c>
      <c r="F31" s="3">
        <v>6.9328647193893768E-4</v>
      </c>
      <c r="G31" s="3">
        <v>1.2640594598421069E-2</v>
      </c>
      <c r="H31" s="2">
        <v>36770.41817058</v>
      </c>
      <c r="I31" s="3">
        <v>0.28007938597771881</v>
      </c>
      <c r="J31" s="3">
        <v>2.6615823445898079E-2</v>
      </c>
    </row>
    <row r="32" spans="1:11" x14ac:dyDescent="0.25">
      <c r="A32" s="2" t="s">
        <v>16</v>
      </c>
      <c r="B32" s="2" t="s">
        <v>17</v>
      </c>
      <c r="C32" s="2">
        <v>2024</v>
      </c>
      <c r="D32" s="2">
        <v>1242436.8</v>
      </c>
      <c r="E32" s="2">
        <v>2793.945984</v>
      </c>
      <c r="F32" s="3">
        <v>3.0877619142976242E-4</v>
      </c>
      <c r="G32" s="3">
        <v>1.0062327675981299E-3</v>
      </c>
      <c r="H32" s="2">
        <v>282.20256000000001</v>
      </c>
      <c r="I32" s="3">
        <v>0.36687791917975521</v>
      </c>
      <c r="J32" s="3">
        <v>4.5344620544902209E-2</v>
      </c>
    </row>
    <row r="33" spans="1:10" x14ac:dyDescent="0.25">
      <c r="A33" s="2" t="s">
        <v>26</v>
      </c>
      <c r="B33" s="2" t="s">
        <v>27</v>
      </c>
      <c r="C33" s="2">
        <v>2023</v>
      </c>
      <c r="D33" s="2">
        <v>1077071.2032000001</v>
      </c>
      <c r="E33" s="2">
        <v>5130.8202951200001</v>
      </c>
      <c r="F33" s="3">
        <v>7.1409024001186736E-3</v>
      </c>
      <c r="G33" s="3">
        <v>1.6292149323472839E-3</v>
      </c>
      <c r="H33" s="2">
        <v>2792.637241840001</v>
      </c>
      <c r="I33" s="3">
        <v>0.41645920491761218</v>
      </c>
      <c r="J33" s="3">
        <v>2.192155061273348E-2</v>
      </c>
    </row>
    <row r="34" spans="1:10" x14ac:dyDescent="0.25">
      <c r="A34" s="2" t="s">
        <v>26</v>
      </c>
      <c r="B34" s="2" t="s">
        <v>27</v>
      </c>
      <c r="C34" s="2">
        <v>2024</v>
      </c>
      <c r="D34" s="2">
        <v>1073971.2</v>
      </c>
      <c r="E34" s="2">
        <v>6590.0541599999997</v>
      </c>
      <c r="F34" s="3">
        <v>3.968817154607421E-3</v>
      </c>
      <c r="G34" s="3">
        <v>1.4273582237145071E-3</v>
      </c>
      <c r="H34" s="2">
        <v>3618.7765439999998</v>
      </c>
      <c r="I34" s="3">
        <v>0.40720865245002541</v>
      </c>
      <c r="J34" s="3">
        <v>1.58921512010331E-2</v>
      </c>
    </row>
    <row r="35" spans="1:10" x14ac:dyDescent="0.25">
      <c r="A35" s="2" t="s">
        <v>26</v>
      </c>
      <c r="B35" s="2" t="s">
        <v>27</v>
      </c>
      <c r="C35" s="2">
        <v>2021</v>
      </c>
      <c r="D35" s="2">
        <v>1050179.6843999999</v>
      </c>
      <c r="E35" s="2">
        <v>4733.3383234200001</v>
      </c>
      <c r="F35" s="3">
        <v>6.6356632156617178E-4</v>
      </c>
      <c r="G35" s="3">
        <v>3.1476572520248271E-3</v>
      </c>
      <c r="H35" s="2">
        <v>2645.1058485600001</v>
      </c>
      <c r="I35" s="3">
        <v>0.31096012285019992</v>
      </c>
      <c r="J35" s="3">
        <v>5.2942071439687974E-3</v>
      </c>
    </row>
    <row r="36" spans="1:10" x14ac:dyDescent="0.25">
      <c r="A36" s="2" t="s">
        <v>14</v>
      </c>
      <c r="B36" s="2" t="s">
        <v>15</v>
      </c>
      <c r="C36" s="2">
        <v>2021</v>
      </c>
      <c r="D36" s="2">
        <v>1041751.2168000001</v>
      </c>
      <c r="E36" s="2">
        <v>9174.7777388399991</v>
      </c>
      <c r="F36" s="3">
        <v>7.2720955318134649E-3</v>
      </c>
      <c r="G36" s="3">
        <v>4.0538663342816288E-4</v>
      </c>
      <c r="H36" s="2">
        <v>4355.2804314599998</v>
      </c>
      <c r="I36" s="3">
        <v>0.19455793530520041</v>
      </c>
      <c r="J36" s="3">
        <v>2.676969961287114E-2</v>
      </c>
    </row>
    <row r="37" spans="1:10" x14ac:dyDescent="0.25">
      <c r="A37" s="2" t="s">
        <v>34</v>
      </c>
      <c r="B37" s="2" t="s">
        <v>35</v>
      </c>
      <c r="C37" s="2">
        <v>2021</v>
      </c>
      <c r="D37" s="2">
        <v>1026217.0422</v>
      </c>
      <c r="E37" s="2">
        <v>6058.6276942799996</v>
      </c>
      <c r="F37" s="3">
        <v>1.149126975828702E-3</v>
      </c>
      <c r="G37" s="3">
        <v>4.3326889923906344E-3</v>
      </c>
      <c r="H37" s="2">
        <v>476.66227769999989</v>
      </c>
      <c r="I37" s="3">
        <v>0.2382626040139027</v>
      </c>
      <c r="J37" s="3">
        <v>0.1217934774283482</v>
      </c>
    </row>
    <row r="38" spans="1:10" x14ac:dyDescent="0.25">
      <c r="A38" s="2" t="s">
        <v>26</v>
      </c>
      <c r="B38" s="2" t="s">
        <v>27</v>
      </c>
      <c r="C38" s="2">
        <v>2022</v>
      </c>
      <c r="D38" s="2">
        <v>957666.28359999997</v>
      </c>
      <c r="E38" s="2">
        <v>45922.658233419999</v>
      </c>
      <c r="F38" s="3">
        <v>4.0433840100499702E-5</v>
      </c>
      <c r="G38" s="3">
        <v>1.5232724169502069E-4</v>
      </c>
      <c r="H38" s="2">
        <v>2180.8307305399999</v>
      </c>
      <c r="I38" s="3">
        <v>0.36546083985282579</v>
      </c>
      <c r="J38" s="3">
        <v>1.4954421892213811E-2</v>
      </c>
    </row>
    <row r="39" spans="1:10" x14ac:dyDescent="0.25">
      <c r="A39" s="2" t="s">
        <v>14</v>
      </c>
      <c r="B39" s="2" t="s">
        <v>15</v>
      </c>
      <c r="C39" s="2">
        <v>2022</v>
      </c>
      <c r="D39" s="2">
        <v>716892.14199999999</v>
      </c>
      <c r="E39" s="2">
        <v>7502.6813292799998</v>
      </c>
      <c r="F39" s="3">
        <v>1.753601618218082E-3</v>
      </c>
      <c r="G39" s="3">
        <v>3.3407912051630981E-4</v>
      </c>
      <c r="H39" s="2">
        <v>4456.8698652000003</v>
      </c>
      <c r="I39" s="3">
        <v>0.20128610307533459</v>
      </c>
      <c r="J39" s="3">
        <v>1.4331905689854291E-2</v>
      </c>
    </row>
    <row r="40" spans="1:10" x14ac:dyDescent="0.25">
      <c r="A40" s="2" t="s">
        <v>14</v>
      </c>
      <c r="B40" s="2" t="s">
        <v>15</v>
      </c>
      <c r="C40" s="2">
        <v>2023</v>
      </c>
      <c r="D40" s="2">
        <v>678275.2648</v>
      </c>
      <c r="E40" s="2">
        <v>3403.6800820799999</v>
      </c>
      <c r="F40" s="3">
        <v>7.8396110552474759E-4</v>
      </c>
      <c r="G40" s="3">
        <v>1.35821810761219E-3</v>
      </c>
      <c r="H40" s="2">
        <v>7125.9442324800002</v>
      </c>
      <c r="I40" s="3">
        <v>0.14483879397422669</v>
      </c>
      <c r="J40" s="3">
        <v>1.763229425053638E-2</v>
      </c>
    </row>
    <row r="41" spans="1:10" x14ac:dyDescent="0.25">
      <c r="A41" s="2" t="s">
        <v>14</v>
      </c>
      <c r="B41" s="2" t="s">
        <v>15</v>
      </c>
      <c r="C41" s="2">
        <v>2024</v>
      </c>
      <c r="D41" s="2">
        <v>657101.28</v>
      </c>
      <c r="E41" s="2">
        <v>3780.5631839999992</v>
      </c>
      <c r="F41" s="3">
        <v>1.04121883656369E-2</v>
      </c>
      <c r="G41" s="3">
        <v>1.4970467955548929E-3</v>
      </c>
      <c r="H41" s="2">
        <v>7220.5647359999994</v>
      </c>
      <c r="I41" s="3">
        <v>0.13270105747030589</v>
      </c>
      <c r="J41" s="3">
        <v>1.7385556475121671E-2</v>
      </c>
    </row>
    <row r="42" spans="1:10" x14ac:dyDescent="0.25">
      <c r="A42" s="2" t="s">
        <v>10</v>
      </c>
      <c r="B42" s="2" t="s">
        <v>11</v>
      </c>
      <c r="C42" s="2">
        <v>2023</v>
      </c>
      <c r="D42" s="2">
        <v>273354.02159999998</v>
      </c>
      <c r="E42" s="2">
        <v>495.65047271999998</v>
      </c>
      <c r="F42" s="3">
        <v>8.2511209513368383E-4</v>
      </c>
      <c r="G42" s="3">
        <v>1.2973175965540721E-3</v>
      </c>
      <c r="H42" s="2">
        <v>56.502356160000012</v>
      </c>
      <c r="I42" s="3">
        <v>0.28761752932888668</v>
      </c>
      <c r="J42" s="3">
        <v>0.24715771428106051</v>
      </c>
    </row>
    <row r="43" spans="1:10" x14ac:dyDescent="0.25">
      <c r="A43" s="2" t="s">
        <v>32</v>
      </c>
      <c r="B43" s="2" t="s">
        <v>33</v>
      </c>
      <c r="C43" s="2">
        <v>2021</v>
      </c>
      <c r="D43" s="2">
        <v>258165.054</v>
      </c>
      <c r="E43" s="2">
        <v>1009.94355126</v>
      </c>
      <c r="F43" s="3">
        <v>8.5387861422959034E-4</v>
      </c>
      <c r="G43" s="3">
        <v>8.3858185830622603E-4</v>
      </c>
      <c r="H43" s="2">
        <v>268.30965168</v>
      </c>
      <c r="I43" s="3">
        <v>0.31804429130925999</v>
      </c>
      <c r="J43" s="3">
        <v>0.2189795261263037</v>
      </c>
    </row>
    <row r="44" spans="1:10" x14ac:dyDescent="0.25">
      <c r="A44" s="2" t="s">
        <v>32</v>
      </c>
      <c r="B44" s="2" t="s">
        <v>33</v>
      </c>
      <c r="C44" s="2">
        <v>2022</v>
      </c>
      <c r="D44" s="2">
        <v>250663.8542</v>
      </c>
      <c r="E44" s="2">
        <v>1242.3335010799999</v>
      </c>
      <c r="F44" s="3">
        <v>2.2201217930630291E-3</v>
      </c>
      <c r="G44" s="3">
        <v>9.0849775766235264E-4</v>
      </c>
      <c r="H44" s="2">
        <v>210.68471212</v>
      </c>
      <c r="I44" s="3">
        <v>0.37682882398595929</v>
      </c>
      <c r="J44" s="3">
        <v>0.2491944328172073</v>
      </c>
    </row>
    <row r="45" spans="1:10" x14ac:dyDescent="0.25">
      <c r="A45" s="2" t="s">
        <v>10</v>
      </c>
      <c r="B45" s="2" t="s">
        <v>11</v>
      </c>
      <c r="C45" s="2">
        <v>2022</v>
      </c>
      <c r="D45" s="2">
        <v>250294.995</v>
      </c>
      <c r="E45" s="2">
        <v>475.14006893999988</v>
      </c>
      <c r="F45" s="3">
        <v>6.0154981800975621E-3</v>
      </c>
      <c r="G45" s="3">
        <v>4.719404543175171E-4</v>
      </c>
      <c r="H45" s="2">
        <v>257.00985594000002</v>
      </c>
      <c r="I45" s="3">
        <v>0.25627171269017912</v>
      </c>
      <c r="J45" s="3">
        <v>0.32535208384973813</v>
      </c>
    </row>
    <row r="47" spans="1:10" x14ac:dyDescent="0.25">
      <c r="C47" s="2" t="s">
        <v>36</v>
      </c>
      <c r="D47">
        <f>MEDIAN(D2:D45)</f>
        <v>1478351.6952</v>
      </c>
    </row>
    <row r="49" spans="3:10" x14ac:dyDescent="0.25"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</row>
    <row r="50" spans="3:10" x14ac:dyDescent="0.25">
      <c r="C50" t="s">
        <v>37</v>
      </c>
      <c r="D50" s="2">
        <f>AVERAGE(D24:D45)</f>
        <v>964626.82336363674</v>
      </c>
      <c r="E50" s="2">
        <f t="shared" ref="E50:J50" si="0">AVERAGE(E24:E45)</f>
        <v>10064.046769232727</v>
      </c>
      <c r="F50" s="3">
        <f t="shared" si="0"/>
        <v>4.962278029397393E-3</v>
      </c>
      <c r="G50" s="3">
        <f t="shared" si="0"/>
        <v>2.0517027714664986E-3</v>
      </c>
      <c r="H50" s="2">
        <f t="shared" si="0"/>
        <v>7017.5671185972724</v>
      </c>
      <c r="I50" s="3">
        <f t="shared" si="0"/>
        <v>0.28914103033958438</v>
      </c>
      <c r="J50" s="3">
        <f t="shared" si="0"/>
        <v>7.5160957158022165E-2</v>
      </c>
    </row>
    <row r="51" spans="3:10" x14ac:dyDescent="0.25">
      <c r="C51" t="s">
        <v>38</v>
      </c>
      <c r="D51" s="2">
        <f>AVERAGE(D2:D22)</f>
        <v>3293517.19967619</v>
      </c>
      <c r="E51" s="2">
        <f t="shared" ref="E51:J51" si="1">AVERAGE(E2:E22)</f>
        <v>18758.069522481906</v>
      </c>
      <c r="F51" s="3">
        <f t="shared" si="1"/>
        <v>1.0005543351894883E-2</v>
      </c>
      <c r="G51" s="3">
        <f t="shared" si="1"/>
        <v>2.4624746800407347E-3</v>
      </c>
      <c r="H51" s="2">
        <f t="shared" si="1"/>
        <v>22497.092873484758</v>
      </c>
      <c r="I51" s="3">
        <f t="shared" si="1"/>
        <v>0.2569049503835848</v>
      </c>
      <c r="J51" s="3">
        <f t="shared" si="1"/>
        <v>4.080617850928784E-2</v>
      </c>
    </row>
    <row r="53" spans="3:10" x14ac:dyDescent="0.25">
      <c r="C53" t="s">
        <v>39</v>
      </c>
      <c r="D53" s="5">
        <f>D51/D50</f>
        <v>3.4142915373136251</v>
      </c>
      <c r="E53" s="7">
        <f t="shared" ref="E53:J53" si="2">E51/E50</f>
        <v>1.8638694704627254</v>
      </c>
      <c r="F53" s="7">
        <f t="shared" si="2"/>
        <v>2.0163205875648873</v>
      </c>
      <c r="G53" s="7">
        <f t="shared" si="2"/>
        <v>1.2002102420910745</v>
      </c>
      <c r="H53" s="7">
        <f t="shared" si="2"/>
        <v>3.2058251090844796</v>
      </c>
      <c r="I53" s="6">
        <f t="shared" si="2"/>
        <v>0.88851087679206364</v>
      </c>
      <c r="J53" s="6">
        <f t="shared" si="2"/>
        <v>0.54291722793650543</v>
      </c>
    </row>
  </sheetData>
  <sortState ref="A2:J45">
    <sortCondition descending="1" ref="D2:D45"/>
  </sortState>
  <conditionalFormatting sqref="D2:D4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45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45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45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45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45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4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0:F5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0:G5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0:H5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0:I5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0:J5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0:E5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2026-05-08T07:47:17Z</dcterms:created>
  <dcterms:modified xsi:type="dcterms:W3CDTF">2026-05-08T07:57:00Z</dcterms:modified>
</cp:coreProperties>
</file>