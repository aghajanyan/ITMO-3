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19830" windowHeight="972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G23" i="1" l="1"/>
  <c r="F23" i="1"/>
  <c r="E23" i="1"/>
  <c r="D23" i="1"/>
  <c r="G22" i="1"/>
  <c r="G25" i="1" s="1"/>
  <c r="F22" i="1"/>
  <c r="F25" i="1" s="1"/>
  <c r="E22" i="1"/>
  <c r="E25" i="1" s="1"/>
  <c r="D22" i="1"/>
  <c r="D25" i="1" s="1"/>
  <c r="E13" i="1" l="1"/>
  <c r="F13" i="1"/>
  <c r="G13" i="1"/>
  <c r="D13" i="1"/>
  <c r="E12" i="1"/>
  <c r="F12" i="1"/>
  <c r="G12" i="1"/>
  <c r="D12" i="1"/>
  <c r="D10" i="1"/>
</calcChain>
</file>

<file path=xl/sharedStrings.xml><?xml version="1.0" encoding="utf-8"?>
<sst xmlns="http://schemas.openxmlformats.org/spreadsheetml/2006/main" count="42" uniqueCount="15">
  <si>
    <t>sector</t>
  </si>
  <si>
    <t>okved2</t>
  </si>
  <si>
    <t>year</t>
  </si>
  <si>
    <t>VDS_s</t>
  </si>
  <si>
    <t>ITcosts_s</t>
  </si>
  <si>
    <t>skvozcosts_s</t>
  </si>
  <si>
    <t>trainingcosts_s</t>
  </si>
  <si>
    <t>Аренда и лизинг</t>
  </si>
  <si>
    <t>77</t>
  </si>
  <si>
    <t>Деятельность по трудоустройству и подбору персонала</t>
  </si>
  <si>
    <t>78</t>
  </si>
  <si>
    <t>медиана ВДС:</t>
  </si>
  <si>
    <t>верхний кластер:</t>
  </si>
  <si>
    <t>нижний кластер: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</si>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</sst>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3" fillId="0" borderId="0" xfId="0" applyFont="1"/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workbookViewId="0">
      <selection activeCell="D25" sqref="D25:G25"/>
    </sheetView>
  </sheetViews>
  <sheetFormatPr defaultRowHeight="15" x14ac:dyDescent="0.25"/>
  <cols>
    <col min="1" max="1" width="73" customWidth="1"/>
    <col min="4" max="4" width="14" customWidth="1"/>
    <col min="5" max="5" width="13.7109375" customWidth="1"/>
    <col min="6" max="6" width="14" customWidth="1"/>
    <col min="7" max="7" width="1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2022</v>
      </c>
      <c r="D2" s="4">
        <v>971947.1589226143</v>
      </c>
      <c r="E2" s="4">
        <v>21731.663739110001</v>
      </c>
      <c r="F2" s="3">
        <v>3.0282081846115981E-5</v>
      </c>
      <c r="G2" s="3">
        <v>5.0206173563068553E-3</v>
      </c>
    </row>
    <row r="3" spans="1:7" x14ac:dyDescent="0.25">
      <c r="A3" s="2" t="s">
        <v>7</v>
      </c>
      <c r="B3" s="2" t="s">
        <v>8</v>
      </c>
      <c r="C3" s="2">
        <v>2021</v>
      </c>
      <c r="D3" s="4">
        <v>950234.48563991196</v>
      </c>
      <c r="E3" s="4">
        <v>3253.0570836699999</v>
      </c>
      <c r="F3" s="3">
        <v>3.2666995157709352E-4</v>
      </c>
      <c r="G3" s="3">
        <v>1.167450820049999E-3</v>
      </c>
    </row>
    <row r="4" spans="1:7" x14ac:dyDescent="0.25">
      <c r="A4" s="2" t="s">
        <v>7</v>
      </c>
      <c r="B4" s="2" t="s">
        <v>8</v>
      </c>
      <c r="C4" s="2">
        <v>2024</v>
      </c>
      <c r="D4" s="4">
        <v>840420.70663642394</v>
      </c>
      <c r="E4" s="4">
        <v>22097.462448999999</v>
      </c>
      <c r="F4" s="3">
        <v>1.047846559460851E-5</v>
      </c>
      <c r="G4" s="3">
        <v>8.9257472528899238E-3</v>
      </c>
    </row>
    <row r="5" spans="1:7" x14ac:dyDescent="0.25">
      <c r="A5" s="2" t="s">
        <v>9</v>
      </c>
      <c r="B5" s="2" t="s">
        <v>10</v>
      </c>
      <c r="C5" s="2">
        <v>2024</v>
      </c>
      <c r="D5" s="4">
        <v>130071.2900498806</v>
      </c>
      <c r="E5" s="4">
        <v>866.32844524999996</v>
      </c>
      <c r="F5" s="3">
        <v>1.8830176464184379E-3</v>
      </c>
      <c r="G5" s="3">
        <v>2.5735129813919731E-4</v>
      </c>
    </row>
    <row r="6" spans="1:7" x14ac:dyDescent="0.25">
      <c r="A6" s="2" t="s">
        <v>9</v>
      </c>
      <c r="B6" s="2" t="s">
        <v>10</v>
      </c>
      <c r="C6" s="2">
        <v>2023</v>
      </c>
      <c r="D6" s="4">
        <v>118956.3612196709</v>
      </c>
      <c r="E6" s="4">
        <v>1090.8420791399999</v>
      </c>
      <c r="F6" s="3">
        <v>6.857037460360029E-4</v>
      </c>
      <c r="G6" s="3">
        <v>4.8025762850386331E-4</v>
      </c>
    </row>
    <row r="7" spans="1:7" x14ac:dyDescent="0.25">
      <c r="A7" s="2" t="s">
        <v>9</v>
      </c>
      <c r="B7" s="2" t="s">
        <v>10</v>
      </c>
      <c r="C7" s="2">
        <v>2022</v>
      </c>
      <c r="D7" s="4">
        <v>106346.7598437235</v>
      </c>
      <c r="E7" s="4">
        <v>1736.36278023</v>
      </c>
      <c r="F7" s="3">
        <v>2.7534118528886658E-3</v>
      </c>
      <c r="G7" s="3">
        <v>9.5257384161442811E-3</v>
      </c>
    </row>
    <row r="8" spans="1:7" x14ac:dyDescent="0.25">
      <c r="A8" s="2" t="s">
        <v>9</v>
      </c>
      <c r="B8" s="2" t="s">
        <v>10</v>
      </c>
      <c r="C8" s="2">
        <v>2021</v>
      </c>
      <c r="D8" s="4">
        <v>85809.083743767143</v>
      </c>
      <c r="E8" s="4">
        <v>2740.6294030899999</v>
      </c>
      <c r="F8" s="3">
        <v>3.444045779906578E-2</v>
      </c>
      <c r="G8" s="3">
        <v>2.7573625574766692E-4</v>
      </c>
    </row>
    <row r="10" spans="1:7" x14ac:dyDescent="0.25">
      <c r="B10" s="5" t="s">
        <v>11</v>
      </c>
      <c r="D10" s="4">
        <f>MEDIAN(D2:D8)</f>
        <v>130071.2900498806</v>
      </c>
    </row>
    <row r="12" spans="1:7" x14ac:dyDescent="0.25">
      <c r="B12" t="s">
        <v>12</v>
      </c>
      <c r="D12" s="4">
        <f>AVERAGE(D2:D4)</f>
        <v>920867.45039964991</v>
      </c>
      <c r="E12" s="4">
        <f t="shared" ref="E12:G12" si="0">AVERAGE(E2:E4)</f>
        <v>15694.061090593334</v>
      </c>
      <c r="F12" s="3">
        <f t="shared" si="0"/>
        <v>1.2247683300593934E-4</v>
      </c>
      <c r="G12" s="3">
        <f t="shared" si="0"/>
        <v>5.0379384764155924E-3</v>
      </c>
    </row>
    <row r="13" spans="1:7" x14ac:dyDescent="0.25">
      <c r="B13" t="s">
        <v>13</v>
      </c>
      <c r="D13" s="4">
        <f>AVERAGE(D6:D8)</f>
        <v>103704.06826905387</v>
      </c>
      <c r="E13" s="4">
        <f t="shared" ref="E13:G13" si="1">AVERAGE(E6:E8)</f>
        <v>1855.9447541533334</v>
      </c>
      <c r="F13" s="3">
        <f t="shared" si="1"/>
        <v>1.2626524465996816E-2</v>
      </c>
      <c r="G13" s="3">
        <f t="shared" si="1"/>
        <v>3.4272441001319369E-3</v>
      </c>
    </row>
    <row r="16" spans="1:7" x14ac:dyDescent="0.25">
      <c r="A16" s="1" t="s">
        <v>0</v>
      </c>
      <c r="B16" s="1" t="s">
        <v>1</v>
      </c>
      <c r="C16" s="1" t="s">
        <v>2</v>
      </c>
      <c r="D16" s="1" t="s">
        <v>3</v>
      </c>
      <c r="E16" s="1" t="s">
        <v>4</v>
      </c>
      <c r="F16" s="1" t="s">
        <v>5</v>
      </c>
      <c r="G16" s="1" t="s">
        <v>6</v>
      </c>
    </row>
    <row r="17" spans="1:7" x14ac:dyDescent="0.25">
      <c r="A17" s="2" t="s">
        <v>9</v>
      </c>
      <c r="B17" s="2" t="s">
        <v>10</v>
      </c>
      <c r="C17" s="2">
        <v>2024</v>
      </c>
      <c r="D17" s="4">
        <v>130071.2900498806</v>
      </c>
      <c r="E17" s="4">
        <v>866.32844524999996</v>
      </c>
      <c r="F17" s="3">
        <v>1.8830176464184379E-3</v>
      </c>
      <c r="G17" s="3">
        <v>2.5735129813919731E-4</v>
      </c>
    </row>
    <row r="18" spans="1:7" x14ac:dyDescent="0.25">
      <c r="A18" s="2" t="s">
        <v>9</v>
      </c>
      <c r="B18" s="2" t="s">
        <v>10</v>
      </c>
      <c r="C18" s="2">
        <v>2023</v>
      </c>
      <c r="D18" s="4">
        <v>118956.3612196709</v>
      </c>
      <c r="E18" s="4">
        <v>1090.8420791399999</v>
      </c>
      <c r="F18" s="3">
        <v>6.857037460360029E-4</v>
      </c>
      <c r="G18" s="3">
        <v>4.8025762850386331E-4</v>
      </c>
    </row>
    <row r="19" spans="1:7" x14ac:dyDescent="0.25">
      <c r="A19" s="2" t="s">
        <v>9</v>
      </c>
      <c r="B19" s="2" t="s">
        <v>10</v>
      </c>
      <c r="C19" s="2">
        <v>2022</v>
      </c>
      <c r="D19" s="4">
        <v>106346.7598437235</v>
      </c>
      <c r="E19" s="4">
        <v>1736.36278023</v>
      </c>
      <c r="F19" s="3">
        <v>2.7534118528886658E-3</v>
      </c>
      <c r="G19" s="3">
        <v>9.5257384161442811E-3</v>
      </c>
    </row>
    <row r="20" spans="1:7" x14ac:dyDescent="0.25">
      <c r="A20" s="2" t="s">
        <v>9</v>
      </c>
      <c r="B20" s="2" t="s">
        <v>10</v>
      </c>
      <c r="C20" s="2">
        <v>2021</v>
      </c>
      <c r="D20" s="4">
        <v>85809.083743767143</v>
      </c>
      <c r="E20" s="4">
        <v>2740.6294030899999</v>
      </c>
      <c r="F20" s="3">
        <v>3.444045779906578E-2</v>
      </c>
      <c r="G20" s="3">
        <v>2.7573625574766692E-4</v>
      </c>
    </row>
    <row r="22" spans="1:7" x14ac:dyDescent="0.25">
      <c r="B22" s="6" t="s">
        <v>12</v>
      </c>
      <c r="D22" s="4">
        <f>AVERAGE(D17:D18)</f>
        <v>124513.82563477574</v>
      </c>
      <c r="E22" s="4">
        <f t="shared" ref="E22:G22" si="2">AVERAGE(E17:E18)</f>
        <v>978.58526219499993</v>
      </c>
      <c r="F22" s="3">
        <f t="shared" si="2"/>
        <v>1.2843606962272204E-3</v>
      </c>
      <c r="G22" s="3">
        <f t="shared" si="2"/>
        <v>3.6880446332153031E-4</v>
      </c>
    </row>
    <row r="23" spans="1:7" x14ac:dyDescent="0.25">
      <c r="B23" s="6" t="s">
        <v>13</v>
      </c>
      <c r="D23" s="4">
        <f>AVERAGE(D19:D20)</f>
        <v>96077.921793745321</v>
      </c>
      <c r="E23" s="4">
        <f t="shared" ref="E23:G23" si="3">AVERAGE(E19:E20)</f>
        <v>2238.4960916599998</v>
      </c>
      <c r="F23" s="3">
        <f t="shared" si="3"/>
        <v>1.8596934825977223E-2</v>
      </c>
      <c r="G23" s="3">
        <f t="shared" si="3"/>
        <v>4.9007373359459738E-3</v>
      </c>
    </row>
    <row r="25" spans="1:7" x14ac:dyDescent="0.25">
      <c r="C25" s="6" t="s">
        <v>14</v>
      </c>
      <c r="D25" s="4">
        <f>D22/D23</f>
        <v>1.2959670995181913</v>
      </c>
      <c r="E25" s="4">
        <f t="shared" ref="E25:G25" si="4">E22/E23</f>
        <v>0.43716192574154161</v>
      </c>
      <c r="F25" s="4">
        <f t="shared" si="4"/>
        <v>6.9063031528892316E-2</v>
      </c>
      <c r="G25" s="4">
        <f t="shared" si="4"/>
        <v>7.525489289467116E-2</v>
      </c>
    </row>
  </sheetData>
  <sortState ref="A2:G8">
    <sortCondition descending="1" ref="D2:D8"/>
  </sortState>
  <conditionalFormatting sqref="D2:D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:D1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:E13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:F1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:G13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2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2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2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2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2026-05-14T07:00:03Z</dcterms:created>
  <dcterms:modified xsi:type="dcterms:W3CDTF">2026-05-22T09:31:03Z</dcterms:modified>
</cp:coreProperties>
</file>