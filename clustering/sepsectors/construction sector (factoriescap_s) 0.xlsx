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E15" i="1" l="1"/>
  <c r="F15" i="1"/>
  <c r="G15" i="1"/>
  <c r="D15" i="1"/>
  <c r="E14" i="1"/>
  <c r="F14" i="1"/>
  <c r="G14" i="1"/>
  <c r="D14" i="1"/>
  <c r="D12" i="1"/>
</calcChain>
</file>

<file path=xl/sharedStrings.xml><?xml version="1.0" encoding="utf-8"?>
<sst xmlns="http://schemas.openxmlformats.org/spreadsheetml/2006/main" count="28" uniqueCount="16">
  <si>
    <t>sector</t>
  </si>
  <si>
    <t>okved2</t>
  </si>
  <si>
    <t>year</t>
  </si>
  <si>
    <t>factoriescap_s</t>
  </si>
  <si>
    <t>ITcosts_s</t>
  </si>
  <si>
    <t>skvozcosts_s</t>
  </si>
  <si>
    <t>trainingcosts_s</t>
  </si>
  <si>
    <t>Строительство зданий</t>
  </si>
  <si>
    <t>41</t>
  </si>
  <si>
    <t>Строительство инженерных сооружений</t>
  </si>
  <si>
    <t>42</t>
  </si>
  <si>
    <t>Работы строительные специализированные</t>
  </si>
  <si>
    <t>43</t>
  </si>
  <si>
    <t>медиана ВДС:</t>
  </si>
  <si>
    <t>верхний кластер:</t>
  </si>
  <si>
    <t>нижний кластер: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</si>
</sst>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tabSelected="1" workbookViewId="0">
      <selection activeCell="C19" sqref="C19"/>
    </sheetView>
  </sheetViews>
  <sheetFormatPr defaultRowHeight="15" x14ac:dyDescent="0.25"/>
  <cols>
    <col min="1" max="1" width="51.85546875" customWidth="1"/>
    <col min="4" max="4" width="16.5703125" customWidth="1"/>
    <col min="5" max="5" width="12.7109375" customWidth="1"/>
    <col min="6" max="6" width="13.5703125" customWidth="1"/>
    <col min="7" max="7" width="14.71093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2021</v>
      </c>
      <c r="D2" s="4">
        <v>3162049.709016114</v>
      </c>
      <c r="E2" s="4">
        <v>28754.301122820001</v>
      </c>
      <c r="F2" s="3">
        <v>4.4816202664626553E-3</v>
      </c>
      <c r="G2" s="3">
        <v>8.4653638062801126E-4</v>
      </c>
    </row>
    <row r="3" spans="1:7" x14ac:dyDescent="0.25">
      <c r="A3" s="2" t="s">
        <v>7</v>
      </c>
      <c r="B3" s="2" t="s">
        <v>8</v>
      </c>
      <c r="C3" s="2">
        <v>2023</v>
      </c>
      <c r="D3" s="4">
        <v>3063178.2048380482</v>
      </c>
      <c r="E3" s="4">
        <v>4552.0415732800002</v>
      </c>
      <c r="F3" s="3">
        <v>5.8592278586730327E-3</v>
      </c>
      <c r="G3" s="3">
        <v>6.9752471915851143E-4</v>
      </c>
    </row>
    <row r="4" spans="1:7" x14ac:dyDescent="0.25">
      <c r="A4" s="2" t="s">
        <v>7</v>
      </c>
      <c r="B4" s="2" t="s">
        <v>8</v>
      </c>
      <c r="C4" s="2">
        <v>2022</v>
      </c>
      <c r="D4" s="4">
        <v>2844592.645754816</v>
      </c>
      <c r="E4" s="4">
        <v>13495.267380560001</v>
      </c>
      <c r="F4" s="3">
        <v>9.4137314672996359E-4</v>
      </c>
      <c r="G4" s="3">
        <v>4.9632040263599883E-4</v>
      </c>
    </row>
    <row r="5" spans="1:7" x14ac:dyDescent="0.25">
      <c r="A5" s="2" t="s">
        <v>9</v>
      </c>
      <c r="B5" s="2" t="s">
        <v>10</v>
      </c>
      <c r="C5" s="2">
        <v>2023</v>
      </c>
      <c r="D5" s="4">
        <v>1986156.080578048</v>
      </c>
      <c r="E5" s="4">
        <v>10023.30762064</v>
      </c>
      <c r="F5" s="3">
        <v>8.3094423869115915E-3</v>
      </c>
      <c r="G5" s="3">
        <v>2.6112463660302979E-4</v>
      </c>
    </row>
    <row r="6" spans="1:7" x14ac:dyDescent="0.25">
      <c r="A6" s="2" t="s">
        <v>9</v>
      </c>
      <c r="B6" s="2" t="s">
        <v>10</v>
      </c>
      <c r="C6" s="2">
        <v>2022</v>
      </c>
      <c r="D6" s="4">
        <v>1956784.5814760141</v>
      </c>
      <c r="E6" s="4">
        <v>13840.213139900001</v>
      </c>
      <c r="F6" s="3">
        <v>5.5526598631959554E-4</v>
      </c>
      <c r="G6" s="3">
        <v>1.7115461706084071E-4</v>
      </c>
    </row>
    <row r="7" spans="1:7" x14ac:dyDescent="0.25">
      <c r="A7" s="2" t="s">
        <v>11</v>
      </c>
      <c r="B7" s="2" t="s">
        <v>12</v>
      </c>
      <c r="C7" s="2">
        <v>2021</v>
      </c>
      <c r="D7" s="4">
        <v>1934582.820337062</v>
      </c>
      <c r="E7" s="4">
        <v>4804.5085313400004</v>
      </c>
      <c r="F7" s="3">
        <v>1.828511270756302E-3</v>
      </c>
      <c r="G7" s="3">
        <v>2.0188332181595189E-3</v>
      </c>
    </row>
    <row r="8" spans="1:7" x14ac:dyDescent="0.25">
      <c r="A8" s="2" t="s">
        <v>9</v>
      </c>
      <c r="B8" s="2" t="s">
        <v>10</v>
      </c>
      <c r="C8" s="2">
        <v>2021</v>
      </c>
      <c r="D8" s="4">
        <v>1929006.46472436</v>
      </c>
      <c r="E8" s="4">
        <v>30751.247821140001</v>
      </c>
      <c r="F8" s="3">
        <v>3.6624865779454649E-4</v>
      </c>
      <c r="G8" s="3">
        <v>3.3220418369420449E-4</v>
      </c>
    </row>
    <row r="9" spans="1:7" x14ac:dyDescent="0.25">
      <c r="A9" s="2" t="s">
        <v>11</v>
      </c>
      <c r="B9" s="2" t="s">
        <v>12</v>
      </c>
      <c r="C9" s="2">
        <v>2023</v>
      </c>
      <c r="D9" s="4">
        <v>1847753.5707314</v>
      </c>
      <c r="E9" s="4">
        <v>3004.4345673600001</v>
      </c>
      <c r="F9" s="3">
        <v>4.726564124336423E-3</v>
      </c>
      <c r="G9" s="3">
        <v>4.5218654277226359E-4</v>
      </c>
    </row>
    <row r="10" spans="1:7" x14ac:dyDescent="0.25">
      <c r="A10" s="2" t="s">
        <v>11</v>
      </c>
      <c r="B10" s="2" t="s">
        <v>12</v>
      </c>
      <c r="C10" s="2">
        <v>2022</v>
      </c>
      <c r="D10" s="4">
        <v>1771136.789893996</v>
      </c>
      <c r="E10" s="4">
        <v>2860.9363756799999</v>
      </c>
      <c r="F10" s="3">
        <v>2.9910971431393869E-3</v>
      </c>
      <c r="G10" s="3">
        <v>5.8399632169480961E-4</v>
      </c>
    </row>
    <row r="12" spans="1:7" x14ac:dyDescent="0.25">
      <c r="B12" s="6" t="s">
        <v>13</v>
      </c>
      <c r="D12" s="4">
        <f>MEDIAN(D2:D10)</f>
        <v>1956784.5814760141</v>
      </c>
    </row>
    <row r="14" spans="1:7" x14ac:dyDescent="0.25">
      <c r="B14" s="5" t="s">
        <v>14</v>
      </c>
      <c r="D14" s="4">
        <f>AVERAGE(D2:D5)</f>
        <v>2763994.1600467563</v>
      </c>
      <c r="E14" s="4">
        <f t="shared" ref="E14:G14" si="0">AVERAGE(E2:E5)</f>
        <v>14206.229424325</v>
      </c>
      <c r="F14" s="3">
        <f t="shared" si="0"/>
        <v>4.8979159146943108E-3</v>
      </c>
      <c r="G14" s="3">
        <f t="shared" si="0"/>
        <v>5.7537653475638788E-4</v>
      </c>
    </row>
    <row r="15" spans="1:7" x14ac:dyDescent="0.25">
      <c r="B15" s="5" t="s">
        <v>15</v>
      </c>
      <c r="D15" s="4">
        <f>AVERAGE(D7:D10)</f>
        <v>1870619.9114217046</v>
      </c>
      <c r="E15" s="4">
        <f t="shared" ref="E15:G15" si="1">AVERAGE(E7:E10)</f>
        <v>10355.281823879999</v>
      </c>
      <c r="F15" s="3">
        <f t="shared" si="1"/>
        <v>2.4781052990066645E-3</v>
      </c>
      <c r="G15" s="3">
        <f t="shared" si="1"/>
        <v>8.468050665801991E-4</v>
      </c>
    </row>
  </sheetData>
  <sortState ref="A2:G10">
    <sortCondition descending="1" ref="D2:D10"/>
  </sortState>
  <conditionalFormatting sqref="D2:D10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0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0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0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:D15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:E15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:F15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:G1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2026-05-21T10:58:21Z</dcterms:created>
  <dcterms:modified xsi:type="dcterms:W3CDTF">2026-05-21T11:03:17Z</dcterms:modified>
</cp:coreProperties>
</file>