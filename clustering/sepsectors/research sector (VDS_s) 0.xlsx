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Albert\.spyder-py3\ITMO-3\clustering\sepsectors\"/>
    </mc:Choice>
  </mc:AlternateContent>
  <bookViews>
    <workbookView xWindow="0" yWindow="0" windowWidth="28800" windowHeight="12885"/>
  </bookViews>
  <sheets>
    <sheet name="Sheet1" sheetId="1" r:id="rId1"/>
  </sheets>
  <externalReferences>
    <externalReference r:id="rId2"/>
  </externalReferences>
  <calcPr calcId="162913"/>
</workbook>
</file>

<file path=xl/calcChain.xml><?xml version="1.0" encoding="utf-8"?>
<calcChain xmlns="http://schemas.openxmlformats.org/spreadsheetml/2006/main">
  <c r="D88" i="1" l="1"/>
  <c r="E88" i="1"/>
  <c r="F88" i="1"/>
  <c r="G88" i="1"/>
  <c r="D89" i="1"/>
  <c r="E89" i="1"/>
  <c r="F89" i="1"/>
  <c r="G89" i="1"/>
  <c r="D90" i="1"/>
  <c r="E90" i="1"/>
  <c r="F90" i="1"/>
  <c r="G90" i="1"/>
  <c r="D91" i="1"/>
  <c r="E91" i="1"/>
  <c r="F91" i="1"/>
  <c r="G91" i="1"/>
  <c r="C89" i="1"/>
  <c r="C90" i="1"/>
  <c r="C91" i="1"/>
  <c r="C88" i="1"/>
  <c r="G86" i="1"/>
  <c r="F86" i="1"/>
  <c r="E86" i="1"/>
  <c r="D86" i="1"/>
  <c r="C86" i="1"/>
  <c r="D62" i="1" l="1"/>
  <c r="E62" i="1"/>
  <c r="F62" i="1"/>
  <c r="G62" i="1"/>
  <c r="D63" i="1"/>
  <c r="E63" i="1"/>
  <c r="F63" i="1"/>
  <c r="G63" i="1"/>
  <c r="D64" i="1"/>
  <c r="E64" i="1"/>
  <c r="F64" i="1"/>
  <c r="G64" i="1"/>
  <c r="D65" i="1"/>
  <c r="E65" i="1"/>
  <c r="F65" i="1"/>
  <c r="G65" i="1"/>
  <c r="C63" i="1"/>
  <c r="C64" i="1"/>
  <c r="C65" i="1"/>
  <c r="G60" i="1" l="1"/>
  <c r="F60" i="1"/>
  <c r="E60" i="1"/>
  <c r="D60" i="1"/>
  <c r="C60" i="1"/>
  <c r="C62" i="1" s="1"/>
  <c r="D37" i="1"/>
  <c r="E37" i="1"/>
  <c r="F37" i="1"/>
  <c r="G37" i="1"/>
  <c r="D38" i="1"/>
  <c r="E38" i="1"/>
  <c r="F38" i="1"/>
  <c r="G38" i="1"/>
  <c r="D39" i="1"/>
  <c r="E39" i="1"/>
  <c r="F39" i="1"/>
  <c r="G39" i="1"/>
  <c r="D40" i="1"/>
  <c r="E40" i="1"/>
  <c r="F40" i="1"/>
  <c r="G40" i="1"/>
  <c r="C38" i="1"/>
  <c r="C39" i="1"/>
  <c r="C40" i="1"/>
  <c r="C37" i="1"/>
  <c r="G35" i="1"/>
  <c r="F35" i="1"/>
  <c r="E35" i="1"/>
  <c r="D35" i="1"/>
  <c r="C35" i="1"/>
  <c r="G82" i="1" l="1"/>
  <c r="F82" i="1"/>
  <c r="E82" i="1"/>
  <c r="D82" i="1"/>
  <c r="G81" i="1"/>
  <c r="F81" i="1"/>
  <c r="E81" i="1"/>
  <c r="E84" i="1" s="1"/>
  <c r="D81" i="1"/>
  <c r="G56" i="1"/>
  <c r="F56" i="1"/>
  <c r="E56" i="1"/>
  <c r="D56" i="1"/>
  <c r="G55" i="1"/>
  <c r="F55" i="1"/>
  <c r="E55" i="1"/>
  <c r="D55" i="1"/>
  <c r="G31" i="1"/>
  <c r="F31" i="1"/>
  <c r="E31" i="1"/>
  <c r="D31" i="1"/>
  <c r="G30" i="1"/>
  <c r="F30" i="1"/>
  <c r="E30" i="1"/>
  <c r="D30" i="1"/>
  <c r="F33" i="1" l="1"/>
  <c r="F58" i="1"/>
  <c r="F84" i="1"/>
  <c r="G33" i="1"/>
  <c r="G58" i="1"/>
  <c r="G84" i="1"/>
  <c r="D33" i="1"/>
  <c r="D58" i="1"/>
  <c r="E33" i="1"/>
  <c r="E58" i="1"/>
  <c r="D84" i="1"/>
  <c r="G18" i="1" l="1"/>
  <c r="F18" i="1"/>
  <c r="E18" i="1"/>
  <c r="D18" i="1"/>
  <c r="G17" i="1"/>
  <c r="F17" i="1"/>
  <c r="E17" i="1"/>
  <c r="E20" i="1" s="1"/>
  <c r="D17" i="1"/>
  <c r="D20" i="1" s="1"/>
  <c r="D15" i="1"/>
  <c r="F20" i="1" l="1"/>
  <c r="G20" i="1"/>
</calcChain>
</file>

<file path=xl/sharedStrings.xml><?xml version="1.0" encoding="utf-8"?>
<sst xmlns="http://schemas.openxmlformats.org/spreadsheetml/2006/main" count="119" uniqueCount="18">
  <si>
    <t>sector</t>
  </si>
  <si>
    <t>okved2</t>
  </si>
  <si>
    <t>year</t>
  </si>
  <si>
    <t>VDS_s</t>
  </si>
  <si>
    <t>ITcosts_s</t>
  </si>
  <si>
    <t>skvozcosts_s</t>
  </si>
  <si>
    <t>trainingcosts_s</t>
  </si>
  <si>
    <t>Деятельность в области архитектуры и инженерно-технического проектирования; технических испытаний, исследований и анализа</t>
  </si>
  <si>
    <t>71</t>
  </si>
  <si>
    <t>Научные исследования и разработки</t>
  </si>
  <si>
    <t>72</t>
  </si>
  <si>
    <t>Деятельность рекламная и исследование конъюнктуры рынка</t>
  </si>
  <si>
    <t>73</t>
  </si>
  <si>
    <t>медиана ВДС:</t>
  </si>
  <si>
    <t>верхний кластер:</t>
  </si>
  <si>
    <t>нижний кластер:</t>
  </si>
  <si>
    <t>разница</t>
  </si>
  <si>
    <t>Year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</si>
</sst>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00%"/>
  </numFmts>
  <fonts count="4" x14ac:knownFonts="1">
    <font>
      <sz val="11"/>
      <color theme="1"/>
      <name val="Calibri"/>
      <family val="2"/>
      <scheme val="minor"/>
    </font>
    <font>
      <b/>
      <sz val="11"/>
      <name val="Calibri"/>
      <family val="2"/>
      <charset val="204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9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0" xfId="1" applyNumberFormat="1" applyFont="1" applyAlignment="1">
      <alignment horizontal="center"/>
    </xf>
    <xf numFmtId="0" fontId="3" fillId="0" borderId="0" xfId="0" applyFont="1"/>
    <xf numFmtId="0" fontId="3" fillId="0" borderId="0" xfId="0" applyFont="1" applyAlignment="1">
      <alignment horizontal="left"/>
    </xf>
    <xf numFmtId="0" fontId="3" fillId="0" borderId="0" xfId="0" applyFont="1" applyAlignment="1">
      <alignment horizontal="center"/>
    </xf>
  </cellXfs>
  <cellStyles count="2">
    <cellStyle name="Обычный" xfId="0" builtinId="0"/>
    <cellStyle name="Процентный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71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Sheet1!$C$43</c:f>
              <c:strCache>
                <c:ptCount val="1"/>
                <c:pt idx="0">
                  <c:v>0,53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Sheet1!$D$42:$G$42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Sheet1!$D$43:$G$43</c:f>
              <c:numCache>
                <c:formatCode>General</c:formatCode>
                <c:ptCount val="4"/>
                <c:pt idx="0">
                  <c:v>0.25</c:v>
                </c:pt>
                <c:pt idx="1">
                  <c:v>1</c:v>
                </c:pt>
                <c:pt idx="2">
                  <c:v>0.4341128768543896</c:v>
                </c:pt>
                <c:pt idx="3">
                  <c:v>0.96268324181002174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FB-4CE9-9083-54649E465574}"/>
            </c:ext>
          </c:extLst>
        </c:ser>
        <c:ser>
          <c:idx val="3"/>
          <c:order val="1"/>
          <c:tx>
            <c:strRef>
              <c:f>Sheet1!$C$46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Sheet1!$D$42:$G$42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Sheet1!$D$46:$G$46</c:f>
              <c:numCache>
                <c:formatCode>General</c:formatCode>
                <c:ptCount val="4"/>
                <c:pt idx="0">
                  <c:v>1</c:v>
                </c:pt>
                <c:pt idx="1">
                  <c:v>0.37449706271284755</c:v>
                </c:pt>
                <c:pt idx="2">
                  <c:v>0.59247665944601891</c:v>
                </c:pt>
                <c:pt idx="3">
                  <c:v>0.61705446414673482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DFB-4CE9-9083-54649E4655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72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Sheet1!$C$68</c:f>
              <c:strCache>
                <c:ptCount val="1"/>
                <c:pt idx="0">
                  <c:v>0,92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Sheet1!$D$67:$G$67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Sheet1!$D$68:$G$68</c:f>
              <c:numCache>
                <c:formatCode>General</c:formatCode>
                <c:ptCount val="4"/>
                <c:pt idx="0">
                  <c:v>0.5</c:v>
                </c:pt>
                <c:pt idx="1">
                  <c:v>0.66881387273907633</c:v>
                </c:pt>
                <c:pt idx="2">
                  <c:v>0.31288591814299799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39E-4DBE-A1DE-B0BB06A7FA1E}"/>
            </c:ext>
          </c:extLst>
        </c:ser>
        <c:ser>
          <c:idx val="3"/>
          <c:order val="1"/>
          <c:tx>
            <c:strRef>
              <c:f>Sheet1!$C$71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Sheet1!$D$67:$G$67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Sheet1!$D$71:$G$71</c:f>
              <c:numCache>
                <c:formatCode>General</c:formatCode>
                <c:ptCount val="4"/>
                <c:pt idx="0">
                  <c:v>0.75</c:v>
                </c:pt>
                <c:pt idx="1">
                  <c:v>0.490395599670991</c:v>
                </c:pt>
                <c:pt idx="2">
                  <c:v>1</c:v>
                </c:pt>
                <c:pt idx="3">
                  <c:v>0.46102940795964764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39E-4DBE-A1DE-B0BB06A7FA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73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Sheet1!$C$94</c:f>
              <c:strCache>
                <c:ptCount val="1"/>
                <c:pt idx="0">
                  <c:v>0,80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Sheet1!$D$67:$G$67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Sheet1!$D$94:$G$94</c:f>
              <c:numCache>
                <c:formatCode>General</c:formatCode>
                <c:ptCount val="4"/>
                <c:pt idx="0">
                  <c:v>0.5</c:v>
                </c:pt>
                <c:pt idx="1">
                  <c:v>1</c:v>
                </c:pt>
                <c:pt idx="2">
                  <c:v>2.8578905609577977E-2</c:v>
                </c:pt>
                <c:pt idx="3">
                  <c:v>0.10644850180398349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4A3-43D7-9754-076BD54858B4}"/>
            </c:ext>
          </c:extLst>
        </c:ser>
        <c:ser>
          <c:idx val="3"/>
          <c:order val="1"/>
          <c:tx>
            <c:strRef>
              <c:f>Sheet1!$C$97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Sheet1!$D$67:$G$67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Sheet1!$D$97:$G$97</c:f>
              <c:numCache>
                <c:formatCode>General</c:formatCode>
                <c:ptCount val="4"/>
                <c:pt idx="0">
                  <c:v>1</c:v>
                </c:pt>
                <c:pt idx="1">
                  <c:v>0.75202719892054226</c:v>
                </c:pt>
                <c:pt idx="2">
                  <c:v>3.5266868505225042E-2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4A3-43D7-9754-076BD54858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503465</xdr:colOff>
      <xdr:row>11</xdr:row>
      <xdr:rowOff>0</xdr:rowOff>
    </xdr:from>
    <xdr:to>
      <xdr:col>17</xdr:col>
      <xdr:colOff>470531</xdr:colOff>
      <xdr:row>33</xdr:row>
      <xdr:rowOff>135779</xdr:rowOff>
    </xdr:to>
    <xdr:graphicFrame macro="">
      <xdr:nvGraphicFramePr>
        <xdr:cNvPr id="2" name="Диаграмма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18</xdr:col>
      <xdr:colOff>17319</xdr:colOff>
      <xdr:row>11</xdr:row>
      <xdr:rowOff>17318</xdr:rowOff>
    </xdr:from>
    <xdr:to>
      <xdr:col>27</xdr:col>
      <xdr:colOff>40050</xdr:colOff>
      <xdr:row>33</xdr:row>
      <xdr:rowOff>153097</xdr:rowOff>
    </xdr:to>
    <xdr:graphicFrame macro="">
      <xdr:nvGraphicFramePr>
        <xdr:cNvPr id="4" name="Диаграмма 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517071</xdr:colOff>
      <xdr:row>34</xdr:row>
      <xdr:rowOff>95250</xdr:rowOff>
    </xdr:from>
    <xdr:to>
      <xdr:col>17</xdr:col>
      <xdr:colOff>539802</xdr:colOff>
      <xdr:row>57</xdr:row>
      <xdr:rowOff>40529</xdr:rowOff>
    </xdr:to>
    <xdr:graphicFrame macro="">
      <xdr:nvGraphicFramePr>
        <xdr:cNvPr id="5" name="Диаграмма 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industrial%20sector%20(VDS_s)%200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Original"/>
      <sheetName val="Only best"/>
      <sheetName val="Best|Worst"/>
    </sheetNames>
    <sheetDataSet>
      <sheetData sheetId="0">
        <row r="89">
          <cell r="D89" t="str">
            <v>Year</v>
          </cell>
          <cell r="E89" t="str">
            <v>ITcosts_s</v>
          </cell>
          <cell r="F89" t="str">
            <v>skvozcosts_s</v>
          </cell>
          <cell r="G89" t="str">
            <v>trainingcosts_s</v>
          </cell>
        </row>
        <row r="90">
          <cell r="C90">
            <v>0.60541707637600206</v>
          </cell>
          <cell r="D90">
            <v>0.75</v>
          </cell>
          <cell r="E90">
            <v>1</v>
          </cell>
          <cell r="F90">
            <v>0.80661939562538798</v>
          </cell>
          <cell r="G90">
            <v>0.45477225885659545</v>
          </cell>
        </row>
        <row r="91">
          <cell r="C91">
            <v>0.62826451624711255</v>
          </cell>
          <cell r="D91">
            <v>1</v>
          </cell>
          <cell r="E91">
            <v>0.7323973572762863</v>
          </cell>
          <cell r="F91">
            <v>0.9611546957323327</v>
          </cell>
          <cell r="G91">
            <v>0.83771179639168136</v>
          </cell>
        </row>
        <row r="92">
          <cell r="C92">
            <v>0.78924387345553881</v>
          </cell>
          <cell r="D92">
            <v>0.5</v>
          </cell>
          <cell r="E92">
            <v>0.90624842311195075</v>
          </cell>
          <cell r="F92">
            <v>1</v>
          </cell>
          <cell r="G92">
            <v>0.67809276193519175</v>
          </cell>
        </row>
        <row r="93">
          <cell r="C93">
            <v>1</v>
          </cell>
          <cell r="D93">
            <v>0.25</v>
          </cell>
          <cell r="E93">
            <v>0.89882061387652312</v>
          </cell>
          <cell r="F93">
            <v>0.17795127025264079</v>
          </cell>
          <cell r="G93">
            <v>1</v>
          </cell>
        </row>
      </sheetData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97"/>
  <sheetViews>
    <sheetView tabSelected="1" topLeftCell="A7" zoomScale="70" zoomScaleNormal="70" workbookViewId="0">
      <selection activeCell="U43" sqref="U43"/>
    </sheetView>
  </sheetViews>
  <sheetFormatPr defaultRowHeight="15" x14ac:dyDescent="0.25"/>
  <cols>
    <col min="1" max="1" width="120.28515625" customWidth="1"/>
    <col min="4" max="4" width="12" customWidth="1"/>
    <col min="5" max="5" width="12.140625" customWidth="1"/>
    <col min="6" max="6" width="15.85546875" customWidth="1"/>
    <col min="7" max="7" width="15" customWidth="1"/>
  </cols>
  <sheetData>
    <row r="1" spans="1: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25">
      <c r="A2" s="2" t="s">
        <v>7</v>
      </c>
      <c r="B2" s="2" t="s">
        <v>8</v>
      </c>
      <c r="C2" s="2">
        <v>2024</v>
      </c>
      <c r="D2" s="3">
        <v>2312764.5271400302</v>
      </c>
      <c r="E2" s="3">
        <v>35420.059524999997</v>
      </c>
      <c r="F2" s="4">
        <v>5.6205038026400662E-3</v>
      </c>
      <c r="G2" s="4">
        <v>1.8864917830766969E-3</v>
      </c>
    </row>
    <row r="3" spans="1:7" x14ac:dyDescent="0.25">
      <c r="A3" s="2" t="s">
        <v>7</v>
      </c>
      <c r="B3" s="2" t="s">
        <v>8</v>
      </c>
      <c r="C3" s="2">
        <v>2023</v>
      </c>
      <c r="D3" s="3">
        <v>2056038.0691327541</v>
      </c>
      <c r="E3" s="3">
        <v>35306.169047820003</v>
      </c>
      <c r="F3" s="4">
        <v>7.4585983781851224E-3</v>
      </c>
      <c r="G3" s="4">
        <v>1.5495337612500891E-3</v>
      </c>
    </row>
    <row r="4" spans="1:7" x14ac:dyDescent="0.25">
      <c r="A4" s="2" t="s">
        <v>7</v>
      </c>
      <c r="B4" s="2" t="s">
        <v>8</v>
      </c>
      <c r="C4" s="2">
        <v>2022</v>
      </c>
      <c r="D4" s="3">
        <v>1713109.9518803279</v>
      </c>
      <c r="E4" s="3">
        <v>77023.192478700003</v>
      </c>
      <c r="F4" s="4">
        <v>9.4864560705148846E-3</v>
      </c>
      <c r="G4" s="4">
        <v>3.0572532777723999E-3</v>
      </c>
    </row>
    <row r="5" spans="1:7" x14ac:dyDescent="0.25">
      <c r="A5" s="2" t="s">
        <v>7</v>
      </c>
      <c r="B5" s="2" t="s">
        <v>8</v>
      </c>
      <c r="C5" s="2">
        <v>2021</v>
      </c>
      <c r="D5" s="3">
        <v>1230284.2821290109</v>
      </c>
      <c r="E5" s="3">
        <v>94580.340012330009</v>
      </c>
      <c r="F5" s="4">
        <v>4.1181927359240046E-3</v>
      </c>
      <c r="G5" s="4">
        <v>2.9431664964802489E-3</v>
      </c>
    </row>
    <row r="6" spans="1:7" x14ac:dyDescent="0.25">
      <c r="A6" s="2" t="s">
        <v>9</v>
      </c>
      <c r="B6" s="2" t="s">
        <v>10</v>
      </c>
      <c r="C6" s="2">
        <v>2023</v>
      </c>
      <c r="D6" s="3">
        <v>1177149.00870383</v>
      </c>
      <c r="E6" s="3">
        <v>54257.120220599987</v>
      </c>
      <c r="F6" s="4">
        <v>3.1222927114860181E-2</v>
      </c>
      <c r="G6" s="4">
        <v>4.4066793598312361E-3</v>
      </c>
    </row>
    <row r="7" spans="1:7" x14ac:dyDescent="0.25">
      <c r="A7" s="2" t="s">
        <v>9</v>
      </c>
      <c r="B7" s="2" t="s">
        <v>10</v>
      </c>
      <c r="C7" s="2">
        <v>2024</v>
      </c>
      <c r="D7" s="3">
        <v>1104497.8864203531</v>
      </c>
      <c r="E7" s="3">
        <v>55926.329561999992</v>
      </c>
      <c r="F7" s="4">
        <v>1.456969533637424E-2</v>
      </c>
      <c r="G7" s="4">
        <v>1.725521704280945E-3</v>
      </c>
    </row>
    <row r="8" spans="1:7" x14ac:dyDescent="0.25">
      <c r="A8" s="2" t="s">
        <v>9</v>
      </c>
      <c r="B8" s="2" t="s">
        <v>10</v>
      </c>
      <c r="C8" s="2">
        <v>2021</v>
      </c>
      <c r="D8" s="3">
        <v>1083208.9167629869</v>
      </c>
      <c r="E8" s="3">
        <v>110639.49239553</v>
      </c>
      <c r="F8" s="4">
        <v>6.9333248439685724E-3</v>
      </c>
      <c r="G8" s="4">
        <v>1.1143475296256969E-3</v>
      </c>
    </row>
    <row r="9" spans="1:7" x14ac:dyDescent="0.25">
      <c r="A9" s="2" t="s">
        <v>9</v>
      </c>
      <c r="B9" s="2" t="s">
        <v>10</v>
      </c>
      <c r="C9" s="2">
        <v>2022</v>
      </c>
      <c r="D9" s="3">
        <v>1077864.821598877</v>
      </c>
      <c r="E9" s="3">
        <v>73997.227386940009</v>
      </c>
      <c r="F9" s="4">
        <v>9.7692142174449353E-3</v>
      </c>
      <c r="G9" s="4">
        <v>9.558347653642385E-3</v>
      </c>
    </row>
    <row r="10" spans="1:7" x14ac:dyDescent="0.25">
      <c r="A10" s="2" t="s">
        <v>11</v>
      </c>
      <c r="B10" s="2" t="s">
        <v>12</v>
      </c>
      <c r="C10" s="2">
        <v>2024</v>
      </c>
      <c r="D10" s="3">
        <v>729412.67096789309</v>
      </c>
      <c r="E10" s="3">
        <v>60313.34351775</v>
      </c>
      <c r="F10" s="4">
        <v>3.7694938920620688E-4</v>
      </c>
      <c r="G10" s="4">
        <v>1.654533485954597E-3</v>
      </c>
    </row>
    <row r="11" spans="1:7" x14ac:dyDescent="0.25">
      <c r="A11" s="2" t="s">
        <v>11</v>
      </c>
      <c r="B11" s="2" t="s">
        <v>12</v>
      </c>
      <c r="C11" s="2">
        <v>2021</v>
      </c>
      <c r="D11" s="3">
        <v>648447.24948227091</v>
      </c>
      <c r="E11" s="3">
        <v>22130.276711350001</v>
      </c>
      <c r="F11" s="4">
        <v>1.068848483528837E-2</v>
      </c>
      <c r="G11" s="4">
        <v>8.5913209572516789E-4</v>
      </c>
    </row>
    <row r="12" spans="1:7" x14ac:dyDescent="0.25">
      <c r="A12" s="2" t="s">
        <v>11</v>
      </c>
      <c r="B12" s="2" t="s">
        <v>12</v>
      </c>
      <c r="C12" s="2">
        <v>2023</v>
      </c>
      <c r="D12" s="3">
        <v>647963.01508706179</v>
      </c>
      <c r="E12" s="3">
        <v>30679.58334573</v>
      </c>
      <c r="F12" s="4">
        <v>6.9744795028248326E-4</v>
      </c>
      <c r="G12" s="4">
        <v>1.104087647419581E-4</v>
      </c>
    </row>
    <row r="13" spans="1:7" x14ac:dyDescent="0.25">
      <c r="A13" s="2" t="s">
        <v>11</v>
      </c>
      <c r="B13" s="2" t="s">
        <v>12</v>
      </c>
      <c r="C13" s="2">
        <v>2022</v>
      </c>
      <c r="D13" s="3">
        <v>585416.38894337451</v>
      </c>
      <c r="E13" s="3">
        <v>80201.013479729998</v>
      </c>
      <c r="F13" s="4">
        <v>3.0546519921711193E-4</v>
      </c>
      <c r="G13" s="4">
        <v>1.7612261076438901E-4</v>
      </c>
    </row>
    <row r="15" spans="1:7" x14ac:dyDescent="0.25">
      <c r="B15" s="7" t="s">
        <v>13</v>
      </c>
      <c r="D15" s="3">
        <f>MEDIAN(D2:D13)</f>
        <v>1093853.40159167</v>
      </c>
    </row>
    <row r="17" spans="1:7" x14ac:dyDescent="0.25">
      <c r="B17" s="6" t="s">
        <v>14</v>
      </c>
      <c r="D17" s="3">
        <f>AVERAGE(D2:D7)</f>
        <v>1598973.9542343842</v>
      </c>
      <c r="E17" s="3">
        <f t="shared" ref="E17:G17" si="0">AVERAGE(E2:E7)</f>
        <v>58752.201807741658</v>
      </c>
      <c r="F17" s="5">
        <f t="shared" si="0"/>
        <v>1.2079395573083082E-2</v>
      </c>
      <c r="G17" s="5">
        <f t="shared" si="0"/>
        <v>2.5947743971152693E-3</v>
      </c>
    </row>
    <row r="18" spans="1:7" x14ac:dyDescent="0.25">
      <c r="B18" s="6" t="s">
        <v>15</v>
      </c>
      <c r="D18" s="3">
        <f>AVERAGE(D8:D13)</f>
        <v>795385.51047374401</v>
      </c>
      <c r="E18" s="3">
        <f t="shared" ref="E18:G18" si="1">AVERAGE(E8:E13)</f>
        <v>62993.48947283833</v>
      </c>
      <c r="F18" s="5">
        <f t="shared" si="1"/>
        <v>4.7951477392346132E-3</v>
      </c>
      <c r="G18" s="5">
        <f t="shared" si="1"/>
        <v>2.2454820234090326E-3</v>
      </c>
    </row>
    <row r="20" spans="1:7" x14ac:dyDescent="0.25">
      <c r="B20" s="6" t="s">
        <v>16</v>
      </c>
      <c r="D20" s="3">
        <f>D17/D18</f>
        <v>2.0103131540352179</v>
      </c>
      <c r="E20" s="3">
        <f t="shared" ref="E20:G20" si="2">E17/E18</f>
        <v>0.93267101567812905</v>
      </c>
      <c r="F20" s="3">
        <f t="shared" si="2"/>
        <v>2.5190872586151345</v>
      </c>
      <c r="G20" s="3">
        <f t="shared" si="2"/>
        <v>1.1555534045986038</v>
      </c>
    </row>
    <row r="24" spans="1:7" x14ac:dyDescent="0.25">
      <c r="A24" s="1" t="s">
        <v>0</v>
      </c>
      <c r="B24" s="1" t="s">
        <v>1</v>
      </c>
      <c r="C24" s="1" t="s">
        <v>2</v>
      </c>
      <c r="D24" s="1" t="s">
        <v>3</v>
      </c>
      <c r="E24" s="1" t="s">
        <v>4</v>
      </c>
      <c r="F24" s="1" t="s">
        <v>5</v>
      </c>
      <c r="G24" s="1" t="s">
        <v>6</v>
      </c>
    </row>
    <row r="25" spans="1:7" x14ac:dyDescent="0.25">
      <c r="A25" s="2" t="s">
        <v>7</v>
      </c>
      <c r="B25" s="2" t="s">
        <v>8</v>
      </c>
      <c r="C25" s="2">
        <v>4</v>
      </c>
      <c r="D25" s="3">
        <v>2312764.5271400302</v>
      </c>
      <c r="E25" s="3">
        <v>35420.059524999997</v>
      </c>
      <c r="F25" s="4">
        <v>5.6205038026400662E-3</v>
      </c>
      <c r="G25" s="4">
        <v>1.8864917830766969E-3</v>
      </c>
    </row>
    <row r="26" spans="1:7" x14ac:dyDescent="0.25">
      <c r="A26" s="2" t="s">
        <v>7</v>
      </c>
      <c r="B26" s="2" t="s">
        <v>8</v>
      </c>
      <c r="C26" s="2">
        <v>3</v>
      </c>
      <c r="D26" s="3">
        <v>2056038.0691327541</v>
      </c>
      <c r="E26" s="3">
        <v>35306.169047820003</v>
      </c>
      <c r="F26" s="4">
        <v>7.4585983781851224E-3</v>
      </c>
      <c r="G26" s="4">
        <v>1.5495337612500891E-3</v>
      </c>
    </row>
    <row r="27" spans="1:7" x14ac:dyDescent="0.25">
      <c r="A27" s="2" t="s">
        <v>7</v>
      </c>
      <c r="B27" s="2" t="s">
        <v>8</v>
      </c>
      <c r="C27" s="2">
        <v>2</v>
      </c>
      <c r="D27" s="3">
        <v>1713109.9518803279</v>
      </c>
      <c r="E27" s="3">
        <v>77023.192478700003</v>
      </c>
      <c r="F27" s="4">
        <v>9.4864560705148846E-3</v>
      </c>
      <c r="G27" s="4">
        <v>3.0572532777723999E-3</v>
      </c>
    </row>
    <row r="28" spans="1:7" x14ac:dyDescent="0.25">
      <c r="A28" s="2" t="s">
        <v>7</v>
      </c>
      <c r="B28" s="2" t="s">
        <v>8</v>
      </c>
      <c r="C28" s="2">
        <v>1</v>
      </c>
      <c r="D28" s="3">
        <v>1230284.2821290109</v>
      </c>
      <c r="E28" s="3">
        <v>94580.340012330009</v>
      </c>
      <c r="F28" s="4">
        <v>4.1181927359240046E-3</v>
      </c>
      <c r="G28" s="4">
        <v>2.9431664964802489E-3</v>
      </c>
    </row>
    <row r="30" spans="1:7" x14ac:dyDescent="0.25">
      <c r="B30" s="6" t="s">
        <v>14</v>
      </c>
      <c r="D30" s="3">
        <f>AVERAGE(D25:D26)</f>
        <v>2184401.2981363921</v>
      </c>
      <c r="E30" s="3">
        <f t="shared" ref="E30:G30" si="3">AVERAGE(E25:E26)</f>
        <v>35363.114286409997</v>
      </c>
      <c r="F30" s="5">
        <f t="shared" si="3"/>
        <v>6.5395510904125943E-3</v>
      </c>
      <c r="G30" s="5">
        <f t="shared" si="3"/>
        <v>1.718012772163393E-3</v>
      </c>
    </row>
    <row r="31" spans="1:7" x14ac:dyDescent="0.25">
      <c r="B31" s="6" t="s">
        <v>15</v>
      </c>
      <c r="D31" s="3">
        <f>AVERAGE(D27:D28)</f>
        <v>1471697.1170046693</v>
      </c>
      <c r="E31" s="3">
        <f t="shared" ref="E31:G31" si="4">AVERAGE(E27:E28)</f>
        <v>85801.766245514998</v>
      </c>
      <c r="F31" s="5">
        <f t="shared" si="4"/>
        <v>6.8023244032194442E-3</v>
      </c>
      <c r="G31" s="5">
        <f t="shared" si="4"/>
        <v>3.0002098871263244E-3</v>
      </c>
    </row>
    <row r="33" spans="3:7" x14ac:dyDescent="0.25">
      <c r="C33" s="6" t="s">
        <v>16</v>
      </c>
      <c r="D33" s="3">
        <f>D30/D31</f>
        <v>1.4842736816541999</v>
      </c>
      <c r="E33" s="3">
        <f t="shared" ref="E33:G33" si="5">E30/E31</f>
        <v>0.4121490248256805</v>
      </c>
      <c r="F33" s="3">
        <f t="shared" si="5"/>
        <v>0.96137007040086431</v>
      </c>
      <c r="G33" s="3">
        <f t="shared" si="5"/>
        <v>0.57263086143914699</v>
      </c>
    </row>
    <row r="35" spans="3:7" x14ac:dyDescent="0.25">
      <c r="C35" s="2">
        <f>MAX(C25:C28)</f>
        <v>4</v>
      </c>
      <c r="D35" s="2">
        <f t="shared" ref="D35:G35" si="6">MAX(D25:D28)</f>
        <v>2312764.5271400302</v>
      </c>
      <c r="E35" s="2">
        <f t="shared" si="6"/>
        <v>94580.340012330009</v>
      </c>
      <c r="F35" s="2">
        <f t="shared" si="6"/>
        <v>9.4864560705148846E-3</v>
      </c>
      <c r="G35" s="2">
        <f t="shared" si="6"/>
        <v>3.0572532777723999E-3</v>
      </c>
    </row>
    <row r="36" spans="3:7" x14ac:dyDescent="0.25">
      <c r="C36" s="8" t="s">
        <v>17</v>
      </c>
      <c r="D36" s="8" t="s">
        <v>3</v>
      </c>
      <c r="E36" s="1" t="s">
        <v>4</v>
      </c>
      <c r="F36" s="1" t="s">
        <v>5</v>
      </c>
      <c r="G36" s="1" t="s">
        <v>6</v>
      </c>
    </row>
    <row r="37" spans="3:7" x14ac:dyDescent="0.25">
      <c r="C37" s="2">
        <f>C25/C$35</f>
        <v>1</v>
      </c>
      <c r="D37" s="2">
        <f t="shared" ref="D37:G37" si="7">D25/D$35</f>
        <v>1</v>
      </c>
      <c r="E37" s="2">
        <f t="shared" si="7"/>
        <v>0.37449706271284755</v>
      </c>
      <c r="F37" s="2">
        <f t="shared" si="7"/>
        <v>0.59247665944601891</v>
      </c>
      <c r="G37" s="2">
        <f t="shared" si="7"/>
        <v>0.61705446414673482</v>
      </c>
    </row>
    <row r="38" spans="3:7" x14ac:dyDescent="0.25">
      <c r="C38" s="2">
        <f t="shared" ref="C38:G40" si="8">C26/C$35</f>
        <v>0.75</v>
      </c>
      <c r="D38" s="2">
        <f t="shared" si="8"/>
        <v>0.88899585107146872</v>
      </c>
      <c r="E38" s="2">
        <f t="shared" si="8"/>
        <v>0.3732928962109599</v>
      </c>
      <c r="F38" s="2">
        <f t="shared" si="8"/>
        <v>0.78623653793827153</v>
      </c>
      <c r="G38" s="2">
        <f t="shared" si="8"/>
        <v>0.50683853134311552</v>
      </c>
    </row>
    <row r="39" spans="3:7" x14ac:dyDescent="0.25">
      <c r="C39" s="2">
        <f t="shared" si="8"/>
        <v>0.5</v>
      </c>
      <c r="D39" s="2">
        <f t="shared" si="8"/>
        <v>0.74071957251902487</v>
      </c>
      <c r="E39" s="2">
        <f t="shared" si="8"/>
        <v>0.81436789578742097</v>
      </c>
      <c r="F39" s="2">
        <f t="shared" si="8"/>
        <v>1</v>
      </c>
      <c r="G39" s="2">
        <f t="shared" si="8"/>
        <v>1</v>
      </c>
    </row>
    <row r="40" spans="3:7" x14ac:dyDescent="0.25">
      <c r="C40" s="2">
        <f t="shared" si="8"/>
        <v>0.25</v>
      </c>
      <c r="D40" s="2">
        <f t="shared" si="8"/>
        <v>0.53195397442833625</v>
      </c>
      <c r="E40" s="2">
        <f t="shared" si="8"/>
        <v>1</v>
      </c>
      <c r="F40" s="2">
        <f t="shared" si="8"/>
        <v>0.4341128768543896</v>
      </c>
      <c r="G40" s="2">
        <f t="shared" si="8"/>
        <v>0.96268324181002174</v>
      </c>
    </row>
    <row r="42" spans="3:7" x14ac:dyDescent="0.25">
      <c r="C42" s="8" t="s">
        <v>3</v>
      </c>
      <c r="D42" s="8" t="s">
        <v>17</v>
      </c>
      <c r="E42" s="8" t="s">
        <v>4</v>
      </c>
      <c r="F42" s="8" t="s">
        <v>5</v>
      </c>
      <c r="G42" s="8" t="s">
        <v>6</v>
      </c>
    </row>
    <row r="43" spans="3:7" x14ac:dyDescent="0.25">
      <c r="C43" s="3">
        <v>0.53195397442833625</v>
      </c>
      <c r="D43" s="2">
        <v>0.25</v>
      </c>
      <c r="E43" s="2">
        <v>1</v>
      </c>
      <c r="F43" s="2">
        <v>0.4341128768543896</v>
      </c>
      <c r="G43" s="2">
        <v>0.96268324181002174</v>
      </c>
    </row>
    <row r="44" spans="3:7" x14ac:dyDescent="0.25">
      <c r="C44" s="3">
        <v>0.74071957251902487</v>
      </c>
      <c r="D44" s="2">
        <v>0.5</v>
      </c>
      <c r="E44" s="2">
        <v>0.81436789578742097</v>
      </c>
      <c r="F44" s="2">
        <v>1</v>
      </c>
      <c r="G44" s="2">
        <v>1</v>
      </c>
    </row>
    <row r="45" spans="3:7" x14ac:dyDescent="0.25">
      <c r="C45" s="3">
        <v>0.88899585107146872</v>
      </c>
      <c r="D45" s="2">
        <v>0.75</v>
      </c>
      <c r="E45" s="2">
        <v>0.3732928962109599</v>
      </c>
      <c r="F45" s="2">
        <v>0.78623653793827153</v>
      </c>
      <c r="G45" s="2">
        <v>0.50683853134311552</v>
      </c>
    </row>
    <row r="46" spans="3:7" x14ac:dyDescent="0.25">
      <c r="C46" s="3">
        <v>1</v>
      </c>
      <c r="D46" s="2">
        <v>1</v>
      </c>
      <c r="E46" s="2">
        <v>0.37449706271284755</v>
      </c>
      <c r="F46" s="2">
        <v>0.59247665944601891</v>
      </c>
      <c r="G46" s="2">
        <v>0.61705446414673482</v>
      </c>
    </row>
    <row r="49" spans="1:7" x14ac:dyDescent="0.25">
      <c r="A49" s="1" t="s">
        <v>0</v>
      </c>
      <c r="B49" s="1" t="s">
        <v>1</v>
      </c>
      <c r="C49" s="1" t="s">
        <v>2</v>
      </c>
      <c r="D49" s="1" t="s">
        <v>3</v>
      </c>
      <c r="E49" s="1" t="s">
        <v>4</v>
      </c>
      <c r="F49" s="1" t="s">
        <v>5</v>
      </c>
      <c r="G49" s="1" t="s">
        <v>6</v>
      </c>
    </row>
    <row r="50" spans="1:7" x14ac:dyDescent="0.25">
      <c r="A50" s="2" t="s">
        <v>9</v>
      </c>
      <c r="B50" s="2" t="s">
        <v>10</v>
      </c>
      <c r="C50" s="2">
        <v>3</v>
      </c>
      <c r="D50" s="3">
        <v>1177149.00870383</v>
      </c>
      <c r="E50" s="3">
        <v>54257.120220599987</v>
      </c>
      <c r="F50" s="4">
        <v>3.1222927114860181E-2</v>
      </c>
      <c r="G50" s="4">
        <v>4.4066793598312361E-3</v>
      </c>
    </row>
    <row r="51" spans="1:7" x14ac:dyDescent="0.25">
      <c r="A51" s="2" t="s">
        <v>9</v>
      </c>
      <c r="B51" s="2" t="s">
        <v>10</v>
      </c>
      <c r="C51" s="2">
        <v>4</v>
      </c>
      <c r="D51" s="3">
        <v>1104497.8864203531</v>
      </c>
      <c r="E51" s="3">
        <v>55926.329561999992</v>
      </c>
      <c r="F51" s="4">
        <v>1.456969533637424E-2</v>
      </c>
      <c r="G51" s="4">
        <v>1.725521704280945E-3</v>
      </c>
    </row>
    <row r="52" spans="1:7" x14ac:dyDescent="0.25">
      <c r="A52" s="2" t="s">
        <v>9</v>
      </c>
      <c r="B52" s="2" t="s">
        <v>10</v>
      </c>
      <c r="C52" s="2">
        <v>1</v>
      </c>
      <c r="D52" s="3">
        <v>1083208.9167629869</v>
      </c>
      <c r="E52" s="3">
        <v>110639.49239553</v>
      </c>
      <c r="F52" s="4">
        <v>6.9333248439685724E-3</v>
      </c>
      <c r="G52" s="4">
        <v>1.1143475296256969E-3</v>
      </c>
    </row>
    <row r="53" spans="1:7" x14ac:dyDescent="0.25">
      <c r="A53" s="2" t="s">
        <v>9</v>
      </c>
      <c r="B53" s="2" t="s">
        <v>10</v>
      </c>
      <c r="C53" s="2">
        <v>2</v>
      </c>
      <c r="D53" s="3">
        <v>1077864.821598877</v>
      </c>
      <c r="E53" s="3">
        <v>73997.227386940009</v>
      </c>
      <c r="F53" s="4">
        <v>9.7692142174449353E-3</v>
      </c>
      <c r="G53" s="4">
        <v>9.558347653642385E-3</v>
      </c>
    </row>
    <row r="55" spans="1:7" x14ac:dyDescent="0.25">
      <c r="B55" s="6" t="s">
        <v>14</v>
      </c>
      <c r="D55" s="3">
        <f>AVERAGE(D50:D51)</f>
        <v>1140823.4475620915</v>
      </c>
      <c r="E55" s="3">
        <f t="shared" ref="E55:G55" si="9">AVERAGE(E50:E51)</f>
        <v>55091.724891299993</v>
      </c>
      <c r="F55" s="5">
        <f t="shared" si="9"/>
        <v>2.2896311225617211E-2</v>
      </c>
      <c r="G55" s="5">
        <f t="shared" si="9"/>
        <v>3.0661005320560906E-3</v>
      </c>
    </row>
    <row r="56" spans="1:7" x14ac:dyDescent="0.25">
      <c r="B56" s="6" t="s">
        <v>15</v>
      </c>
      <c r="D56" s="3">
        <f>AVERAGE(D52:D53)</f>
        <v>1080536.8691809319</v>
      </c>
      <c r="E56" s="3">
        <f t="shared" ref="E56:G56" si="10">AVERAGE(E52:E53)</f>
        <v>92318.359891235013</v>
      </c>
      <c r="F56" s="5">
        <f t="shared" si="10"/>
        <v>8.3512695307067543E-3</v>
      </c>
      <c r="G56" s="5">
        <f t="shared" si="10"/>
        <v>5.3363475916340412E-3</v>
      </c>
    </row>
    <row r="58" spans="1:7" x14ac:dyDescent="0.25">
      <c r="C58" s="6" t="s">
        <v>16</v>
      </c>
      <c r="D58" s="3">
        <f>D55/D56</f>
        <v>1.0557931710621387</v>
      </c>
      <c r="E58" s="3">
        <f t="shared" ref="E58:G58" si="11">E55/E56</f>
        <v>0.59675805501967727</v>
      </c>
      <c r="F58" s="3">
        <f t="shared" si="11"/>
        <v>2.741656360321008</v>
      </c>
      <c r="G58" s="3">
        <f t="shared" si="11"/>
        <v>0.57456911856021375</v>
      </c>
    </row>
    <row r="60" spans="1:7" x14ac:dyDescent="0.25">
      <c r="C60" s="2">
        <f>MAX(C50:C53)</f>
        <v>4</v>
      </c>
      <c r="D60" s="2">
        <f t="shared" ref="D60:G60" si="12">MAX(D50:D53)</f>
        <v>1177149.00870383</v>
      </c>
      <c r="E60" s="2">
        <f t="shared" si="12"/>
        <v>110639.49239553</v>
      </c>
      <c r="F60" s="2">
        <f t="shared" si="12"/>
        <v>3.1222927114860181E-2</v>
      </c>
      <c r="G60" s="2">
        <f t="shared" si="12"/>
        <v>9.558347653642385E-3</v>
      </c>
    </row>
    <row r="61" spans="1:7" x14ac:dyDescent="0.25">
      <c r="C61" s="8" t="s">
        <v>17</v>
      </c>
      <c r="D61" s="8" t="s">
        <v>3</v>
      </c>
      <c r="E61" s="1" t="s">
        <v>4</v>
      </c>
      <c r="F61" s="1" t="s">
        <v>5</v>
      </c>
      <c r="G61" s="1" t="s">
        <v>6</v>
      </c>
    </row>
    <row r="62" spans="1:7" x14ac:dyDescent="0.25">
      <c r="C62" s="2">
        <f>C50/C$60</f>
        <v>0.75</v>
      </c>
      <c r="D62" s="2">
        <f t="shared" ref="D62:G62" si="13">D50/D$60</f>
        <v>1</v>
      </c>
      <c r="E62" s="2">
        <f t="shared" si="13"/>
        <v>0.490395599670991</v>
      </c>
      <c r="F62" s="2">
        <f t="shared" si="13"/>
        <v>1</v>
      </c>
      <c r="G62" s="2">
        <f t="shared" si="13"/>
        <v>0.46102940795964764</v>
      </c>
    </row>
    <row r="63" spans="1:7" x14ac:dyDescent="0.25">
      <c r="C63" s="2">
        <f t="shared" ref="C63:G65" si="14">C51/C$60</f>
        <v>1</v>
      </c>
      <c r="D63" s="2">
        <f t="shared" si="14"/>
        <v>0.93828213612185452</v>
      </c>
      <c r="E63" s="2">
        <f t="shared" si="14"/>
        <v>0.50548252121463544</v>
      </c>
      <c r="F63" s="2">
        <f t="shared" si="14"/>
        <v>0.46663451132485162</v>
      </c>
      <c r="G63" s="2">
        <f t="shared" si="14"/>
        <v>0.18052510400407995</v>
      </c>
    </row>
    <row r="64" spans="1:7" x14ac:dyDescent="0.25">
      <c r="C64" s="2">
        <f t="shared" si="14"/>
        <v>0.25</v>
      </c>
      <c r="D64" s="2">
        <f t="shared" si="14"/>
        <v>0.92019694087473147</v>
      </c>
      <c r="E64" s="2">
        <f t="shared" si="14"/>
        <v>1</v>
      </c>
      <c r="F64" s="2">
        <f t="shared" si="14"/>
        <v>0.22205877169885008</v>
      </c>
      <c r="G64" s="2">
        <f t="shared" si="14"/>
        <v>0.11658369940133473</v>
      </c>
    </row>
    <row r="65" spans="1:7" x14ac:dyDescent="0.25">
      <c r="C65" s="2">
        <f t="shared" si="14"/>
        <v>0.5</v>
      </c>
      <c r="D65" s="2">
        <f t="shared" si="14"/>
        <v>0.91565707793079165</v>
      </c>
      <c r="E65" s="2">
        <f t="shared" si="14"/>
        <v>0.66881387273907633</v>
      </c>
      <c r="F65" s="2">
        <f t="shared" si="14"/>
        <v>0.31288591814299799</v>
      </c>
      <c r="G65" s="2">
        <f t="shared" si="14"/>
        <v>1</v>
      </c>
    </row>
    <row r="67" spans="1:7" x14ac:dyDescent="0.25">
      <c r="C67" s="8" t="s">
        <v>3</v>
      </c>
      <c r="D67" s="8" t="s">
        <v>17</v>
      </c>
      <c r="E67" s="8" t="s">
        <v>4</v>
      </c>
      <c r="F67" s="8" t="s">
        <v>5</v>
      </c>
      <c r="G67" s="8" t="s">
        <v>6</v>
      </c>
    </row>
    <row r="68" spans="1:7" x14ac:dyDescent="0.25">
      <c r="C68" s="3">
        <v>0.91565707793079165</v>
      </c>
      <c r="D68" s="2">
        <v>0.5</v>
      </c>
      <c r="E68" s="2">
        <v>0.66881387273907633</v>
      </c>
      <c r="F68" s="2">
        <v>0.31288591814299799</v>
      </c>
      <c r="G68" s="2">
        <v>1</v>
      </c>
    </row>
    <row r="69" spans="1:7" x14ac:dyDescent="0.25">
      <c r="C69" s="3">
        <v>0.92019694087473147</v>
      </c>
      <c r="D69" s="2">
        <v>0.25</v>
      </c>
      <c r="E69" s="2">
        <v>1</v>
      </c>
      <c r="F69" s="2">
        <v>0.22205877169885008</v>
      </c>
      <c r="G69" s="2">
        <v>0.11658369940133473</v>
      </c>
    </row>
    <row r="70" spans="1:7" x14ac:dyDescent="0.25">
      <c r="C70" s="3">
        <v>0.93828213612185452</v>
      </c>
      <c r="D70" s="2">
        <v>1</v>
      </c>
      <c r="E70" s="2">
        <v>0.50548252121463544</v>
      </c>
      <c r="F70" s="2">
        <v>0.46663451132485162</v>
      </c>
      <c r="G70" s="2">
        <v>0.18052510400407995</v>
      </c>
    </row>
    <row r="71" spans="1:7" x14ac:dyDescent="0.25">
      <c r="C71" s="3">
        <v>1</v>
      </c>
      <c r="D71" s="2">
        <v>0.75</v>
      </c>
      <c r="E71" s="2">
        <v>0.490395599670991</v>
      </c>
      <c r="F71" s="2">
        <v>1</v>
      </c>
      <c r="G71" s="2">
        <v>0.46102940795964764</v>
      </c>
    </row>
    <row r="75" spans="1:7" x14ac:dyDescent="0.25">
      <c r="A75" s="1" t="s">
        <v>0</v>
      </c>
      <c r="B75" s="1" t="s">
        <v>1</v>
      </c>
      <c r="C75" s="1" t="s">
        <v>2</v>
      </c>
      <c r="D75" s="1" t="s">
        <v>3</v>
      </c>
      <c r="E75" s="1" t="s">
        <v>4</v>
      </c>
      <c r="F75" s="1" t="s">
        <v>5</v>
      </c>
      <c r="G75" s="1" t="s">
        <v>6</v>
      </c>
    </row>
    <row r="76" spans="1:7" x14ac:dyDescent="0.25">
      <c r="A76" s="2" t="s">
        <v>11</v>
      </c>
      <c r="B76" s="2" t="s">
        <v>12</v>
      </c>
      <c r="C76" s="2">
        <v>4</v>
      </c>
      <c r="D76" s="3">
        <v>729412.67096789309</v>
      </c>
      <c r="E76" s="3">
        <v>60313.34351775</v>
      </c>
      <c r="F76" s="4">
        <v>3.7694938920620688E-4</v>
      </c>
      <c r="G76" s="4">
        <v>1.654533485954597E-3</v>
      </c>
    </row>
    <row r="77" spans="1:7" x14ac:dyDescent="0.25">
      <c r="A77" s="2" t="s">
        <v>11</v>
      </c>
      <c r="B77" s="2" t="s">
        <v>12</v>
      </c>
      <c r="C77" s="2">
        <v>1</v>
      </c>
      <c r="D77" s="3">
        <v>648447.24948227091</v>
      </c>
      <c r="E77" s="3">
        <v>22130.276711350001</v>
      </c>
      <c r="F77" s="4">
        <v>1.068848483528837E-2</v>
      </c>
      <c r="G77" s="4">
        <v>8.5913209572516789E-4</v>
      </c>
    </row>
    <row r="78" spans="1:7" x14ac:dyDescent="0.25">
      <c r="A78" s="2" t="s">
        <v>11</v>
      </c>
      <c r="B78" s="2" t="s">
        <v>12</v>
      </c>
      <c r="C78" s="2">
        <v>3</v>
      </c>
      <c r="D78" s="3">
        <v>647963.01508706179</v>
      </c>
      <c r="E78" s="3">
        <v>30679.58334573</v>
      </c>
      <c r="F78" s="4">
        <v>6.9744795028248326E-4</v>
      </c>
      <c r="G78" s="4">
        <v>1.104087647419581E-4</v>
      </c>
    </row>
    <row r="79" spans="1:7" x14ac:dyDescent="0.25">
      <c r="A79" s="2" t="s">
        <v>11</v>
      </c>
      <c r="B79" s="2" t="s">
        <v>12</v>
      </c>
      <c r="C79" s="2">
        <v>2</v>
      </c>
      <c r="D79" s="3">
        <v>585416.38894337451</v>
      </c>
      <c r="E79" s="3">
        <v>80201.013479729998</v>
      </c>
      <c r="F79" s="4">
        <v>3.0546519921711193E-4</v>
      </c>
      <c r="G79" s="4">
        <v>1.7612261076438901E-4</v>
      </c>
    </row>
    <row r="81" spans="2:7" x14ac:dyDescent="0.25">
      <c r="B81" s="6" t="s">
        <v>14</v>
      </c>
      <c r="D81" s="3">
        <f>AVERAGE(D76:D77)</f>
        <v>688929.960225082</v>
      </c>
      <c r="E81" s="3">
        <f t="shared" ref="E81:G81" si="15">AVERAGE(E76:E77)</f>
        <v>41221.810114549997</v>
      </c>
      <c r="F81" s="5">
        <f t="shared" si="15"/>
        <v>5.5327171122472882E-3</v>
      </c>
      <c r="G81" s="5">
        <f t="shared" si="15"/>
        <v>1.2568327908398826E-3</v>
      </c>
    </row>
    <row r="82" spans="2:7" x14ac:dyDescent="0.25">
      <c r="B82" s="6" t="s">
        <v>15</v>
      </c>
      <c r="D82" s="3">
        <f>AVERAGE(D78:D79)</f>
        <v>616689.70201521809</v>
      </c>
      <c r="E82" s="3">
        <f t="shared" ref="E82:G82" si="16">AVERAGE(E78:E79)</f>
        <v>55440.298412730001</v>
      </c>
      <c r="F82" s="5">
        <f t="shared" si="16"/>
        <v>5.0145657474979762E-4</v>
      </c>
      <c r="G82" s="5">
        <f t="shared" si="16"/>
        <v>1.4326568775317356E-4</v>
      </c>
    </row>
    <row r="84" spans="2:7" x14ac:dyDescent="0.25">
      <c r="C84" s="6" t="s">
        <v>16</v>
      </c>
      <c r="D84" s="3">
        <f>D81/D82</f>
        <v>1.1171419888702492</v>
      </c>
      <c r="E84" s="3">
        <f t="shared" ref="E84:G84" si="17">E81/E82</f>
        <v>0.74353514130949905</v>
      </c>
      <c r="F84" s="3">
        <f t="shared" si="17"/>
        <v>11.033292593696363</v>
      </c>
      <c r="G84" s="3">
        <f t="shared" si="17"/>
        <v>8.7727411256017351</v>
      </c>
    </row>
    <row r="86" spans="2:7" x14ac:dyDescent="0.25">
      <c r="C86" s="2">
        <f>MAX(C76:C79)</f>
        <v>4</v>
      </c>
      <c r="D86" s="2">
        <f t="shared" ref="D86:G86" si="18">MAX(D76:D79)</f>
        <v>729412.67096789309</v>
      </c>
      <c r="E86" s="2">
        <f t="shared" si="18"/>
        <v>80201.013479729998</v>
      </c>
      <c r="F86" s="2">
        <f t="shared" si="18"/>
        <v>1.068848483528837E-2</v>
      </c>
      <c r="G86" s="2">
        <f t="shared" si="18"/>
        <v>1.654533485954597E-3</v>
      </c>
    </row>
    <row r="87" spans="2:7" x14ac:dyDescent="0.25">
      <c r="C87" s="8" t="s">
        <v>17</v>
      </c>
      <c r="D87" s="8" t="s">
        <v>3</v>
      </c>
      <c r="E87" s="1" t="s">
        <v>4</v>
      </c>
      <c r="F87" s="1" t="s">
        <v>5</v>
      </c>
      <c r="G87" s="1" t="s">
        <v>6</v>
      </c>
    </row>
    <row r="88" spans="2:7" x14ac:dyDescent="0.25">
      <c r="C88" s="2">
        <f>C76/C$86</f>
        <v>1</v>
      </c>
      <c r="D88" s="2">
        <f t="shared" ref="D88:G88" si="19">D76/D$86</f>
        <v>1</v>
      </c>
      <c r="E88" s="2">
        <f t="shared" si="19"/>
        <v>0.75202719892054226</v>
      </c>
      <c r="F88" s="2">
        <f t="shared" si="19"/>
        <v>3.5266868505225042E-2</v>
      </c>
      <c r="G88" s="2">
        <f t="shared" si="19"/>
        <v>1</v>
      </c>
    </row>
    <row r="89" spans="2:7" x14ac:dyDescent="0.25">
      <c r="C89" s="2">
        <f t="shared" ref="C89:G91" si="20">C77/C$86</f>
        <v>0.25</v>
      </c>
      <c r="D89" s="2">
        <f t="shared" si="20"/>
        <v>0.88899915684466346</v>
      </c>
      <c r="E89" s="2">
        <f t="shared" si="20"/>
        <v>0.27593512539518228</v>
      </c>
      <c r="F89" s="2">
        <f t="shared" si="20"/>
        <v>1</v>
      </c>
      <c r="G89" s="2">
        <f t="shared" si="20"/>
        <v>0.51925941845140988</v>
      </c>
    </row>
    <row r="90" spans="2:7" x14ac:dyDescent="0.25">
      <c r="C90" s="2">
        <f t="shared" si="20"/>
        <v>0.75</v>
      </c>
      <c r="D90" s="2">
        <f t="shared" si="20"/>
        <v>0.88833528793412408</v>
      </c>
      <c r="E90" s="2">
        <f t="shared" si="20"/>
        <v>0.38253361166668992</v>
      </c>
      <c r="F90" s="2">
        <f t="shared" si="20"/>
        <v>6.5252274857502429E-2</v>
      </c>
      <c r="G90" s="2">
        <f t="shared" si="20"/>
        <v>6.6731054813470178E-2</v>
      </c>
    </row>
    <row r="91" spans="2:7" x14ac:dyDescent="0.25">
      <c r="C91" s="2">
        <f t="shared" si="20"/>
        <v>0.5</v>
      </c>
      <c r="D91" s="2">
        <f t="shared" si="20"/>
        <v>0.80258598766396128</v>
      </c>
      <c r="E91" s="2">
        <f t="shared" si="20"/>
        <v>1</v>
      </c>
      <c r="F91" s="2">
        <f t="shared" si="20"/>
        <v>2.8578905609577977E-2</v>
      </c>
      <c r="G91" s="2">
        <f t="shared" si="20"/>
        <v>0.10644850180398349</v>
      </c>
    </row>
    <row r="93" spans="2:7" x14ac:dyDescent="0.25">
      <c r="C93" s="8" t="s">
        <v>3</v>
      </c>
      <c r="D93" s="8" t="s">
        <v>17</v>
      </c>
      <c r="E93" s="8" t="s">
        <v>4</v>
      </c>
      <c r="F93" s="8" t="s">
        <v>5</v>
      </c>
      <c r="G93" s="8" t="s">
        <v>6</v>
      </c>
    </row>
    <row r="94" spans="2:7" x14ac:dyDescent="0.25">
      <c r="C94" s="3">
        <v>0.80258598766396128</v>
      </c>
      <c r="D94" s="2">
        <v>0.5</v>
      </c>
      <c r="E94" s="2">
        <v>1</v>
      </c>
      <c r="F94" s="2">
        <v>2.8578905609577977E-2</v>
      </c>
      <c r="G94" s="2">
        <v>0.10644850180398349</v>
      </c>
    </row>
    <row r="95" spans="2:7" x14ac:dyDescent="0.25">
      <c r="C95" s="3">
        <v>0.88833528793412408</v>
      </c>
      <c r="D95" s="2">
        <v>0.75</v>
      </c>
      <c r="E95" s="2">
        <v>0.38253361166668992</v>
      </c>
      <c r="F95" s="2">
        <v>6.5252274857502429E-2</v>
      </c>
      <c r="G95" s="2">
        <v>6.6731054813470178E-2</v>
      </c>
    </row>
    <row r="96" spans="2:7" x14ac:dyDescent="0.25">
      <c r="C96" s="3">
        <v>0.88899915684466346</v>
      </c>
      <c r="D96" s="2">
        <v>0.25</v>
      </c>
      <c r="E96" s="2">
        <v>0.27593512539518228</v>
      </c>
      <c r="F96" s="2">
        <v>1</v>
      </c>
      <c r="G96" s="2">
        <v>0.51925941845140988</v>
      </c>
    </row>
    <row r="97" spans="3:7" x14ac:dyDescent="0.25">
      <c r="C97" s="3">
        <v>1</v>
      </c>
      <c r="D97" s="2">
        <v>1</v>
      </c>
      <c r="E97" s="2">
        <v>0.75202719892054226</v>
      </c>
      <c r="F97" s="2">
        <v>3.5266868505225042E-2</v>
      </c>
      <c r="G97" s="2">
        <v>1</v>
      </c>
    </row>
  </sheetData>
  <sortState ref="C94:G97">
    <sortCondition ref="C94:C97"/>
  </sortState>
  <conditionalFormatting sqref="D2:D13">
    <cfRule type="colorScale" priority="3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:E13">
    <cfRule type="colorScale" priority="3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:F13">
    <cfRule type="colorScale" priority="3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:G13">
    <cfRule type="colorScale" priority="2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7:D18">
    <cfRule type="colorScale" priority="2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7:E18">
    <cfRule type="colorScale" priority="2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7:F18">
    <cfRule type="colorScale" priority="2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7:G18">
    <cfRule type="colorScale" priority="2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5:D28">
    <cfRule type="colorScale" priority="2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5:E28">
    <cfRule type="colorScale" priority="2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5:F28">
    <cfRule type="colorScale" priority="2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5:G28">
    <cfRule type="colorScale" priority="2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30:D31">
    <cfRule type="colorScale" priority="2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30:E31">
    <cfRule type="colorScale" priority="1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30:F31">
    <cfRule type="colorScale" priority="1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30:G31">
    <cfRule type="colorScale" priority="1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50:D53">
    <cfRule type="colorScale" priority="1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50:E53">
    <cfRule type="colorScale" priority="1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50:F53">
    <cfRule type="colorScale" priority="1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50:G53">
    <cfRule type="colorScale" priority="1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55:D56">
    <cfRule type="colorScale" priority="1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55:E56">
    <cfRule type="colorScale" priority="1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55:F56">
    <cfRule type="colorScale" priority="1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55:G56">
    <cfRule type="colorScale" priority="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76:D79">
    <cfRule type="colorScale" priority="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76:E79"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76:F79">
    <cfRule type="colorScale" priority="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76:G79">
    <cfRule type="colorScale" priority="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81:D82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81:E82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81:F82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81:G82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5" right="0.75" top="1" bottom="1" header="0.5" footer="0.5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Albert</cp:lastModifiedBy>
  <dcterms:created xsi:type="dcterms:W3CDTF">2026-05-13T11:01:24Z</dcterms:created>
  <dcterms:modified xsi:type="dcterms:W3CDTF">2026-05-27T08:15:10Z</dcterms:modified>
</cp:coreProperties>
</file>