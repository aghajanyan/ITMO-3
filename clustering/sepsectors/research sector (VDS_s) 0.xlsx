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1"/>
  </bookViews>
  <sheets>
    <sheet name="Sheet1" sheetId="1" r:id="rId1"/>
    <sheet name="Sheet1 (2)" sheetId="2" r:id="rId2"/>
  </sheets>
  <calcPr calcId="162913"/>
</workbook>
</file>

<file path=xl/calcChain.xml><?xml version="1.0" encoding="utf-8"?>
<calcChain xmlns="http://schemas.openxmlformats.org/spreadsheetml/2006/main">
  <c r="L109" i="2" l="1"/>
  <c r="K109" i="2"/>
  <c r="F88" i="2"/>
  <c r="G87" i="2"/>
  <c r="E87" i="2"/>
  <c r="C87" i="2"/>
  <c r="L85" i="2"/>
  <c r="K85" i="2"/>
  <c r="G85" i="2"/>
  <c r="C85" i="2"/>
  <c r="G83" i="2"/>
  <c r="G88" i="2" s="1"/>
  <c r="F83" i="2"/>
  <c r="F87" i="2" s="1"/>
  <c r="E83" i="2"/>
  <c r="E88" i="2" s="1"/>
  <c r="D83" i="2"/>
  <c r="D87" i="2" s="1"/>
  <c r="C83" i="2"/>
  <c r="C86" i="2" s="1"/>
  <c r="G79" i="2"/>
  <c r="F79" i="2"/>
  <c r="E79" i="2"/>
  <c r="D79" i="2"/>
  <c r="G78" i="2"/>
  <c r="G81" i="2" s="1"/>
  <c r="F78" i="2"/>
  <c r="F81" i="2" s="1"/>
  <c r="E78" i="2"/>
  <c r="E81" i="2" s="1"/>
  <c r="D78" i="2"/>
  <c r="D81" i="2" s="1"/>
  <c r="G64" i="2"/>
  <c r="F63" i="2"/>
  <c r="D63" i="2"/>
  <c r="G62" i="2"/>
  <c r="L61" i="2"/>
  <c r="K61" i="2"/>
  <c r="F61" i="2"/>
  <c r="G59" i="2"/>
  <c r="G61" i="2" s="1"/>
  <c r="F59" i="2"/>
  <c r="F64" i="2" s="1"/>
  <c r="E59" i="2"/>
  <c r="E63" i="2" s="1"/>
  <c r="D59" i="2"/>
  <c r="D64" i="2" s="1"/>
  <c r="C59" i="2"/>
  <c r="C63" i="2" s="1"/>
  <c r="G55" i="2"/>
  <c r="F55" i="2"/>
  <c r="E55" i="2"/>
  <c r="D55" i="2"/>
  <c r="G54" i="2"/>
  <c r="G57" i="2" s="1"/>
  <c r="F54" i="2"/>
  <c r="F57" i="2" s="1"/>
  <c r="E54" i="2"/>
  <c r="E57" i="2" s="1"/>
  <c r="D54" i="2"/>
  <c r="D57" i="2" s="1"/>
  <c r="K41" i="2"/>
  <c r="J41" i="2"/>
  <c r="F40" i="2"/>
  <c r="G39" i="2"/>
  <c r="E39" i="2"/>
  <c r="C39" i="2"/>
  <c r="G37" i="2"/>
  <c r="E37" i="2"/>
  <c r="G35" i="2"/>
  <c r="G40" i="2" s="1"/>
  <c r="F35" i="2"/>
  <c r="F39" i="2" s="1"/>
  <c r="E35" i="2"/>
  <c r="E40" i="2" s="1"/>
  <c r="D35" i="2"/>
  <c r="D39" i="2" s="1"/>
  <c r="C35" i="2"/>
  <c r="C38" i="2" s="1"/>
  <c r="G31" i="2"/>
  <c r="F31" i="2"/>
  <c r="E31" i="2"/>
  <c r="D31" i="2"/>
  <c r="G30" i="2"/>
  <c r="G33" i="2" s="1"/>
  <c r="F30" i="2"/>
  <c r="F33" i="2" s="1"/>
  <c r="E30" i="2"/>
  <c r="E33" i="2" s="1"/>
  <c r="D30" i="2"/>
  <c r="D33" i="2" s="1"/>
  <c r="G18" i="2"/>
  <c r="F18" i="2"/>
  <c r="E18" i="2"/>
  <c r="D18" i="2"/>
  <c r="G17" i="2"/>
  <c r="G20" i="2" s="1"/>
  <c r="F17" i="2"/>
  <c r="F20" i="2" s="1"/>
  <c r="E17" i="2"/>
  <c r="E20" i="2" s="1"/>
  <c r="D17" i="2"/>
  <c r="D20" i="2" s="1"/>
  <c r="D15" i="2"/>
  <c r="E38" i="2" l="1"/>
  <c r="C40" i="2"/>
  <c r="C61" i="2"/>
  <c r="D62" i="2"/>
  <c r="G63" i="2"/>
  <c r="D85" i="2"/>
  <c r="E86" i="2"/>
  <c r="C88" i="2"/>
  <c r="C62" i="2"/>
  <c r="C37" i="2"/>
  <c r="F38" i="2"/>
  <c r="D40" i="2"/>
  <c r="D61" i="2"/>
  <c r="E62" i="2"/>
  <c r="C64" i="2"/>
  <c r="E85" i="2"/>
  <c r="F86" i="2"/>
  <c r="D88" i="2"/>
  <c r="D38" i="2"/>
  <c r="D86" i="2"/>
  <c r="D37" i="2"/>
  <c r="G38" i="2"/>
  <c r="E61" i="2"/>
  <c r="F62" i="2"/>
  <c r="F85" i="2"/>
  <c r="G86" i="2"/>
  <c r="E64" i="2"/>
  <c r="F37" i="2"/>
  <c r="K41" i="1"/>
  <c r="J41" i="1"/>
  <c r="L109" i="1"/>
  <c r="K109" i="1"/>
  <c r="L85" i="1"/>
  <c r="K85" i="1"/>
  <c r="L61" i="1"/>
  <c r="K61" i="1"/>
  <c r="E85" i="1" l="1"/>
  <c r="G86" i="1"/>
  <c r="E87" i="1"/>
  <c r="G88" i="1"/>
  <c r="C87" i="1"/>
  <c r="G83" i="1"/>
  <c r="G85" i="1" s="1"/>
  <c r="F83" i="1"/>
  <c r="F85" i="1" s="1"/>
  <c r="E83" i="1"/>
  <c r="E86" i="1" s="1"/>
  <c r="D83" i="1"/>
  <c r="D86" i="1" s="1"/>
  <c r="C83" i="1"/>
  <c r="C88" i="1" s="1"/>
  <c r="F88" i="1" l="1"/>
  <c r="F86" i="1"/>
  <c r="E88" i="1"/>
  <c r="C86" i="1"/>
  <c r="D87" i="1"/>
  <c r="D85" i="1"/>
  <c r="D88" i="1"/>
  <c r="C85" i="1"/>
  <c r="G87" i="1"/>
  <c r="F87" i="1"/>
  <c r="G59" i="1"/>
  <c r="F59" i="1"/>
  <c r="E59" i="1"/>
  <c r="D59" i="1"/>
  <c r="C59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C38" i="1"/>
  <c r="C39" i="1"/>
  <c r="C40" i="1"/>
  <c r="C37" i="1"/>
  <c r="G35" i="1"/>
  <c r="F35" i="1"/>
  <c r="E35" i="1"/>
  <c r="D35" i="1"/>
  <c r="C35" i="1"/>
  <c r="C61" i="1" l="1"/>
  <c r="C62" i="1"/>
  <c r="C64" i="1"/>
  <c r="C63" i="1"/>
  <c r="D61" i="1"/>
  <c r="D63" i="1"/>
  <c r="D62" i="1"/>
  <c r="D64" i="1"/>
  <c r="E61" i="1"/>
  <c r="E63" i="1"/>
  <c r="E64" i="1"/>
  <c r="E62" i="1"/>
  <c r="F63" i="1"/>
  <c r="F61" i="1"/>
  <c r="F62" i="1"/>
  <c r="F64" i="1"/>
  <c r="G61" i="1"/>
  <c r="G64" i="1"/>
  <c r="G63" i="1"/>
  <c r="G62" i="1"/>
  <c r="G79" i="1"/>
  <c r="F79" i="1"/>
  <c r="E79" i="1"/>
  <c r="D79" i="1"/>
  <c r="G78" i="1"/>
  <c r="F78" i="1"/>
  <c r="E78" i="1"/>
  <c r="D78" i="1"/>
  <c r="G55" i="1"/>
  <c r="F55" i="1"/>
  <c r="E55" i="1"/>
  <c r="D55" i="1"/>
  <c r="G54" i="1"/>
  <c r="F54" i="1"/>
  <c r="E54" i="1"/>
  <c r="D54" i="1"/>
  <c r="G31" i="1"/>
  <c r="F31" i="1"/>
  <c r="E31" i="1"/>
  <c r="D31" i="1"/>
  <c r="G30" i="1"/>
  <c r="F30" i="1"/>
  <c r="E30" i="1"/>
  <c r="D30" i="1"/>
  <c r="E81" i="1" l="1"/>
  <c r="F33" i="1"/>
  <c r="F57" i="1"/>
  <c r="F81" i="1"/>
  <c r="G33" i="1"/>
  <c r="G57" i="1"/>
  <c r="G81" i="1"/>
  <c r="D33" i="1"/>
  <c r="D57" i="1"/>
  <c r="E33" i="1"/>
  <c r="E57" i="1"/>
  <c r="D81" i="1"/>
  <c r="G18" i="1" l="1"/>
  <c r="F18" i="1"/>
  <c r="E18" i="1"/>
  <c r="D18" i="1"/>
  <c r="G17" i="1"/>
  <c r="F17" i="1"/>
  <c r="E17" i="1"/>
  <c r="E20" i="1" s="1"/>
  <c r="D17" i="1"/>
  <c r="D20" i="1" s="1"/>
  <c r="D15" i="1"/>
  <c r="F20" i="1" l="1"/>
  <c r="G20" i="1"/>
</calcChain>
</file>

<file path=xl/sharedStrings.xml><?xml version="1.0" encoding="utf-8"?>
<sst xmlns="http://schemas.openxmlformats.org/spreadsheetml/2006/main" count="256" uniqueCount="21">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</sst>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B-4CE9-9083-54649E465574}"/>
            </c:ext>
          </c:extLst>
        </c:ser>
        <c:ser>
          <c:idx val="3"/>
          <c:order val="1"/>
          <c:tx>
            <c:strRef>
              <c:f>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FB-4CE9-9083-54649E465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E-4DBE-A1DE-B0BB06A7FA1E}"/>
            </c:ext>
          </c:extLst>
        </c:ser>
        <c:ser>
          <c:idx val="3"/>
          <c:order val="1"/>
          <c:tx>
            <c:strRef>
              <c:f>Sheet1!$C$70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Sheet1!$D$70:$G$70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9E-4DBE-A1DE-B0BB06A7F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Sheet1!$D$91:$G$91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3-43D7-9754-076BD54858B4}"/>
            </c:ext>
          </c:extLst>
        </c:ser>
        <c:ser>
          <c:idx val="3"/>
          <c:order val="1"/>
          <c:tx>
            <c:strRef>
              <c:f>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A3-43D7-9754-076BD5485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71</a:t>
            </a:r>
            <a:endParaRPr lang="ru-RU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(2)'!$E$43:$G$43</c:f>
              <c:numCache>
                <c:formatCode>General</c:formatCode>
                <c:ptCount val="3"/>
                <c:pt idx="0">
                  <c:v>1</c:v>
                </c:pt>
                <c:pt idx="1">
                  <c:v>0.4341128768543896</c:v>
                </c:pt>
                <c:pt idx="2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2-4BDF-B4CA-C15D8E5F257C}"/>
            </c:ext>
          </c:extLst>
        </c:ser>
        <c:ser>
          <c:idx val="3"/>
          <c:order val="1"/>
          <c:tx>
            <c:strRef>
              <c:f>'Sheet1 (2)'!$C$46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(2)'!$E$46:$G$46</c:f>
              <c:numCache>
                <c:formatCode>General</c:formatCode>
                <c:ptCount val="3"/>
                <c:pt idx="0">
                  <c:v>0.37449706271284755</c:v>
                </c:pt>
                <c:pt idx="1">
                  <c:v>0.59247665944601891</c:v>
                </c:pt>
                <c:pt idx="2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42-4BDF-B4CA-C15D8E5F2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(2)'!$E$67:$G$67</c:f>
              <c:numCache>
                <c:formatCode>General</c:formatCode>
                <c:ptCount val="3"/>
                <c:pt idx="0">
                  <c:v>0.66881387273907633</c:v>
                </c:pt>
                <c:pt idx="1">
                  <c:v>0.31288591814299799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53-42C4-96EF-D6EF48891EA1}"/>
            </c:ext>
          </c:extLst>
        </c:ser>
        <c:ser>
          <c:idx val="3"/>
          <c:order val="1"/>
          <c:tx>
            <c:strRef>
              <c:f>'Sheet1 (2)'!$C$70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(2)'!$E$70:$G$70</c:f>
              <c:numCache>
                <c:formatCode>General</c:formatCode>
                <c:ptCount val="3"/>
                <c:pt idx="0">
                  <c:v>0.490395599670991</c:v>
                </c:pt>
                <c:pt idx="1">
                  <c:v>1</c:v>
                </c:pt>
                <c:pt idx="2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53-42C4-96EF-D6EF48891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(2)'!$E$91:$G$91</c:f>
              <c:numCache>
                <c:formatCode>General</c:formatCode>
                <c:ptCount val="3"/>
                <c:pt idx="0">
                  <c:v>1</c:v>
                </c:pt>
                <c:pt idx="1">
                  <c:v>2.8578905609577977E-2</c:v>
                </c:pt>
                <c:pt idx="2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22-4D4D-A0BC-867D33C677FE}"/>
            </c:ext>
          </c:extLst>
        </c:ser>
        <c:ser>
          <c:idx val="3"/>
          <c:order val="1"/>
          <c:tx>
            <c:strRef>
              <c:f>'Sheet1 (2)'!$C$94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(2)'!$E$94:$G$94</c:f>
              <c:numCache>
                <c:formatCode>General</c:formatCode>
                <c:ptCount val="3"/>
                <c:pt idx="0">
                  <c:v>0.75202719892054226</c:v>
                </c:pt>
                <c:pt idx="1">
                  <c:v>3.5266868505225042E-2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22-4D4D-A0BC-867D33C67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244929</xdr:colOff>
      <xdr:row>10</xdr:row>
      <xdr:rowOff>149679</xdr:rowOff>
    </xdr:from>
    <xdr:to>
      <xdr:col>20</xdr:col>
      <xdr:colOff>211995</xdr:colOff>
      <xdr:row>33</xdr:row>
      <xdr:rowOff>94958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466354</xdr:colOff>
      <xdr:row>10</xdr:row>
      <xdr:rowOff>112568</xdr:rowOff>
    </xdr:from>
    <xdr:to>
      <xdr:col>29</xdr:col>
      <xdr:colOff>489085</xdr:colOff>
      <xdr:row>33</xdr:row>
      <xdr:rowOff>57847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244928</xdr:colOff>
      <xdr:row>34</xdr:row>
      <xdr:rowOff>68035</xdr:rowOff>
    </xdr:from>
    <xdr:to>
      <xdr:col>20</xdr:col>
      <xdr:colOff>267659</xdr:colOff>
      <xdr:row>57</xdr:row>
      <xdr:rowOff>13314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242454</xdr:colOff>
      <xdr:row>9</xdr:row>
      <xdr:rowOff>126422</xdr:rowOff>
    </xdr:from>
    <xdr:to>
      <xdr:col>20</xdr:col>
      <xdr:colOff>131123</xdr:colOff>
      <xdr:row>33</xdr:row>
      <xdr:rowOff>173182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381001</xdr:colOff>
      <xdr:row>9</xdr:row>
      <xdr:rowOff>121228</xdr:rowOff>
    </xdr:from>
    <xdr:to>
      <xdr:col>29</xdr:col>
      <xdr:colOff>269670</xdr:colOff>
      <xdr:row>33</xdr:row>
      <xdr:rowOff>167988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51954</xdr:colOff>
      <xdr:row>35</xdr:row>
      <xdr:rowOff>34636</xdr:rowOff>
    </xdr:from>
    <xdr:to>
      <xdr:col>24</xdr:col>
      <xdr:colOff>546759</xdr:colOff>
      <xdr:row>59</xdr:row>
      <xdr:rowOff>81396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1"/>
  <sheetViews>
    <sheetView zoomScale="70" zoomScaleNormal="70" workbookViewId="0">
      <selection activeCell="A25" sqref="A25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2024</v>
      </c>
      <c r="D2" s="3">
        <v>2312764.5271400302</v>
      </c>
      <c r="E2" s="3">
        <v>35420.059524999997</v>
      </c>
      <c r="F2" s="4">
        <v>5.6205038026400662E-3</v>
      </c>
      <c r="G2" s="4">
        <v>1.8864917830766969E-3</v>
      </c>
    </row>
    <row r="3" spans="1:7" x14ac:dyDescent="0.25">
      <c r="A3" s="2" t="s">
        <v>7</v>
      </c>
      <c r="B3" s="2" t="s">
        <v>8</v>
      </c>
      <c r="C3" s="2">
        <v>2023</v>
      </c>
      <c r="D3" s="3">
        <v>2056038.0691327541</v>
      </c>
      <c r="E3" s="3">
        <v>35306.169047820003</v>
      </c>
      <c r="F3" s="4">
        <v>7.4585983781851224E-3</v>
      </c>
      <c r="G3" s="4">
        <v>1.5495337612500891E-3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1713109.9518803279</v>
      </c>
      <c r="E4" s="3">
        <v>77023.192478700003</v>
      </c>
      <c r="F4" s="4">
        <v>9.4864560705148846E-3</v>
      </c>
      <c r="G4" s="4">
        <v>3.0572532777723999E-3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1230284.2821290109</v>
      </c>
      <c r="E5" s="3">
        <v>94580.340012330009</v>
      </c>
      <c r="F5" s="4">
        <v>4.1181927359240046E-3</v>
      </c>
      <c r="G5" s="4">
        <v>2.9431664964802489E-3</v>
      </c>
    </row>
    <row r="6" spans="1:7" x14ac:dyDescent="0.25">
      <c r="A6" s="2" t="s">
        <v>9</v>
      </c>
      <c r="B6" s="2" t="s">
        <v>10</v>
      </c>
      <c r="C6" s="2">
        <v>2023</v>
      </c>
      <c r="D6" s="3">
        <v>1177149.00870383</v>
      </c>
      <c r="E6" s="3">
        <v>54257.120220599987</v>
      </c>
      <c r="F6" s="4">
        <v>3.1222927114860181E-2</v>
      </c>
      <c r="G6" s="4">
        <v>4.4066793598312361E-3</v>
      </c>
    </row>
    <row r="7" spans="1:7" x14ac:dyDescent="0.25">
      <c r="A7" s="2" t="s">
        <v>9</v>
      </c>
      <c r="B7" s="2" t="s">
        <v>10</v>
      </c>
      <c r="C7" s="2">
        <v>2024</v>
      </c>
      <c r="D7" s="3">
        <v>1104497.8864203531</v>
      </c>
      <c r="E7" s="3">
        <v>55926.329561999992</v>
      </c>
      <c r="F7" s="4">
        <v>1.456969533637424E-2</v>
      </c>
      <c r="G7" s="4">
        <v>1.725521704280945E-3</v>
      </c>
    </row>
    <row r="8" spans="1:7" x14ac:dyDescent="0.25">
      <c r="A8" s="2" t="s">
        <v>9</v>
      </c>
      <c r="B8" s="2" t="s">
        <v>10</v>
      </c>
      <c r="C8" s="2">
        <v>2021</v>
      </c>
      <c r="D8" s="3">
        <v>1083208.9167629869</v>
      </c>
      <c r="E8" s="3">
        <v>110639.49239553</v>
      </c>
      <c r="F8" s="4">
        <v>6.9333248439685724E-3</v>
      </c>
      <c r="G8" s="4">
        <v>1.1143475296256969E-3</v>
      </c>
    </row>
    <row r="9" spans="1:7" x14ac:dyDescent="0.25">
      <c r="A9" s="2" t="s">
        <v>9</v>
      </c>
      <c r="B9" s="2" t="s">
        <v>10</v>
      </c>
      <c r="C9" s="2">
        <v>2022</v>
      </c>
      <c r="D9" s="3">
        <v>1077864.821598877</v>
      </c>
      <c r="E9" s="3">
        <v>73997.227386940009</v>
      </c>
      <c r="F9" s="4">
        <v>9.7692142174449353E-3</v>
      </c>
      <c r="G9" s="4">
        <v>9.558347653642385E-3</v>
      </c>
    </row>
    <row r="10" spans="1:7" x14ac:dyDescent="0.25">
      <c r="A10" s="2" t="s">
        <v>11</v>
      </c>
      <c r="B10" s="2" t="s">
        <v>12</v>
      </c>
      <c r="C10" s="2">
        <v>2024</v>
      </c>
      <c r="D10" s="3">
        <v>729412.67096789309</v>
      </c>
      <c r="E10" s="3">
        <v>60313.34351775</v>
      </c>
      <c r="F10" s="4">
        <v>3.7694938920620688E-4</v>
      </c>
      <c r="G10" s="4">
        <v>1.654533485954597E-3</v>
      </c>
    </row>
    <row r="11" spans="1:7" x14ac:dyDescent="0.25">
      <c r="A11" s="2" t="s">
        <v>11</v>
      </c>
      <c r="B11" s="2" t="s">
        <v>12</v>
      </c>
      <c r="C11" s="2">
        <v>2021</v>
      </c>
      <c r="D11" s="3">
        <v>648447.24948227091</v>
      </c>
      <c r="E11" s="3">
        <v>22130.276711350001</v>
      </c>
      <c r="F11" s="4">
        <v>1.068848483528837E-2</v>
      </c>
      <c r="G11" s="4">
        <v>8.5913209572516789E-4</v>
      </c>
    </row>
    <row r="12" spans="1:7" x14ac:dyDescent="0.25">
      <c r="A12" s="2" t="s">
        <v>11</v>
      </c>
      <c r="B12" s="2" t="s">
        <v>12</v>
      </c>
      <c r="C12" s="2">
        <v>2023</v>
      </c>
      <c r="D12" s="3">
        <v>647963.01508706179</v>
      </c>
      <c r="E12" s="3">
        <v>30679.58334573</v>
      </c>
      <c r="F12" s="4">
        <v>6.9744795028248326E-4</v>
      </c>
      <c r="G12" s="4">
        <v>1.104087647419581E-4</v>
      </c>
    </row>
    <row r="13" spans="1:7" x14ac:dyDescent="0.25">
      <c r="A13" s="2" t="s">
        <v>11</v>
      </c>
      <c r="B13" s="2" t="s">
        <v>12</v>
      </c>
      <c r="C13" s="2">
        <v>2022</v>
      </c>
      <c r="D13" s="3">
        <v>585416.38894337451</v>
      </c>
      <c r="E13" s="3">
        <v>80201.013479729998</v>
      </c>
      <c r="F13" s="4">
        <v>3.0546519921711193E-4</v>
      </c>
      <c r="G13" s="4">
        <v>1.7612261076438901E-4</v>
      </c>
    </row>
    <row r="15" spans="1:7" x14ac:dyDescent="0.25">
      <c r="B15" s="7" t="s">
        <v>13</v>
      </c>
      <c r="D15" s="3">
        <f>MEDIAN(D2:D13)</f>
        <v>1093853.40159167</v>
      </c>
    </row>
    <row r="17" spans="1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5">
        <f t="shared" si="0"/>
        <v>1.2079395573083082E-2</v>
      </c>
      <c r="G17" s="5">
        <f t="shared" si="0"/>
        <v>2.5947743971152693E-3</v>
      </c>
    </row>
    <row r="18" spans="1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5">
        <f t="shared" si="1"/>
        <v>4.7951477392346132E-3</v>
      </c>
      <c r="G18" s="5">
        <f t="shared" si="1"/>
        <v>2.2454820234090326E-3</v>
      </c>
    </row>
    <row r="20" spans="1:7" x14ac:dyDescent="0.25">
      <c r="B20" s="6" t="s">
        <v>16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  <row r="24" spans="1:7" x14ac:dyDescent="0.25">
      <c r="A24" s="1" t="s">
        <v>0</v>
      </c>
      <c r="B24" s="1" t="s">
        <v>1</v>
      </c>
      <c r="C24" s="1" t="s">
        <v>2</v>
      </c>
      <c r="D24" s="1" t="s">
        <v>3</v>
      </c>
      <c r="E24" s="1" t="s">
        <v>4</v>
      </c>
      <c r="F24" s="1" t="s">
        <v>5</v>
      </c>
      <c r="G24" s="1" t="s">
        <v>6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2312764.5271400302</v>
      </c>
      <c r="E25" s="3">
        <v>35420.059524999997</v>
      </c>
      <c r="F25" s="4">
        <v>5.6205038026400662E-3</v>
      </c>
      <c r="G25" s="4">
        <v>1.8864917830766969E-3</v>
      </c>
    </row>
    <row r="26" spans="1:7" x14ac:dyDescent="0.25">
      <c r="A26" s="2" t="s">
        <v>7</v>
      </c>
      <c r="B26" s="2" t="s">
        <v>8</v>
      </c>
      <c r="C26" s="2">
        <v>3</v>
      </c>
      <c r="D26" s="3">
        <v>2056038.0691327541</v>
      </c>
      <c r="E26" s="3">
        <v>35306.169047820003</v>
      </c>
      <c r="F26" s="4">
        <v>7.4585983781851224E-3</v>
      </c>
      <c r="G26" s="4">
        <v>1.5495337612500891E-3</v>
      </c>
    </row>
    <row r="27" spans="1:7" x14ac:dyDescent="0.25">
      <c r="A27" s="2" t="s">
        <v>7</v>
      </c>
      <c r="B27" s="2" t="s">
        <v>8</v>
      </c>
      <c r="C27" s="2">
        <v>2</v>
      </c>
      <c r="D27" s="3">
        <v>1713109.9518803279</v>
      </c>
      <c r="E27" s="3">
        <v>77023.192478700003</v>
      </c>
      <c r="F27" s="4">
        <v>9.4864560705148846E-3</v>
      </c>
      <c r="G27" s="4">
        <v>3.0572532777723999E-3</v>
      </c>
    </row>
    <row r="28" spans="1:7" x14ac:dyDescent="0.25">
      <c r="A28" s="2" t="s">
        <v>7</v>
      </c>
      <c r="B28" s="2" t="s">
        <v>8</v>
      </c>
      <c r="C28" s="2">
        <v>1</v>
      </c>
      <c r="D28" s="3">
        <v>1230284.2821290109</v>
      </c>
      <c r="E28" s="3">
        <v>94580.340012330009</v>
      </c>
      <c r="F28" s="4">
        <v>4.1181927359240046E-3</v>
      </c>
      <c r="G28" s="4">
        <v>2.9431664964802489E-3</v>
      </c>
    </row>
    <row r="30" spans="1:7" x14ac:dyDescent="0.25">
      <c r="B30" s="6" t="s">
        <v>14</v>
      </c>
      <c r="D30" s="3">
        <f>AVERAGE(D25:D26)</f>
        <v>2184401.2981363921</v>
      </c>
      <c r="E30" s="3">
        <f t="shared" ref="E30:G30" si="3">AVERAGE(E25:E26)</f>
        <v>35363.114286409997</v>
      </c>
      <c r="F30" s="5">
        <f t="shared" si="3"/>
        <v>6.5395510904125943E-3</v>
      </c>
      <c r="G30" s="5">
        <f t="shared" si="3"/>
        <v>1.718012772163393E-3</v>
      </c>
    </row>
    <row r="31" spans="1:7" x14ac:dyDescent="0.25">
      <c r="B31" s="6" t="s">
        <v>15</v>
      </c>
      <c r="D31" s="3">
        <f>AVERAGE(D27:D28)</f>
        <v>1471697.1170046693</v>
      </c>
      <c r="E31" s="3">
        <f t="shared" ref="E31:G31" si="4">AVERAGE(E27:E28)</f>
        <v>85801.766245514998</v>
      </c>
      <c r="F31" s="5">
        <f t="shared" si="4"/>
        <v>6.8023244032194442E-3</v>
      </c>
      <c r="G31" s="5">
        <f t="shared" si="4"/>
        <v>3.0002098871263244E-3</v>
      </c>
    </row>
    <row r="33" spans="1:11" x14ac:dyDescent="0.25">
      <c r="C33" s="6" t="s">
        <v>16</v>
      </c>
      <c r="D33" s="3">
        <f>D30/D31</f>
        <v>1.4842736816541999</v>
      </c>
      <c r="E33" s="3">
        <f t="shared" ref="E33:G33" si="5">E30/E31</f>
        <v>0.4121490248256805</v>
      </c>
      <c r="F33" s="3">
        <f t="shared" si="5"/>
        <v>0.96137007040086431</v>
      </c>
      <c r="G33" s="3">
        <f t="shared" si="5"/>
        <v>0.57263086143914699</v>
      </c>
    </row>
    <row r="35" spans="1:11" x14ac:dyDescent="0.25">
      <c r="C35" s="2">
        <f>MAX(C25:C28)</f>
        <v>4</v>
      </c>
      <c r="D35" s="2">
        <f t="shared" ref="D35:G35" si="6">MAX(D25:D28)</f>
        <v>2312764.5271400302</v>
      </c>
      <c r="E35" s="2">
        <f t="shared" si="6"/>
        <v>94580.340012330009</v>
      </c>
      <c r="F35" s="2">
        <f t="shared" si="6"/>
        <v>9.4864560705148846E-3</v>
      </c>
      <c r="G35" s="2">
        <f t="shared" si="6"/>
        <v>3.0572532777723999E-3</v>
      </c>
    </row>
    <row r="36" spans="1:11" x14ac:dyDescent="0.25">
      <c r="C36" s="8" t="s">
        <v>17</v>
      </c>
      <c r="D36" s="8" t="s">
        <v>3</v>
      </c>
      <c r="E36" s="1" t="s">
        <v>4</v>
      </c>
      <c r="F36" s="1" t="s">
        <v>5</v>
      </c>
      <c r="G36" s="1" t="s">
        <v>6</v>
      </c>
      <c r="I36" s="8"/>
      <c r="J36" s="8" t="s">
        <v>18</v>
      </c>
      <c r="K36" s="8" t="s">
        <v>19</v>
      </c>
    </row>
    <row r="37" spans="1:11" x14ac:dyDescent="0.25">
      <c r="C37" s="2">
        <f>C25/C$35</f>
        <v>1</v>
      </c>
      <c r="D37" s="2">
        <f t="shared" ref="D37:G37" si="7">D25/D$35</f>
        <v>1</v>
      </c>
      <c r="E37" s="2">
        <f t="shared" si="7"/>
        <v>0.37449706271284755</v>
      </c>
      <c r="F37" s="2">
        <f t="shared" si="7"/>
        <v>0.59247665944601891</v>
      </c>
      <c r="G37" s="2">
        <f t="shared" si="7"/>
        <v>0.61705446414673482</v>
      </c>
      <c r="I37" s="8">
        <v>71</v>
      </c>
      <c r="J37" s="9">
        <v>0.78951133158097364</v>
      </c>
      <c r="K37" s="9">
        <v>0.6713484394542768</v>
      </c>
    </row>
    <row r="38" spans="1:11" x14ac:dyDescent="0.25">
      <c r="C38" s="2">
        <f t="shared" ref="C38:G40" si="8">C26/C$35</f>
        <v>0.75</v>
      </c>
      <c r="D38" s="2">
        <f t="shared" si="8"/>
        <v>0.88899585107146872</v>
      </c>
      <c r="E38" s="2">
        <f t="shared" si="8"/>
        <v>0.3732928962109599</v>
      </c>
      <c r="F38" s="2">
        <f t="shared" si="8"/>
        <v>0.78623653793827153</v>
      </c>
      <c r="G38" s="2">
        <f t="shared" si="8"/>
        <v>0.50683853134311552</v>
      </c>
      <c r="I38" s="8">
        <v>72</v>
      </c>
      <c r="J38" s="3">
        <v>0.8324968816768088</v>
      </c>
      <c r="K38" s="3">
        <v>0.6782776485756381</v>
      </c>
    </row>
    <row r="39" spans="1:11" x14ac:dyDescent="0.25">
      <c r="C39" s="2">
        <f t="shared" si="8"/>
        <v>0.5</v>
      </c>
      <c r="D39" s="2">
        <f t="shared" si="8"/>
        <v>0.74071957251902487</v>
      </c>
      <c r="E39" s="2">
        <f t="shared" si="8"/>
        <v>0.81436789578742097</v>
      </c>
      <c r="F39" s="2">
        <f t="shared" si="8"/>
        <v>1</v>
      </c>
      <c r="G39" s="2">
        <f t="shared" si="8"/>
        <v>1</v>
      </c>
      <c r="I39" s="8">
        <v>73</v>
      </c>
      <c r="J39" s="3">
        <v>0.90690785588122536</v>
      </c>
      <c r="K39" s="3">
        <v>0.29242266909845338</v>
      </c>
    </row>
    <row r="40" spans="1:11" x14ac:dyDescent="0.25">
      <c r="C40" s="2">
        <f t="shared" si="8"/>
        <v>0.25</v>
      </c>
      <c r="D40" s="2">
        <f t="shared" si="8"/>
        <v>0.53195397442833625</v>
      </c>
      <c r="E40" s="2">
        <f t="shared" si="8"/>
        <v>1</v>
      </c>
      <c r="F40" s="2">
        <f t="shared" si="8"/>
        <v>0.4341128768543896</v>
      </c>
      <c r="G40" s="2">
        <f t="shared" si="8"/>
        <v>0.96268324181002174</v>
      </c>
    </row>
    <row r="41" spans="1:11" x14ac:dyDescent="0.25">
      <c r="I41" s="8" t="s">
        <v>20</v>
      </c>
      <c r="J41" s="3">
        <f>AVERAGE(J37:J39)</f>
        <v>0.84297202304633601</v>
      </c>
      <c r="K41" s="3">
        <f>AVERAGE(K37:K39)</f>
        <v>0.54734958570945613</v>
      </c>
    </row>
    <row r="42" spans="1:11" x14ac:dyDescent="0.25">
      <c r="C42" s="8" t="s">
        <v>3</v>
      </c>
      <c r="D42" s="8" t="s">
        <v>17</v>
      </c>
      <c r="E42" s="8" t="s">
        <v>4</v>
      </c>
      <c r="F42" s="8" t="s">
        <v>5</v>
      </c>
      <c r="G42" s="8" t="s">
        <v>6</v>
      </c>
    </row>
    <row r="43" spans="1:11" x14ac:dyDescent="0.25">
      <c r="C43" s="3">
        <v>0.53195397442833625</v>
      </c>
      <c r="D43" s="2">
        <v>0.25</v>
      </c>
      <c r="E43" s="2">
        <v>1</v>
      </c>
      <c r="F43" s="2">
        <v>0.4341128768543896</v>
      </c>
      <c r="G43" s="2">
        <v>0.96268324181002174</v>
      </c>
    </row>
    <row r="44" spans="1:11" x14ac:dyDescent="0.25">
      <c r="C44" s="3">
        <v>0.74071957251902487</v>
      </c>
      <c r="D44" s="2">
        <v>0.5</v>
      </c>
      <c r="E44" s="2">
        <v>0.81436789578742097</v>
      </c>
      <c r="F44" s="2">
        <v>1</v>
      </c>
      <c r="G44" s="2">
        <v>1</v>
      </c>
    </row>
    <row r="45" spans="1:11" x14ac:dyDescent="0.25">
      <c r="C45" s="3">
        <v>0.88899585107146872</v>
      </c>
      <c r="D45" s="2">
        <v>0.75</v>
      </c>
      <c r="E45" s="2">
        <v>0.3732928962109599</v>
      </c>
      <c r="F45" s="2">
        <v>0.78623653793827153</v>
      </c>
      <c r="G45" s="2">
        <v>0.50683853134311552</v>
      </c>
    </row>
    <row r="46" spans="1:11" x14ac:dyDescent="0.25">
      <c r="C46" s="3">
        <v>1</v>
      </c>
      <c r="D46" s="2">
        <v>1</v>
      </c>
      <c r="E46" s="2">
        <v>0.37449706271284755</v>
      </c>
      <c r="F46" s="2">
        <v>0.59247665944601891</v>
      </c>
      <c r="G46" s="2">
        <v>0.50683853134311552</v>
      </c>
    </row>
    <row r="48" spans="1:11" x14ac:dyDescent="0.2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1177149.00870383</v>
      </c>
      <c r="E49" s="3">
        <v>54257.120220599987</v>
      </c>
      <c r="F49" s="4">
        <v>3.1222927114860181E-2</v>
      </c>
      <c r="G49" s="4">
        <v>4.4066793598312361E-3</v>
      </c>
    </row>
    <row r="50" spans="1:12" x14ac:dyDescent="0.25">
      <c r="A50" s="2" t="s">
        <v>9</v>
      </c>
      <c r="B50" s="2" t="s">
        <v>10</v>
      </c>
      <c r="C50" s="2">
        <v>4</v>
      </c>
      <c r="D50" s="3">
        <v>1104497.8864203531</v>
      </c>
      <c r="E50" s="3">
        <v>55926.329561999992</v>
      </c>
      <c r="F50" s="4">
        <v>1.456969533637424E-2</v>
      </c>
      <c r="G50" s="4">
        <v>1.725521704280945E-3</v>
      </c>
    </row>
    <row r="51" spans="1:12" x14ac:dyDescent="0.25">
      <c r="A51" s="2" t="s">
        <v>9</v>
      </c>
      <c r="B51" s="2" t="s">
        <v>10</v>
      </c>
      <c r="C51" s="2">
        <v>1</v>
      </c>
      <c r="D51" s="3">
        <v>1083208.9167629869</v>
      </c>
      <c r="E51" s="3">
        <v>110639.49239553</v>
      </c>
      <c r="F51" s="4">
        <v>6.9333248439685724E-3</v>
      </c>
      <c r="G51" s="4">
        <v>1.1143475296256969E-3</v>
      </c>
    </row>
    <row r="52" spans="1:12" x14ac:dyDescent="0.25">
      <c r="A52" s="2" t="s">
        <v>9</v>
      </c>
      <c r="B52" s="2" t="s">
        <v>10</v>
      </c>
      <c r="C52" s="2">
        <v>2</v>
      </c>
      <c r="D52" s="3">
        <v>1077864.821598877</v>
      </c>
      <c r="E52" s="3">
        <v>73997.227386940009</v>
      </c>
      <c r="F52" s="4">
        <v>9.7692142174449353E-3</v>
      </c>
      <c r="G52" s="4">
        <v>9.558347653642385E-3</v>
      </c>
    </row>
    <row r="54" spans="1:12" x14ac:dyDescent="0.25">
      <c r="B54" s="6" t="s">
        <v>14</v>
      </c>
      <c r="D54" s="3">
        <f>AVERAGE(D49:D50)</f>
        <v>1140823.4475620915</v>
      </c>
      <c r="E54" s="3">
        <f t="shared" ref="E54:G54" si="9">AVERAGE(E49:E50)</f>
        <v>55091.724891299993</v>
      </c>
      <c r="F54" s="5">
        <f t="shared" si="9"/>
        <v>2.2896311225617211E-2</v>
      </c>
      <c r="G54" s="5">
        <f t="shared" si="9"/>
        <v>3.0661005320560906E-3</v>
      </c>
    </row>
    <row r="55" spans="1:12" x14ac:dyDescent="0.25">
      <c r="B55" s="6" t="s">
        <v>15</v>
      </c>
      <c r="D55" s="3">
        <f>AVERAGE(D51:D52)</f>
        <v>1080536.8691809319</v>
      </c>
      <c r="E55" s="3">
        <f t="shared" ref="E55:G55" si="10">AVERAGE(E51:E52)</f>
        <v>92318.359891235013</v>
      </c>
      <c r="F55" s="5">
        <f t="shared" si="10"/>
        <v>8.3512695307067543E-3</v>
      </c>
      <c r="G55" s="5">
        <f t="shared" si="10"/>
        <v>5.3363475916340412E-3</v>
      </c>
    </row>
    <row r="57" spans="1:12" x14ac:dyDescent="0.25">
      <c r="C57" s="6" t="s">
        <v>16</v>
      </c>
      <c r="D57" s="3">
        <f>D54/D55</f>
        <v>1.0557931710621387</v>
      </c>
      <c r="E57" s="3">
        <f t="shared" ref="E57:G57" si="11">E54/E55</f>
        <v>0.59675805501967727</v>
      </c>
      <c r="F57" s="3">
        <f t="shared" si="11"/>
        <v>2.741656360321008</v>
      </c>
      <c r="G57" s="3">
        <f t="shared" si="11"/>
        <v>0.57456911856021375</v>
      </c>
    </row>
    <row r="59" spans="1:12" x14ac:dyDescent="0.25">
      <c r="C59" s="2">
        <f>MAX(C49:C52)</f>
        <v>4</v>
      </c>
      <c r="D59" s="2">
        <f t="shared" ref="D59:G59" si="12">MAX(D49:D52)</f>
        <v>1177149.00870383</v>
      </c>
      <c r="E59" s="2">
        <f t="shared" si="12"/>
        <v>110639.49239553</v>
      </c>
      <c r="F59" s="2">
        <f t="shared" si="12"/>
        <v>3.1222927114860181E-2</v>
      </c>
      <c r="G59" s="2">
        <f t="shared" si="12"/>
        <v>9.558347653642385E-3</v>
      </c>
    </row>
    <row r="60" spans="1:12" x14ac:dyDescent="0.25">
      <c r="C60" s="8" t="s">
        <v>17</v>
      </c>
      <c r="D60" s="8" t="s">
        <v>3</v>
      </c>
      <c r="E60" s="1" t="s">
        <v>4</v>
      </c>
      <c r="F60" s="1" t="s">
        <v>5</v>
      </c>
      <c r="G60" s="1" t="s">
        <v>6</v>
      </c>
      <c r="J60" s="2"/>
      <c r="K60" s="8" t="s">
        <v>18</v>
      </c>
      <c r="L60" s="8" t="s">
        <v>19</v>
      </c>
    </row>
    <row r="61" spans="1:12" x14ac:dyDescent="0.25">
      <c r="C61" s="2">
        <f t="shared" ref="C61:G64" si="13">C49/C$59</f>
        <v>0.75</v>
      </c>
      <c r="D61" s="2">
        <f t="shared" si="13"/>
        <v>1</v>
      </c>
      <c r="E61" s="2">
        <f t="shared" si="13"/>
        <v>0.490395599670991</v>
      </c>
      <c r="F61" s="2">
        <f t="shared" si="13"/>
        <v>1</v>
      </c>
      <c r="G61" s="2">
        <f t="shared" si="13"/>
        <v>0.46102940795964764</v>
      </c>
      <c r="J61" s="8">
        <v>71</v>
      </c>
      <c r="K61" s="3">
        <f>0.5*(D46*E46+E46*F46+F46*G46+G46*D46)</f>
        <v>0.70175318133655629</v>
      </c>
      <c r="L61" s="3">
        <f>0.5*(D43*E43+E43*F43+F43*G43+G43*D43)</f>
        <v>0.6713484394542768</v>
      </c>
    </row>
    <row r="62" spans="1:12" x14ac:dyDescent="0.25">
      <c r="C62" s="2">
        <f t="shared" si="13"/>
        <v>1</v>
      </c>
      <c r="D62" s="2">
        <f t="shared" si="13"/>
        <v>0.93828213612185452</v>
      </c>
      <c r="E62" s="2">
        <f t="shared" si="13"/>
        <v>0.50548252121463544</v>
      </c>
      <c r="F62" s="2">
        <f t="shared" si="13"/>
        <v>0.46663451132485162</v>
      </c>
      <c r="G62" s="2">
        <f t="shared" si="13"/>
        <v>0.18052510400407995</v>
      </c>
      <c r="J62" s="8"/>
      <c r="K62" s="3"/>
      <c r="L62" s="3"/>
    </row>
    <row r="63" spans="1:12" x14ac:dyDescent="0.25">
      <c r="C63" s="2">
        <f t="shared" si="13"/>
        <v>0.25</v>
      </c>
      <c r="D63" s="2">
        <f t="shared" si="13"/>
        <v>0.92019694087473147</v>
      </c>
      <c r="E63" s="2">
        <f t="shared" si="13"/>
        <v>1</v>
      </c>
      <c r="F63" s="2">
        <f t="shared" si="13"/>
        <v>0.22205877169885008</v>
      </c>
      <c r="G63" s="2">
        <f t="shared" si="13"/>
        <v>0.11658369940133473</v>
      </c>
    </row>
    <row r="64" spans="1:12" x14ac:dyDescent="0.25">
      <c r="C64" s="2">
        <f t="shared" si="13"/>
        <v>0.5</v>
      </c>
      <c r="D64" s="2">
        <f t="shared" si="13"/>
        <v>0.91565707793079165</v>
      </c>
      <c r="E64" s="2">
        <f t="shared" si="13"/>
        <v>0.66881387273907633</v>
      </c>
      <c r="F64" s="2">
        <f t="shared" si="13"/>
        <v>0.31288591814299799</v>
      </c>
      <c r="G64" s="2">
        <f t="shared" si="13"/>
        <v>1</v>
      </c>
    </row>
    <row r="66" spans="1:7" x14ac:dyDescent="0.25">
      <c r="C66" s="8" t="s">
        <v>3</v>
      </c>
      <c r="D66" s="8" t="s">
        <v>17</v>
      </c>
      <c r="E66" s="8" t="s">
        <v>4</v>
      </c>
      <c r="F66" s="8" t="s">
        <v>5</v>
      </c>
      <c r="G66" s="8" t="s">
        <v>6</v>
      </c>
    </row>
    <row r="67" spans="1:7" x14ac:dyDescent="0.25">
      <c r="C67" s="3">
        <v>0.91565707793079165</v>
      </c>
      <c r="D67" s="2">
        <v>0.5</v>
      </c>
      <c r="E67" s="2">
        <v>0.66881387273907633</v>
      </c>
      <c r="F67" s="2">
        <v>0.31288591814299799</v>
      </c>
      <c r="G67" s="2">
        <v>1</v>
      </c>
    </row>
    <row r="68" spans="1:7" x14ac:dyDescent="0.25">
      <c r="C68" s="3">
        <v>0.92019694087473147</v>
      </c>
      <c r="D68" s="2">
        <v>0.25</v>
      </c>
      <c r="E68" s="2">
        <v>1</v>
      </c>
      <c r="F68" s="2">
        <v>0.22205877169885008</v>
      </c>
      <c r="G68" s="2">
        <v>0.11658369940133473</v>
      </c>
    </row>
    <row r="69" spans="1:7" x14ac:dyDescent="0.25">
      <c r="C69" s="3">
        <v>0.93828213612185452</v>
      </c>
      <c r="D69" s="2">
        <v>1</v>
      </c>
      <c r="E69" s="2">
        <v>0.50548252121463544</v>
      </c>
      <c r="F69" s="2">
        <v>0.46663451132485162</v>
      </c>
      <c r="G69" s="2">
        <v>0.18052510400407995</v>
      </c>
    </row>
    <row r="70" spans="1:7" x14ac:dyDescent="0.25">
      <c r="C70" s="3">
        <v>1</v>
      </c>
      <c r="D70" s="2">
        <v>0.75</v>
      </c>
      <c r="E70" s="2">
        <v>0.490395599670991</v>
      </c>
      <c r="F70" s="2">
        <v>1</v>
      </c>
      <c r="G70" s="2">
        <v>0.46102940795964764</v>
      </c>
    </row>
    <row r="72" spans="1:7" x14ac:dyDescent="0.25">
      <c r="A72" s="1" t="s">
        <v>0</v>
      </c>
      <c r="B72" s="1" t="s">
        <v>1</v>
      </c>
      <c r="C72" s="1" t="s">
        <v>2</v>
      </c>
      <c r="D72" s="1" t="s">
        <v>3</v>
      </c>
      <c r="E72" s="1" t="s">
        <v>4</v>
      </c>
      <c r="F72" s="1" t="s">
        <v>5</v>
      </c>
      <c r="G72" s="1" t="s">
        <v>6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729412.67096789309</v>
      </c>
      <c r="E73" s="3">
        <v>60313.34351775</v>
      </c>
      <c r="F73" s="4">
        <v>3.7694938920620688E-4</v>
      </c>
      <c r="G73" s="4">
        <v>1.654533485954597E-3</v>
      </c>
    </row>
    <row r="74" spans="1:7" x14ac:dyDescent="0.25">
      <c r="A74" s="2" t="s">
        <v>11</v>
      </c>
      <c r="B74" s="2" t="s">
        <v>12</v>
      </c>
      <c r="C74" s="2">
        <v>1</v>
      </c>
      <c r="D74" s="3">
        <v>648447.24948227091</v>
      </c>
      <c r="E74" s="3">
        <v>22130.276711350001</v>
      </c>
      <c r="F74" s="4">
        <v>1.068848483528837E-2</v>
      </c>
      <c r="G74" s="4">
        <v>8.5913209572516789E-4</v>
      </c>
    </row>
    <row r="75" spans="1:7" x14ac:dyDescent="0.25">
      <c r="A75" s="2" t="s">
        <v>11</v>
      </c>
      <c r="B75" s="2" t="s">
        <v>12</v>
      </c>
      <c r="C75" s="2">
        <v>3</v>
      </c>
      <c r="D75" s="3">
        <v>647963.01508706179</v>
      </c>
      <c r="E75" s="3">
        <v>30679.58334573</v>
      </c>
      <c r="F75" s="4">
        <v>6.9744795028248326E-4</v>
      </c>
      <c r="G75" s="4">
        <v>1.104087647419581E-4</v>
      </c>
    </row>
    <row r="76" spans="1:7" x14ac:dyDescent="0.25">
      <c r="A76" s="2" t="s">
        <v>11</v>
      </c>
      <c r="B76" s="2" t="s">
        <v>12</v>
      </c>
      <c r="C76" s="2">
        <v>2</v>
      </c>
      <c r="D76" s="3">
        <v>585416.38894337451</v>
      </c>
      <c r="E76" s="3">
        <v>80201.013479729998</v>
      </c>
      <c r="F76" s="4">
        <v>3.0546519921711193E-4</v>
      </c>
      <c r="G76" s="4">
        <v>1.7612261076438901E-4</v>
      </c>
    </row>
    <row r="78" spans="1:7" x14ac:dyDescent="0.25">
      <c r="B78" s="6" t="s">
        <v>14</v>
      </c>
      <c r="D78" s="3">
        <f>AVERAGE(D73:D74)</f>
        <v>688929.960225082</v>
      </c>
      <c r="E78" s="3">
        <f t="shared" ref="E78:G78" si="14">AVERAGE(E73:E74)</f>
        <v>41221.810114549997</v>
      </c>
      <c r="F78" s="5">
        <f t="shared" si="14"/>
        <v>5.5327171122472882E-3</v>
      </c>
      <c r="G78" s="5">
        <f t="shared" si="14"/>
        <v>1.2568327908398826E-3</v>
      </c>
    </row>
    <row r="79" spans="1:7" x14ac:dyDescent="0.25">
      <c r="B79" s="6" t="s">
        <v>15</v>
      </c>
      <c r="D79" s="3">
        <f>AVERAGE(D75:D76)</f>
        <v>616689.70201521809</v>
      </c>
      <c r="E79" s="3">
        <f t="shared" ref="E79:G79" si="15">AVERAGE(E75:E76)</f>
        <v>55440.298412730001</v>
      </c>
      <c r="F79" s="5">
        <f t="shared" si="15"/>
        <v>5.0145657474979762E-4</v>
      </c>
      <c r="G79" s="5">
        <f t="shared" si="15"/>
        <v>1.4326568775317356E-4</v>
      </c>
    </row>
    <row r="81" spans="3:12" x14ac:dyDescent="0.25">
      <c r="C81" s="6" t="s">
        <v>16</v>
      </c>
      <c r="D81" s="3">
        <f>D78/D79</f>
        <v>1.1171419888702492</v>
      </c>
      <c r="E81" s="3">
        <f t="shared" ref="E81:G81" si="16">E78/E79</f>
        <v>0.74353514130949905</v>
      </c>
      <c r="F81" s="3">
        <f t="shared" si="16"/>
        <v>11.033292593696363</v>
      </c>
      <c r="G81" s="3">
        <f t="shared" si="16"/>
        <v>8.7727411256017351</v>
      </c>
    </row>
    <row r="83" spans="3:12" x14ac:dyDescent="0.25">
      <c r="C83" s="2">
        <f>MAX(C73:C76)</f>
        <v>4</v>
      </c>
      <c r="D83" s="2">
        <f t="shared" ref="D83:G83" si="17">MAX(D73:D76)</f>
        <v>729412.67096789309</v>
      </c>
      <c r="E83" s="2">
        <f t="shared" si="17"/>
        <v>80201.013479729998</v>
      </c>
      <c r="F83" s="2">
        <f t="shared" si="17"/>
        <v>1.068848483528837E-2</v>
      </c>
      <c r="G83" s="2">
        <f t="shared" si="17"/>
        <v>1.654533485954597E-3</v>
      </c>
    </row>
    <row r="84" spans="3:12" x14ac:dyDescent="0.25">
      <c r="C84" s="8" t="s">
        <v>17</v>
      </c>
      <c r="D84" s="8" t="s">
        <v>3</v>
      </c>
      <c r="E84" s="1" t="s">
        <v>4</v>
      </c>
      <c r="F84" s="1" t="s">
        <v>5</v>
      </c>
      <c r="G84" s="1" t="s">
        <v>6</v>
      </c>
      <c r="J84" s="2"/>
      <c r="K84" s="8" t="s">
        <v>18</v>
      </c>
      <c r="L84" s="8" t="s">
        <v>19</v>
      </c>
    </row>
    <row r="85" spans="3:12" x14ac:dyDescent="0.25">
      <c r="C85" s="2">
        <f t="shared" ref="C85:G88" si="18">C73/C$83</f>
        <v>1</v>
      </c>
      <c r="D85" s="2">
        <f t="shared" si="18"/>
        <v>1</v>
      </c>
      <c r="E85" s="2">
        <f t="shared" si="18"/>
        <v>0.75202719892054226</v>
      </c>
      <c r="F85" s="2">
        <f t="shared" si="18"/>
        <v>3.5266868505225042E-2</v>
      </c>
      <c r="G85" s="2">
        <f t="shared" si="18"/>
        <v>1</v>
      </c>
      <c r="J85" s="8">
        <v>72</v>
      </c>
      <c r="K85" s="3">
        <f>0.5*(D70*E70+E70*F70+F70*G70+G70*D70)</f>
        <v>0.8324968816768088</v>
      </c>
      <c r="L85" s="3">
        <f>0.5*(D67*E67+E67*F67+F67*G67+G67*D67)</f>
        <v>0.6782776485756381</v>
      </c>
    </row>
    <row r="86" spans="3:12" x14ac:dyDescent="0.25">
      <c r="C86" s="2">
        <f t="shared" si="18"/>
        <v>0.25</v>
      </c>
      <c r="D86" s="2">
        <f t="shared" si="18"/>
        <v>0.88899915684466346</v>
      </c>
      <c r="E86" s="2">
        <f t="shared" si="18"/>
        <v>0.27593512539518228</v>
      </c>
      <c r="F86" s="2">
        <f t="shared" si="18"/>
        <v>1</v>
      </c>
      <c r="G86" s="2">
        <f t="shared" si="18"/>
        <v>0.51925941845140988</v>
      </c>
    </row>
    <row r="87" spans="3:12" x14ac:dyDescent="0.25">
      <c r="C87" s="2">
        <f t="shared" si="18"/>
        <v>0.75</v>
      </c>
      <c r="D87" s="2">
        <f t="shared" si="18"/>
        <v>0.88833528793412408</v>
      </c>
      <c r="E87" s="2">
        <f t="shared" si="18"/>
        <v>0.38253361166668992</v>
      </c>
      <c r="F87" s="2">
        <f t="shared" si="18"/>
        <v>6.5252274857502429E-2</v>
      </c>
      <c r="G87" s="2">
        <f t="shared" si="18"/>
        <v>6.6731054813470178E-2</v>
      </c>
    </row>
    <row r="88" spans="3:12" x14ac:dyDescent="0.25">
      <c r="C88" s="2">
        <f t="shared" si="18"/>
        <v>0.5</v>
      </c>
      <c r="D88" s="2">
        <f t="shared" si="18"/>
        <v>0.80258598766396128</v>
      </c>
      <c r="E88" s="2">
        <f t="shared" si="18"/>
        <v>1</v>
      </c>
      <c r="F88" s="2">
        <f t="shared" si="18"/>
        <v>2.8578905609577977E-2</v>
      </c>
      <c r="G88" s="2">
        <f t="shared" si="18"/>
        <v>0.10644850180398349</v>
      </c>
    </row>
    <row r="90" spans="3:12" x14ac:dyDescent="0.25">
      <c r="C90" s="8" t="s">
        <v>3</v>
      </c>
      <c r="D90" s="8" t="s">
        <v>17</v>
      </c>
      <c r="E90" s="8" t="s">
        <v>4</v>
      </c>
      <c r="F90" s="8" t="s">
        <v>5</v>
      </c>
      <c r="G90" s="8" t="s">
        <v>6</v>
      </c>
    </row>
    <row r="91" spans="3:12" x14ac:dyDescent="0.25">
      <c r="C91" s="3">
        <v>0.80258598766396128</v>
      </c>
      <c r="D91" s="2">
        <v>0.5</v>
      </c>
      <c r="E91" s="2">
        <v>1</v>
      </c>
      <c r="F91" s="2">
        <v>2.8578905609577977E-2</v>
      </c>
      <c r="G91" s="2">
        <v>0.10644850180398349</v>
      </c>
    </row>
    <row r="92" spans="3:12" x14ac:dyDescent="0.25">
      <c r="C92" s="3">
        <v>0.88833528793412408</v>
      </c>
      <c r="D92" s="2">
        <v>0.75</v>
      </c>
      <c r="E92" s="2">
        <v>0.38253361166668992</v>
      </c>
      <c r="F92" s="2">
        <v>6.5252274857502429E-2</v>
      </c>
      <c r="G92" s="2">
        <v>6.6731054813470178E-2</v>
      </c>
    </row>
    <row r="93" spans="3:12" x14ac:dyDescent="0.25">
      <c r="C93" s="3">
        <v>0.88899915684466346</v>
      </c>
      <c r="D93" s="2">
        <v>0.25</v>
      </c>
      <c r="E93" s="2">
        <v>0.27593512539518228</v>
      </c>
      <c r="F93" s="2">
        <v>1</v>
      </c>
      <c r="G93" s="2">
        <v>0.51925941845140988</v>
      </c>
    </row>
    <row r="94" spans="3:12" x14ac:dyDescent="0.25">
      <c r="C94" s="3">
        <v>1</v>
      </c>
      <c r="D94" s="2">
        <v>1</v>
      </c>
      <c r="E94" s="2">
        <v>0.75202719892054226</v>
      </c>
      <c r="F94" s="2">
        <v>3.5266868505225042E-2</v>
      </c>
      <c r="G94" s="2">
        <v>1</v>
      </c>
    </row>
    <row r="108" spans="10:12" x14ac:dyDescent="0.25">
      <c r="J108" s="2"/>
      <c r="K108" s="8" t="s">
        <v>18</v>
      </c>
      <c r="L108" s="8" t="s">
        <v>19</v>
      </c>
    </row>
    <row r="109" spans="10:12" x14ac:dyDescent="0.25">
      <c r="J109" s="8">
        <v>73</v>
      </c>
      <c r="K109" s="3">
        <f>0.5*(D94*E94+E94*F94+F94*G94+G94*D94)</f>
        <v>0.90690785588122536</v>
      </c>
      <c r="L109" s="3">
        <f>0.5*(D91*E91+E91*F91+F91*G91+G91*D91)</f>
        <v>0.29242266909845338</v>
      </c>
    </row>
    <row r="110" spans="10:12" x14ac:dyDescent="0.25">
      <c r="J110" s="2"/>
      <c r="K110" s="8"/>
      <c r="L110" s="8"/>
    </row>
    <row r="111" spans="10:12" x14ac:dyDescent="0.25">
      <c r="J111" s="8"/>
      <c r="K111" s="3"/>
      <c r="L111" s="3"/>
    </row>
  </sheetData>
  <sortState ref="C91:G94">
    <sortCondition ref="C94:C97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:D31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0:E31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0:F31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0:G31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9:D5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9:E5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:F5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9:G5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4:D5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4:E55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4:F5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4:G55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3:D7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3:E7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3:F7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3:G7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8:D7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8:E7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8:F7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8:G7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1"/>
  <sheetViews>
    <sheetView tabSelected="1" topLeftCell="B6" zoomScale="70" zoomScaleNormal="70" workbookViewId="0">
      <selection activeCell="AI31" sqref="AI31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2024</v>
      </c>
      <c r="D2" s="3">
        <v>2312764.5271400302</v>
      </c>
      <c r="E2" s="3">
        <v>35420.059524999997</v>
      </c>
      <c r="F2" s="4">
        <v>5.6205038026400662E-3</v>
      </c>
      <c r="G2" s="4">
        <v>1.8864917830766969E-3</v>
      </c>
    </row>
    <row r="3" spans="1:7" x14ac:dyDescent="0.25">
      <c r="A3" s="2" t="s">
        <v>7</v>
      </c>
      <c r="B3" s="2" t="s">
        <v>8</v>
      </c>
      <c r="C3" s="2">
        <v>2023</v>
      </c>
      <c r="D3" s="3">
        <v>2056038.0691327541</v>
      </c>
      <c r="E3" s="3">
        <v>35306.169047820003</v>
      </c>
      <c r="F3" s="4">
        <v>7.4585983781851224E-3</v>
      </c>
      <c r="G3" s="4">
        <v>1.5495337612500891E-3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1713109.9518803279</v>
      </c>
      <c r="E4" s="3">
        <v>77023.192478700003</v>
      </c>
      <c r="F4" s="4">
        <v>9.4864560705148846E-3</v>
      </c>
      <c r="G4" s="4">
        <v>3.0572532777723999E-3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1230284.2821290109</v>
      </c>
      <c r="E5" s="3">
        <v>94580.340012330009</v>
      </c>
      <c r="F5" s="4">
        <v>4.1181927359240046E-3</v>
      </c>
      <c r="G5" s="4">
        <v>2.9431664964802489E-3</v>
      </c>
    </row>
    <row r="6" spans="1:7" x14ac:dyDescent="0.25">
      <c r="A6" s="2" t="s">
        <v>9</v>
      </c>
      <c r="B6" s="2" t="s">
        <v>10</v>
      </c>
      <c r="C6" s="2">
        <v>2023</v>
      </c>
      <c r="D6" s="3">
        <v>1177149.00870383</v>
      </c>
      <c r="E6" s="3">
        <v>54257.120220599987</v>
      </c>
      <c r="F6" s="4">
        <v>3.1222927114860181E-2</v>
      </c>
      <c r="G6" s="4">
        <v>4.4066793598312361E-3</v>
      </c>
    </row>
    <row r="7" spans="1:7" x14ac:dyDescent="0.25">
      <c r="A7" s="2" t="s">
        <v>9</v>
      </c>
      <c r="B7" s="2" t="s">
        <v>10</v>
      </c>
      <c r="C7" s="2">
        <v>2024</v>
      </c>
      <c r="D7" s="3">
        <v>1104497.8864203531</v>
      </c>
      <c r="E7" s="3">
        <v>55926.329561999992</v>
      </c>
      <c r="F7" s="4">
        <v>1.456969533637424E-2</v>
      </c>
      <c r="G7" s="4">
        <v>1.725521704280945E-3</v>
      </c>
    </row>
    <row r="8" spans="1:7" x14ac:dyDescent="0.25">
      <c r="A8" s="2" t="s">
        <v>9</v>
      </c>
      <c r="B8" s="2" t="s">
        <v>10</v>
      </c>
      <c r="C8" s="2">
        <v>2021</v>
      </c>
      <c r="D8" s="3">
        <v>1083208.9167629869</v>
      </c>
      <c r="E8" s="3">
        <v>110639.49239553</v>
      </c>
      <c r="F8" s="4">
        <v>6.9333248439685724E-3</v>
      </c>
      <c r="G8" s="4">
        <v>1.1143475296256969E-3</v>
      </c>
    </row>
    <row r="9" spans="1:7" x14ac:dyDescent="0.25">
      <c r="A9" s="2" t="s">
        <v>9</v>
      </c>
      <c r="B9" s="2" t="s">
        <v>10</v>
      </c>
      <c r="C9" s="2">
        <v>2022</v>
      </c>
      <c r="D9" s="3">
        <v>1077864.821598877</v>
      </c>
      <c r="E9" s="3">
        <v>73997.227386940009</v>
      </c>
      <c r="F9" s="4">
        <v>9.7692142174449353E-3</v>
      </c>
      <c r="G9" s="4">
        <v>9.558347653642385E-3</v>
      </c>
    </row>
    <row r="10" spans="1:7" x14ac:dyDescent="0.25">
      <c r="A10" s="2" t="s">
        <v>11</v>
      </c>
      <c r="B10" s="2" t="s">
        <v>12</v>
      </c>
      <c r="C10" s="2">
        <v>2024</v>
      </c>
      <c r="D10" s="3">
        <v>729412.67096789309</v>
      </c>
      <c r="E10" s="3">
        <v>60313.34351775</v>
      </c>
      <c r="F10" s="4">
        <v>3.7694938920620688E-4</v>
      </c>
      <c r="G10" s="4">
        <v>1.654533485954597E-3</v>
      </c>
    </row>
    <row r="11" spans="1:7" x14ac:dyDescent="0.25">
      <c r="A11" s="2" t="s">
        <v>11</v>
      </c>
      <c r="B11" s="2" t="s">
        <v>12</v>
      </c>
      <c r="C11" s="2">
        <v>2021</v>
      </c>
      <c r="D11" s="3">
        <v>648447.24948227091</v>
      </c>
      <c r="E11" s="3">
        <v>22130.276711350001</v>
      </c>
      <c r="F11" s="4">
        <v>1.068848483528837E-2</v>
      </c>
      <c r="G11" s="4">
        <v>8.5913209572516789E-4</v>
      </c>
    </row>
    <row r="12" spans="1:7" x14ac:dyDescent="0.25">
      <c r="A12" s="2" t="s">
        <v>11</v>
      </c>
      <c r="B12" s="2" t="s">
        <v>12</v>
      </c>
      <c r="C12" s="2">
        <v>2023</v>
      </c>
      <c r="D12" s="3">
        <v>647963.01508706179</v>
      </c>
      <c r="E12" s="3">
        <v>30679.58334573</v>
      </c>
      <c r="F12" s="4">
        <v>6.9744795028248326E-4</v>
      </c>
      <c r="G12" s="4">
        <v>1.104087647419581E-4</v>
      </c>
    </row>
    <row r="13" spans="1:7" x14ac:dyDescent="0.25">
      <c r="A13" s="2" t="s">
        <v>11</v>
      </c>
      <c r="B13" s="2" t="s">
        <v>12</v>
      </c>
      <c r="C13" s="2">
        <v>2022</v>
      </c>
      <c r="D13" s="3">
        <v>585416.38894337451</v>
      </c>
      <c r="E13" s="3">
        <v>80201.013479729998</v>
      </c>
      <c r="F13" s="4">
        <v>3.0546519921711193E-4</v>
      </c>
      <c r="G13" s="4">
        <v>1.7612261076438901E-4</v>
      </c>
    </row>
    <row r="15" spans="1:7" x14ac:dyDescent="0.25">
      <c r="B15" s="7" t="s">
        <v>13</v>
      </c>
      <c r="D15" s="3">
        <f>MEDIAN(D2:D13)</f>
        <v>1093853.40159167</v>
      </c>
    </row>
    <row r="17" spans="1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5">
        <f t="shared" si="0"/>
        <v>1.2079395573083082E-2</v>
      </c>
      <c r="G17" s="5">
        <f t="shared" si="0"/>
        <v>2.5947743971152693E-3</v>
      </c>
    </row>
    <row r="18" spans="1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5">
        <f t="shared" si="1"/>
        <v>4.7951477392346132E-3</v>
      </c>
      <c r="G18" s="5">
        <f t="shared" si="1"/>
        <v>2.2454820234090326E-3</v>
      </c>
    </row>
    <row r="20" spans="1:7" x14ac:dyDescent="0.25">
      <c r="B20" s="6" t="s">
        <v>16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  <row r="24" spans="1:7" x14ac:dyDescent="0.25">
      <c r="A24" s="1" t="s">
        <v>0</v>
      </c>
      <c r="B24" s="1" t="s">
        <v>1</v>
      </c>
      <c r="C24" s="1" t="s">
        <v>2</v>
      </c>
      <c r="D24" s="1" t="s">
        <v>3</v>
      </c>
      <c r="E24" s="1" t="s">
        <v>4</v>
      </c>
      <c r="F24" s="1" t="s">
        <v>5</v>
      </c>
      <c r="G24" s="1" t="s">
        <v>6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2312764.5271400302</v>
      </c>
      <c r="E25" s="3">
        <v>35420.059524999997</v>
      </c>
      <c r="F25" s="4">
        <v>5.6205038026400662E-3</v>
      </c>
      <c r="G25" s="4">
        <v>1.8864917830766969E-3</v>
      </c>
    </row>
    <row r="26" spans="1:7" x14ac:dyDescent="0.25">
      <c r="A26" s="2" t="s">
        <v>7</v>
      </c>
      <c r="B26" s="2" t="s">
        <v>8</v>
      </c>
      <c r="C26" s="2">
        <v>3</v>
      </c>
      <c r="D26" s="3">
        <v>2056038.0691327541</v>
      </c>
      <c r="E26" s="3">
        <v>35306.169047820003</v>
      </c>
      <c r="F26" s="4">
        <v>7.4585983781851224E-3</v>
      </c>
      <c r="G26" s="4">
        <v>1.5495337612500891E-3</v>
      </c>
    </row>
    <row r="27" spans="1:7" x14ac:dyDescent="0.25">
      <c r="A27" s="2" t="s">
        <v>7</v>
      </c>
      <c r="B27" s="2" t="s">
        <v>8</v>
      </c>
      <c r="C27" s="2">
        <v>2</v>
      </c>
      <c r="D27" s="3">
        <v>1713109.9518803279</v>
      </c>
      <c r="E27" s="3">
        <v>77023.192478700003</v>
      </c>
      <c r="F27" s="4">
        <v>9.4864560705148846E-3</v>
      </c>
      <c r="G27" s="4">
        <v>3.0572532777723999E-3</v>
      </c>
    </row>
    <row r="28" spans="1:7" x14ac:dyDescent="0.25">
      <c r="A28" s="2" t="s">
        <v>7</v>
      </c>
      <c r="B28" s="2" t="s">
        <v>8</v>
      </c>
      <c r="C28" s="2">
        <v>1</v>
      </c>
      <c r="D28" s="3">
        <v>1230284.2821290109</v>
      </c>
      <c r="E28" s="3">
        <v>94580.340012330009</v>
      </c>
      <c r="F28" s="4">
        <v>4.1181927359240046E-3</v>
      </c>
      <c r="G28" s="4">
        <v>2.9431664964802489E-3</v>
      </c>
    </row>
    <row r="30" spans="1:7" x14ac:dyDescent="0.25">
      <c r="B30" s="6" t="s">
        <v>14</v>
      </c>
      <c r="D30" s="3">
        <f>AVERAGE(D25:D26)</f>
        <v>2184401.2981363921</v>
      </c>
      <c r="E30" s="3">
        <f t="shared" ref="E30:G30" si="3">AVERAGE(E25:E26)</f>
        <v>35363.114286409997</v>
      </c>
      <c r="F30" s="5">
        <f t="shared" si="3"/>
        <v>6.5395510904125943E-3</v>
      </c>
      <c r="G30" s="5">
        <f t="shared" si="3"/>
        <v>1.718012772163393E-3</v>
      </c>
    </row>
    <row r="31" spans="1:7" x14ac:dyDescent="0.25">
      <c r="B31" s="6" t="s">
        <v>15</v>
      </c>
      <c r="D31" s="3">
        <f>AVERAGE(D27:D28)</f>
        <v>1471697.1170046693</v>
      </c>
      <c r="E31" s="3">
        <f t="shared" ref="E31:G31" si="4">AVERAGE(E27:E28)</f>
        <v>85801.766245514998</v>
      </c>
      <c r="F31" s="5">
        <f t="shared" si="4"/>
        <v>6.8023244032194442E-3</v>
      </c>
      <c r="G31" s="5">
        <f t="shared" si="4"/>
        <v>3.0002098871263244E-3</v>
      </c>
    </row>
    <row r="33" spans="1:11" x14ac:dyDescent="0.25">
      <c r="C33" s="6" t="s">
        <v>16</v>
      </c>
      <c r="D33" s="3">
        <f>D30/D31</f>
        <v>1.4842736816541999</v>
      </c>
      <c r="E33" s="3">
        <f t="shared" ref="E33:G33" si="5">E30/E31</f>
        <v>0.4121490248256805</v>
      </c>
      <c r="F33" s="3">
        <f t="shared" si="5"/>
        <v>0.96137007040086431</v>
      </c>
      <c r="G33" s="3">
        <f t="shared" si="5"/>
        <v>0.57263086143914699</v>
      </c>
    </row>
    <row r="35" spans="1:11" x14ac:dyDescent="0.25">
      <c r="C35" s="2">
        <f>MAX(C25:C28)</f>
        <v>4</v>
      </c>
      <c r="D35" s="2">
        <f t="shared" ref="D35:G35" si="6">MAX(D25:D28)</f>
        <v>2312764.5271400302</v>
      </c>
      <c r="E35" s="2">
        <f t="shared" si="6"/>
        <v>94580.340012330009</v>
      </c>
      <c r="F35" s="2">
        <f t="shared" si="6"/>
        <v>9.4864560705148846E-3</v>
      </c>
      <c r="G35" s="2">
        <f t="shared" si="6"/>
        <v>3.0572532777723999E-3</v>
      </c>
    </row>
    <row r="36" spans="1:11" x14ac:dyDescent="0.25">
      <c r="C36" s="8" t="s">
        <v>17</v>
      </c>
      <c r="D36" s="8" t="s">
        <v>3</v>
      </c>
      <c r="E36" s="1" t="s">
        <v>4</v>
      </c>
      <c r="F36" s="1" t="s">
        <v>5</v>
      </c>
      <c r="G36" s="1" t="s">
        <v>6</v>
      </c>
      <c r="I36" s="8"/>
      <c r="J36" s="8" t="s">
        <v>18</v>
      </c>
      <c r="K36" s="8" t="s">
        <v>19</v>
      </c>
    </row>
    <row r="37" spans="1:11" x14ac:dyDescent="0.25">
      <c r="C37" s="2">
        <f>C25/C$35</f>
        <v>1</v>
      </c>
      <c r="D37" s="2">
        <f t="shared" ref="D37:G37" si="7">D25/D$35</f>
        <v>1</v>
      </c>
      <c r="E37" s="2">
        <f t="shared" si="7"/>
        <v>0.37449706271284755</v>
      </c>
      <c r="F37" s="2">
        <f t="shared" si="7"/>
        <v>0.59247665944601891</v>
      </c>
      <c r="G37" s="2">
        <f t="shared" si="7"/>
        <v>0.61705446414673482</v>
      </c>
      <c r="I37" s="8">
        <v>71</v>
      </c>
      <c r="J37" s="9">
        <v>0.78951133158097364</v>
      </c>
      <c r="K37" s="9">
        <v>0.6713484394542768</v>
      </c>
    </row>
    <row r="38" spans="1:11" x14ac:dyDescent="0.25">
      <c r="C38" s="2">
        <f t="shared" ref="C38:G40" si="8">C26/C$35</f>
        <v>0.75</v>
      </c>
      <c r="D38" s="2">
        <f t="shared" si="8"/>
        <v>0.88899585107146872</v>
      </c>
      <c r="E38" s="2">
        <f t="shared" si="8"/>
        <v>0.3732928962109599</v>
      </c>
      <c r="F38" s="2">
        <f t="shared" si="8"/>
        <v>0.78623653793827153</v>
      </c>
      <c r="G38" s="2">
        <f t="shared" si="8"/>
        <v>0.50683853134311552</v>
      </c>
      <c r="I38" s="8">
        <v>72</v>
      </c>
      <c r="J38" s="3">
        <v>0.8324968816768088</v>
      </c>
      <c r="K38" s="3">
        <v>0.6782776485756381</v>
      </c>
    </row>
    <row r="39" spans="1:11" x14ac:dyDescent="0.25">
      <c r="C39" s="2">
        <f t="shared" si="8"/>
        <v>0.5</v>
      </c>
      <c r="D39" s="2">
        <f t="shared" si="8"/>
        <v>0.74071957251902487</v>
      </c>
      <c r="E39" s="2">
        <f t="shared" si="8"/>
        <v>0.81436789578742097</v>
      </c>
      <c r="F39" s="2">
        <f t="shared" si="8"/>
        <v>1</v>
      </c>
      <c r="G39" s="2">
        <f t="shared" si="8"/>
        <v>1</v>
      </c>
      <c r="I39" s="8">
        <v>73</v>
      </c>
      <c r="J39" s="3">
        <v>0.90690785588122536</v>
      </c>
      <c r="K39" s="3">
        <v>0.29242266909845338</v>
      </c>
    </row>
    <row r="40" spans="1:11" x14ac:dyDescent="0.25">
      <c r="C40" s="2">
        <f t="shared" si="8"/>
        <v>0.25</v>
      </c>
      <c r="D40" s="2">
        <f t="shared" si="8"/>
        <v>0.53195397442833625</v>
      </c>
      <c r="E40" s="2">
        <f t="shared" si="8"/>
        <v>1</v>
      </c>
      <c r="F40" s="2">
        <f t="shared" si="8"/>
        <v>0.4341128768543896</v>
      </c>
      <c r="G40" s="2">
        <f t="shared" si="8"/>
        <v>0.96268324181002174</v>
      </c>
    </row>
    <row r="41" spans="1:11" x14ac:dyDescent="0.25">
      <c r="I41" s="8" t="s">
        <v>20</v>
      </c>
      <c r="J41" s="3">
        <f>AVERAGE(J37:J39)</f>
        <v>0.84297202304633601</v>
      </c>
      <c r="K41" s="3">
        <f>AVERAGE(K37:K39)</f>
        <v>0.54734958570945613</v>
      </c>
    </row>
    <row r="42" spans="1:11" x14ac:dyDescent="0.25">
      <c r="C42" s="8" t="s">
        <v>3</v>
      </c>
      <c r="D42" s="8" t="s">
        <v>17</v>
      </c>
      <c r="E42" s="8" t="s">
        <v>4</v>
      </c>
      <c r="F42" s="8" t="s">
        <v>5</v>
      </c>
      <c r="G42" s="8" t="s">
        <v>6</v>
      </c>
    </row>
    <row r="43" spans="1:11" x14ac:dyDescent="0.25">
      <c r="C43" s="3">
        <v>0.53195397442833625</v>
      </c>
      <c r="D43" s="2">
        <v>0.25</v>
      </c>
      <c r="E43" s="2">
        <v>1</v>
      </c>
      <c r="F43" s="2">
        <v>0.4341128768543896</v>
      </c>
      <c r="G43" s="2">
        <v>0.96268324181002174</v>
      </c>
    </row>
    <row r="44" spans="1:11" x14ac:dyDescent="0.25">
      <c r="C44" s="3">
        <v>0.74071957251902487</v>
      </c>
      <c r="D44" s="2">
        <v>0.5</v>
      </c>
      <c r="E44" s="2">
        <v>0.81436789578742097</v>
      </c>
      <c r="F44" s="2">
        <v>1</v>
      </c>
      <c r="G44" s="2">
        <v>1</v>
      </c>
    </row>
    <row r="45" spans="1:11" x14ac:dyDescent="0.25">
      <c r="C45" s="3">
        <v>0.88899585107146872</v>
      </c>
      <c r="D45" s="2">
        <v>0.75</v>
      </c>
      <c r="E45" s="2">
        <v>0.3732928962109599</v>
      </c>
      <c r="F45" s="2">
        <v>0.78623653793827153</v>
      </c>
      <c r="G45" s="2">
        <v>0.50683853134311552</v>
      </c>
    </row>
    <row r="46" spans="1:11" x14ac:dyDescent="0.25">
      <c r="C46" s="3">
        <v>1</v>
      </c>
      <c r="D46" s="2">
        <v>1</v>
      </c>
      <c r="E46" s="2">
        <v>0.37449706271284755</v>
      </c>
      <c r="F46" s="2">
        <v>0.59247665944601891</v>
      </c>
      <c r="G46" s="2">
        <v>0.50683853134311552</v>
      </c>
    </row>
    <row r="48" spans="1:11" x14ac:dyDescent="0.2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1177149.00870383</v>
      </c>
      <c r="E49" s="3">
        <v>54257.120220599987</v>
      </c>
      <c r="F49" s="4">
        <v>3.1222927114860181E-2</v>
      </c>
      <c r="G49" s="4">
        <v>4.4066793598312361E-3</v>
      </c>
    </row>
    <row r="50" spans="1:12" x14ac:dyDescent="0.25">
      <c r="A50" s="2" t="s">
        <v>9</v>
      </c>
      <c r="B50" s="2" t="s">
        <v>10</v>
      </c>
      <c r="C50" s="2">
        <v>4</v>
      </c>
      <c r="D50" s="3">
        <v>1104497.8864203531</v>
      </c>
      <c r="E50" s="3">
        <v>55926.329561999992</v>
      </c>
      <c r="F50" s="4">
        <v>1.456969533637424E-2</v>
      </c>
      <c r="G50" s="4">
        <v>1.725521704280945E-3</v>
      </c>
    </row>
    <row r="51" spans="1:12" x14ac:dyDescent="0.25">
      <c r="A51" s="2" t="s">
        <v>9</v>
      </c>
      <c r="B51" s="2" t="s">
        <v>10</v>
      </c>
      <c r="C51" s="2">
        <v>1</v>
      </c>
      <c r="D51" s="3">
        <v>1083208.9167629869</v>
      </c>
      <c r="E51" s="3">
        <v>110639.49239553</v>
      </c>
      <c r="F51" s="4">
        <v>6.9333248439685724E-3</v>
      </c>
      <c r="G51" s="4">
        <v>1.1143475296256969E-3</v>
      </c>
    </row>
    <row r="52" spans="1:12" x14ac:dyDescent="0.25">
      <c r="A52" s="2" t="s">
        <v>9</v>
      </c>
      <c r="B52" s="2" t="s">
        <v>10</v>
      </c>
      <c r="C52" s="2">
        <v>2</v>
      </c>
      <c r="D52" s="3">
        <v>1077864.821598877</v>
      </c>
      <c r="E52" s="3">
        <v>73997.227386940009</v>
      </c>
      <c r="F52" s="4">
        <v>9.7692142174449353E-3</v>
      </c>
      <c r="G52" s="4">
        <v>9.558347653642385E-3</v>
      </c>
    </row>
    <row r="54" spans="1:12" x14ac:dyDescent="0.25">
      <c r="B54" s="6" t="s">
        <v>14</v>
      </c>
      <c r="D54" s="3">
        <f>AVERAGE(D49:D50)</f>
        <v>1140823.4475620915</v>
      </c>
      <c r="E54" s="3">
        <f t="shared" ref="E54:G54" si="9">AVERAGE(E49:E50)</f>
        <v>55091.724891299993</v>
      </c>
      <c r="F54" s="5">
        <f t="shared" si="9"/>
        <v>2.2896311225617211E-2</v>
      </c>
      <c r="G54" s="5">
        <f t="shared" si="9"/>
        <v>3.0661005320560906E-3</v>
      </c>
    </row>
    <row r="55" spans="1:12" x14ac:dyDescent="0.25">
      <c r="B55" s="6" t="s">
        <v>15</v>
      </c>
      <c r="D55" s="3">
        <f>AVERAGE(D51:D52)</f>
        <v>1080536.8691809319</v>
      </c>
      <c r="E55" s="3">
        <f t="shared" ref="E55:G55" si="10">AVERAGE(E51:E52)</f>
        <v>92318.359891235013</v>
      </c>
      <c r="F55" s="5">
        <f t="shared" si="10"/>
        <v>8.3512695307067543E-3</v>
      </c>
      <c r="G55" s="5">
        <f t="shared" si="10"/>
        <v>5.3363475916340412E-3</v>
      </c>
    </row>
    <row r="57" spans="1:12" x14ac:dyDescent="0.25">
      <c r="C57" s="6" t="s">
        <v>16</v>
      </c>
      <c r="D57" s="3">
        <f>D54/D55</f>
        <v>1.0557931710621387</v>
      </c>
      <c r="E57" s="3">
        <f t="shared" ref="E57:G57" si="11">E54/E55</f>
        <v>0.59675805501967727</v>
      </c>
      <c r="F57" s="3">
        <f t="shared" si="11"/>
        <v>2.741656360321008</v>
      </c>
      <c r="G57" s="3">
        <f t="shared" si="11"/>
        <v>0.57456911856021375</v>
      </c>
    </row>
    <row r="59" spans="1:12" x14ac:dyDescent="0.25">
      <c r="C59" s="2">
        <f>MAX(C49:C52)</f>
        <v>4</v>
      </c>
      <c r="D59" s="2">
        <f t="shared" ref="D59:G59" si="12">MAX(D49:D52)</f>
        <v>1177149.00870383</v>
      </c>
      <c r="E59" s="2">
        <f t="shared" si="12"/>
        <v>110639.49239553</v>
      </c>
      <c r="F59" s="2">
        <f t="shared" si="12"/>
        <v>3.1222927114860181E-2</v>
      </c>
      <c r="G59" s="2">
        <f t="shared" si="12"/>
        <v>9.558347653642385E-3</v>
      </c>
    </row>
    <row r="60" spans="1:12" x14ac:dyDescent="0.25">
      <c r="C60" s="8" t="s">
        <v>17</v>
      </c>
      <c r="D60" s="8" t="s">
        <v>3</v>
      </c>
      <c r="E60" s="1" t="s">
        <v>4</v>
      </c>
      <c r="F60" s="1" t="s">
        <v>5</v>
      </c>
      <c r="G60" s="1" t="s">
        <v>6</v>
      </c>
      <c r="J60" s="2"/>
      <c r="K60" s="8" t="s">
        <v>18</v>
      </c>
      <c r="L60" s="8" t="s">
        <v>19</v>
      </c>
    </row>
    <row r="61" spans="1:12" x14ac:dyDescent="0.25">
      <c r="C61" s="2">
        <f t="shared" ref="C61:G64" si="13">C49/C$59</f>
        <v>0.75</v>
      </c>
      <c r="D61" s="2">
        <f t="shared" si="13"/>
        <v>1</v>
      </c>
      <c r="E61" s="2">
        <f t="shared" si="13"/>
        <v>0.490395599670991</v>
      </c>
      <c r="F61" s="2">
        <f t="shared" si="13"/>
        <v>1</v>
      </c>
      <c r="G61" s="2">
        <f t="shared" si="13"/>
        <v>0.46102940795964764</v>
      </c>
      <c r="J61" s="8">
        <v>71</v>
      </c>
      <c r="K61" s="3">
        <f>0.5*(D46*E46+E46*F46+F46*G46+G46*D46)</f>
        <v>0.70175318133655629</v>
      </c>
      <c r="L61" s="3">
        <f>0.5*(D43*E43+E43*F43+F43*G43+G43*D43)</f>
        <v>0.6713484394542768</v>
      </c>
    </row>
    <row r="62" spans="1:12" x14ac:dyDescent="0.25">
      <c r="C62" s="2">
        <f t="shared" si="13"/>
        <v>1</v>
      </c>
      <c r="D62" s="2">
        <f t="shared" si="13"/>
        <v>0.93828213612185452</v>
      </c>
      <c r="E62" s="2">
        <f t="shared" si="13"/>
        <v>0.50548252121463544</v>
      </c>
      <c r="F62" s="2">
        <f t="shared" si="13"/>
        <v>0.46663451132485162</v>
      </c>
      <c r="G62" s="2">
        <f t="shared" si="13"/>
        <v>0.18052510400407995</v>
      </c>
      <c r="J62" s="8"/>
      <c r="K62" s="3"/>
      <c r="L62" s="3"/>
    </row>
    <row r="63" spans="1:12" x14ac:dyDescent="0.25">
      <c r="C63" s="2">
        <f t="shared" si="13"/>
        <v>0.25</v>
      </c>
      <c r="D63" s="2">
        <f t="shared" si="13"/>
        <v>0.92019694087473147</v>
      </c>
      <c r="E63" s="2">
        <f t="shared" si="13"/>
        <v>1</v>
      </c>
      <c r="F63" s="2">
        <f t="shared" si="13"/>
        <v>0.22205877169885008</v>
      </c>
      <c r="G63" s="2">
        <f t="shared" si="13"/>
        <v>0.11658369940133473</v>
      </c>
    </row>
    <row r="64" spans="1:12" x14ac:dyDescent="0.25">
      <c r="C64" s="2">
        <f t="shared" si="13"/>
        <v>0.5</v>
      </c>
      <c r="D64" s="2">
        <f t="shared" si="13"/>
        <v>0.91565707793079165</v>
      </c>
      <c r="E64" s="2">
        <f t="shared" si="13"/>
        <v>0.66881387273907633</v>
      </c>
      <c r="F64" s="2">
        <f t="shared" si="13"/>
        <v>0.31288591814299799</v>
      </c>
      <c r="G64" s="2">
        <f t="shared" si="13"/>
        <v>1</v>
      </c>
    </row>
    <row r="66" spans="1:7" x14ac:dyDescent="0.25">
      <c r="C66" s="8" t="s">
        <v>3</v>
      </c>
      <c r="D66" s="8" t="s">
        <v>17</v>
      </c>
      <c r="E66" s="8" t="s">
        <v>4</v>
      </c>
      <c r="F66" s="8" t="s">
        <v>5</v>
      </c>
      <c r="G66" s="8" t="s">
        <v>6</v>
      </c>
    </row>
    <row r="67" spans="1:7" x14ac:dyDescent="0.25">
      <c r="C67" s="3">
        <v>0.91565707793079165</v>
      </c>
      <c r="D67" s="2">
        <v>0.5</v>
      </c>
      <c r="E67" s="2">
        <v>0.66881387273907633</v>
      </c>
      <c r="F67" s="2">
        <v>0.31288591814299799</v>
      </c>
      <c r="G67" s="2">
        <v>1</v>
      </c>
    </row>
    <row r="68" spans="1:7" x14ac:dyDescent="0.25">
      <c r="C68" s="3">
        <v>0.92019694087473147</v>
      </c>
      <c r="D68" s="2">
        <v>0.25</v>
      </c>
      <c r="E68" s="2">
        <v>1</v>
      </c>
      <c r="F68" s="2">
        <v>0.22205877169885008</v>
      </c>
      <c r="G68" s="2">
        <v>0.11658369940133473</v>
      </c>
    </row>
    <row r="69" spans="1:7" x14ac:dyDescent="0.25">
      <c r="C69" s="3">
        <v>0.93828213612185452</v>
      </c>
      <c r="D69" s="2">
        <v>1</v>
      </c>
      <c r="E69" s="2">
        <v>0.50548252121463544</v>
      </c>
      <c r="F69" s="2">
        <v>0.46663451132485162</v>
      </c>
      <c r="G69" s="2">
        <v>0.18052510400407995</v>
      </c>
    </row>
    <row r="70" spans="1:7" x14ac:dyDescent="0.25">
      <c r="C70" s="3">
        <v>1</v>
      </c>
      <c r="D70" s="2">
        <v>0.75</v>
      </c>
      <c r="E70" s="2">
        <v>0.490395599670991</v>
      </c>
      <c r="F70" s="2">
        <v>1</v>
      </c>
      <c r="G70" s="2">
        <v>0.46102940795964764</v>
      </c>
    </row>
    <row r="72" spans="1:7" x14ac:dyDescent="0.25">
      <c r="A72" s="1" t="s">
        <v>0</v>
      </c>
      <c r="B72" s="1" t="s">
        <v>1</v>
      </c>
      <c r="C72" s="1" t="s">
        <v>2</v>
      </c>
      <c r="D72" s="1" t="s">
        <v>3</v>
      </c>
      <c r="E72" s="1" t="s">
        <v>4</v>
      </c>
      <c r="F72" s="1" t="s">
        <v>5</v>
      </c>
      <c r="G72" s="1" t="s">
        <v>6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729412.67096789309</v>
      </c>
      <c r="E73" s="3">
        <v>60313.34351775</v>
      </c>
      <c r="F73" s="4">
        <v>3.7694938920620688E-4</v>
      </c>
      <c r="G73" s="4">
        <v>1.654533485954597E-3</v>
      </c>
    </row>
    <row r="74" spans="1:7" x14ac:dyDescent="0.25">
      <c r="A74" s="2" t="s">
        <v>11</v>
      </c>
      <c r="B74" s="2" t="s">
        <v>12</v>
      </c>
      <c r="C74" s="2">
        <v>1</v>
      </c>
      <c r="D74" s="3">
        <v>648447.24948227091</v>
      </c>
      <c r="E74" s="3">
        <v>22130.276711350001</v>
      </c>
      <c r="F74" s="4">
        <v>1.068848483528837E-2</v>
      </c>
      <c r="G74" s="4">
        <v>8.5913209572516789E-4</v>
      </c>
    </row>
    <row r="75" spans="1:7" x14ac:dyDescent="0.25">
      <c r="A75" s="2" t="s">
        <v>11</v>
      </c>
      <c r="B75" s="2" t="s">
        <v>12</v>
      </c>
      <c r="C75" s="2">
        <v>3</v>
      </c>
      <c r="D75" s="3">
        <v>647963.01508706179</v>
      </c>
      <c r="E75" s="3">
        <v>30679.58334573</v>
      </c>
      <c r="F75" s="4">
        <v>6.9744795028248326E-4</v>
      </c>
      <c r="G75" s="4">
        <v>1.104087647419581E-4</v>
      </c>
    </row>
    <row r="76" spans="1:7" x14ac:dyDescent="0.25">
      <c r="A76" s="2" t="s">
        <v>11</v>
      </c>
      <c r="B76" s="2" t="s">
        <v>12</v>
      </c>
      <c r="C76" s="2">
        <v>2</v>
      </c>
      <c r="D76" s="3">
        <v>585416.38894337451</v>
      </c>
      <c r="E76" s="3">
        <v>80201.013479729998</v>
      </c>
      <c r="F76" s="4">
        <v>3.0546519921711193E-4</v>
      </c>
      <c r="G76" s="4">
        <v>1.7612261076438901E-4</v>
      </c>
    </row>
    <row r="78" spans="1:7" x14ac:dyDescent="0.25">
      <c r="B78" s="6" t="s">
        <v>14</v>
      </c>
      <c r="D78" s="3">
        <f>AVERAGE(D73:D74)</f>
        <v>688929.960225082</v>
      </c>
      <c r="E78" s="3">
        <f t="shared" ref="E78:G78" si="14">AVERAGE(E73:E74)</f>
        <v>41221.810114549997</v>
      </c>
      <c r="F78" s="5">
        <f t="shared" si="14"/>
        <v>5.5327171122472882E-3</v>
      </c>
      <c r="G78" s="5">
        <f t="shared" si="14"/>
        <v>1.2568327908398826E-3</v>
      </c>
    </row>
    <row r="79" spans="1:7" x14ac:dyDescent="0.25">
      <c r="B79" s="6" t="s">
        <v>15</v>
      </c>
      <c r="D79" s="3">
        <f>AVERAGE(D75:D76)</f>
        <v>616689.70201521809</v>
      </c>
      <c r="E79" s="3">
        <f t="shared" ref="E79:G79" si="15">AVERAGE(E75:E76)</f>
        <v>55440.298412730001</v>
      </c>
      <c r="F79" s="5">
        <f t="shared" si="15"/>
        <v>5.0145657474979762E-4</v>
      </c>
      <c r="G79" s="5">
        <f t="shared" si="15"/>
        <v>1.4326568775317356E-4</v>
      </c>
    </row>
    <row r="81" spans="3:12" x14ac:dyDescent="0.25">
      <c r="C81" s="6" t="s">
        <v>16</v>
      </c>
      <c r="D81" s="3">
        <f>D78/D79</f>
        <v>1.1171419888702492</v>
      </c>
      <c r="E81" s="3">
        <f t="shared" ref="E81:G81" si="16">E78/E79</f>
        <v>0.74353514130949905</v>
      </c>
      <c r="F81" s="3">
        <f t="shared" si="16"/>
        <v>11.033292593696363</v>
      </c>
      <c r="G81" s="3">
        <f t="shared" si="16"/>
        <v>8.7727411256017351</v>
      </c>
    </row>
    <row r="83" spans="3:12" x14ac:dyDescent="0.25">
      <c r="C83" s="2">
        <f>MAX(C73:C76)</f>
        <v>4</v>
      </c>
      <c r="D83" s="2">
        <f t="shared" ref="D83:G83" si="17">MAX(D73:D76)</f>
        <v>729412.67096789309</v>
      </c>
      <c r="E83" s="2">
        <f t="shared" si="17"/>
        <v>80201.013479729998</v>
      </c>
      <c r="F83" s="2">
        <f t="shared" si="17"/>
        <v>1.068848483528837E-2</v>
      </c>
      <c r="G83" s="2">
        <f t="shared" si="17"/>
        <v>1.654533485954597E-3</v>
      </c>
    </row>
    <row r="84" spans="3:12" x14ac:dyDescent="0.25">
      <c r="C84" s="8" t="s">
        <v>17</v>
      </c>
      <c r="D84" s="8" t="s">
        <v>3</v>
      </c>
      <c r="E84" s="1" t="s">
        <v>4</v>
      </c>
      <c r="F84" s="1" t="s">
        <v>5</v>
      </c>
      <c r="G84" s="1" t="s">
        <v>6</v>
      </c>
      <c r="J84" s="2"/>
      <c r="K84" s="8" t="s">
        <v>18</v>
      </c>
      <c r="L84" s="8" t="s">
        <v>19</v>
      </c>
    </row>
    <row r="85" spans="3:12" x14ac:dyDescent="0.25">
      <c r="C85" s="2">
        <f t="shared" ref="C85:G88" si="18">C73/C$83</f>
        <v>1</v>
      </c>
      <c r="D85" s="2">
        <f t="shared" si="18"/>
        <v>1</v>
      </c>
      <c r="E85" s="2">
        <f t="shared" si="18"/>
        <v>0.75202719892054226</v>
      </c>
      <c r="F85" s="2">
        <f t="shared" si="18"/>
        <v>3.5266868505225042E-2</v>
      </c>
      <c r="G85" s="2">
        <f t="shared" si="18"/>
        <v>1</v>
      </c>
      <c r="J85" s="8">
        <v>72</v>
      </c>
      <c r="K85" s="3">
        <f>0.5*(D70*E70+E70*F70+F70*G70+G70*D70)</f>
        <v>0.8324968816768088</v>
      </c>
      <c r="L85" s="3">
        <f>0.5*(D67*E67+E67*F67+F67*G67+G67*D67)</f>
        <v>0.6782776485756381</v>
      </c>
    </row>
    <row r="86" spans="3:12" x14ac:dyDescent="0.25">
      <c r="C86" s="2">
        <f t="shared" si="18"/>
        <v>0.25</v>
      </c>
      <c r="D86" s="2">
        <f t="shared" si="18"/>
        <v>0.88899915684466346</v>
      </c>
      <c r="E86" s="2">
        <f t="shared" si="18"/>
        <v>0.27593512539518228</v>
      </c>
      <c r="F86" s="2">
        <f t="shared" si="18"/>
        <v>1</v>
      </c>
      <c r="G86" s="2">
        <f t="shared" si="18"/>
        <v>0.51925941845140988</v>
      </c>
    </row>
    <row r="87" spans="3:12" x14ac:dyDescent="0.25">
      <c r="C87" s="2">
        <f t="shared" si="18"/>
        <v>0.75</v>
      </c>
      <c r="D87" s="2">
        <f t="shared" si="18"/>
        <v>0.88833528793412408</v>
      </c>
      <c r="E87" s="2">
        <f t="shared" si="18"/>
        <v>0.38253361166668992</v>
      </c>
      <c r="F87" s="2">
        <f t="shared" si="18"/>
        <v>6.5252274857502429E-2</v>
      </c>
      <c r="G87" s="2">
        <f t="shared" si="18"/>
        <v>6.6731054813470178E-2</v>
      </c>
    </row>
    <row r="88" spans="3:12" x14ac:dyDescent="0.25">
      <c r="C88" s="2">
        <f t="shared" si="18"/>
        <v>0.5</v>
      </c>
      <c r="D88" s="2">
        <f t="shared" si="18"/>
        <v>0.80258598766396128</v>
      </c>
      <c r="E88" s="2">
        <f t="shared" si="18"/>
        <v>1</v>
      </c>
      <c r="F88" s="2">
        <f t="shared" si="18"/>
        <v>2.8578905609577977E-2</v>
      </c>
      <c r="G88" s="2">
        <f t="shared" si="18"/>
        <v>0.10644850180398349</v>
      </c>
    </row>
    <row r="90" spans="3:12" x14ac:dyDescent="0.25">
      <c r="C90" s="8" t="s">
        <v>3</v>
      </c>
      <c r="D90" s="8" t="s">
        <v>17</v>
      </c>
      <c r="E90" s="8" t="s">
        <v>4</v>
      </c>
      <c r="F90" s="8" t="s">
        <v>5</v>
      </c>
      <c r="G90" s="8" t="s">
        <v>6</v>
      </c>
    </row>
    <row r="91" spans="3:12" x14ac:dyDescent="0.25">
      <c r="C91" s="3">
        <v>0.80258598766396128</v>
      </c>
      <c r="D91" s="2">
        <v>0.5</v>
      </c>
      <c r="E91" s="2">
        <v>1</v>
      </c>
      <c r="F91" s="2">
        <v>2.8578905609577977E-2</v>
      </c>
      <c r="G91" s="2">
        <v>0.10644850180398349</v>
      </c>
    </row>
    <row r="92" spans="3:12" x14ac:dyDescent="0.25">
      <c r="C92" s="3">
        <v>0.88833528793412408</v>
      </c>
      <c r="D92" s="2">
        <v>0.75</v>
      </c>
      <c r="E92" s="2">
        <v>0.38253361166668992</v>
      </c>
      <c r="F92" s="2">
        <v>6.5252274857502429E-2</v>
      </c>
      <c r="G92" s="2">
        <v>6.6731054813470178E-2</v>
      </c>
    </row>
    <row r="93" spans="3:12" x14ac:dyDescent="0.25">
      <c r="C93" s="3">
        <v>0.88899915684466346</v>
      </c>
      <c r="D93" s="2">
        <v>0.25</v>
      </c>
      <c r="E93" s="2">
        <v>0.27593512539518228</v>
      </c>
      <c r="F93" s="2">
        <v>1</v>
      </c>
      <c r="G93" s="2">
        <v>0.51925941845140988</v>
      </c>
    </row>
    <row r="94" spans="3:12" x14ac:dyDescent="0.25">
      <c r="C94" s="3">
        <v>1</v>
      </c>
      <c r="D94" s="2">
        <v>1</v>
      </c>
      <c r="E94" s="2">
        <v>0.75202719892054226</v>
      </c>
      <c r="F94" s="2">
        <v>3.5266868505225042E-2</v>
      </c>
      <c r="G94" s="2">
        <v>1</v>
      </c>
    </row>
    <row r="108" spans="10:12" x14ac:dyDescent="0.25">
      <c r="J108" s="2"/>
      <c r="K108" s="8" t="s">
        <v>18</v>
      </c>
      <c r="L108" s="8" t="s">
        <v>19</v>
      </c>
    </row>
    <row r="109" spans="10:12" x14ac:dyDescent="0.25">
      <c r="J109" s="8">
        <v>73</v>
      </c>
      <c r="K109" s="3">
        <f>0.5*(D94*E94+E94*F94+F94*G94+G94*D94)</f>
        <v>0.90690785588122536</v>
      </c>
      <c r="L109" s="3">
        <f>0.5*(D91*E91+E91*F91+F91*G91+G91*D91)</f>
        <v>0.29242266909845338</v>
      </c>
    </row>
    <row r="110" spans="10:12" x14ac:dyDescent="0.25">
      <c r="J110" s="2"/>
      <c r="K110" s="8"/>
      <c r="L110" s="8"/>
    </row>
    <row r="111" spans="10:12" x14ac:dyDescent="0.25">
      <c r="J111" s="8"/>
      <c r="K111" s="3"/>
      <c r="L111" s="3"/>
    </row>
  </sheetData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:D31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0:E31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0:F31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0:G31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9:D5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9:E5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:F5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9:G5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4:D5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4:E55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4:F5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4:G55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3:D7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3:E7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3:F7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3:G7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8:D7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8:E7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8:F7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8:G7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2026-05-13T11:01:24Z</dcterms:created>
  <dcterms:modified xsi:type="dcterms:W3CDTF">2026-06-10T12:58:19Z</dcterms:modified>
</cp:coreProperties>
</file>