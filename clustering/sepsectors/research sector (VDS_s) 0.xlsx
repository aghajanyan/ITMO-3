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G53" i="1" l="1"/>
  <c r="F53" i="1"/>
  <c r="E53" i="1"/>
  <c r="D53" i="1"/>
  <c r="G52" i="1"/>
  <c r="G55" i="1" s="1"/>
  <c r="F52" i="1"/>
  <c r="F55" i="1" s="1"/>
  <c r="E52" i="1"/>
  <c r="E55" i="1" s="1"/>
  <c r="D52" i="1"/>
  <c r="D55" i="1" s="1"/>
  <c r="G44" i="1"/>
  <c r="G42" i="1"/>
  <c r="F42" i="1"/>
  <c r="E42" i="1"/>
  <c r="D42" i="1"/>
  <c r="G41" i="1"/>
  <c r="F41" i="1"/>
  <c r="F44" i="1" s="1"/>
  <c r="E41" i="1"/>
  <c r="E44" i="1" s="1"/>
  <c r="D41" i="1"/>
  <c r="D44" i="1" s="1"/>
  <c r="G31" i="1"/>
  <c r="F31" i="1"/>
  <c r="E31" i="1"/>
  <c r="D31" i="1"/>
  <c r="G30" i="1"/>
  <c r="G33" i="1" s="1"/>
  <c r="F30" i="1"/>
  <c r="F33" i="1" s="1"/>
  <c r="E30" i="1"/>
  <c r="E33" i="1" s="1"/>
  <c r="D30" i="1"/>
  <c r="D33" i="1" s="1"/>
  <c r="G20" i="1" l="1"/>
  <c r="F20" i="1"/>
  <c r="E20" i="1"/>
  <c r="D20" i="1"/>
  <c r="G18" i="1" l="1"/>
  <c r="F18" i="1"/>
  <c r="E18" i="1"/>
  <c r="D18" i="1"/>
  <c r="G17" i="1"/>
  <c r="F17" i="1"/>
  <c r="E17" i="1"/>
  <c r="D17" i="1"/>
  <c r="D15" i="1"/>
</calcChain>
</file>

<file path=xl/sharedStrings.xml><?xml version="1.0" encoding="utf-8"?>
<sst xmlns="http://schemas.openxmlformats.org/spreadsheetml/2006/main" count="89" uniqueCount="17">
  <si>
    <t>sector</t>
  </si>
  <si>
    <t>okved2</t>
  </si>
  <si>
    <t>year</t>
  </si>
  <si>
    <t>VDS_s</t>
  </si>
  <si>
    <t>ITcosts_s</t>
  </si>
  <si>
    <t>skvozcosts_s</t>
  </si>
  <si>
    <t>trainingcosts_s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</si>
  <si>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</si>
  <si>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</si>
  <si>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</si>
  <si>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</si>
  <si>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</si>
  <si>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</si>
  <si>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медиана ВДС:</t>
  </si>
  <si>
    <t>верхний кластер:</t>
  </si>
  <si>
    <t>нижний кластер:</t>
  </si>
  <si>
    <t>разница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</si>
</sst>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5"/>
  <sheetViews>
    <sheetView tabSelected="1" workbookViewId="0">
      <selection activeCell="I18" sqref="I18"/>
    </sheetView>
  </sheetViews>
  <sheetFormatPr defaultRowHeight="15" x14ac:dyDescent="0.25"/>
  <cols>
    <col min="1" max="1" width="120.28515625" customWidth="1"/>
    <col min="4" max="4" width="12" customWidth="1"/>
    <col min="5" max="5" width="12.140625" customWidth="1"/>
    <col min="6" max="6" width="15.85546875" customWidth="1"/>
    <col min="7" max="7" width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2024</v>
      </c>
      <c r="D2" s="3">
        <v>2312764.5271400302</v>
      </c>
      <c r="E2" s="3">
        <v>35420.059524999997</v>
      </c>
      <c r="F2" s="4">
        <v>5.6205038026400662E-3</v>
      </c>
      <c r="G2" s="4">
        <v>1.8864917830766969E-3</v>
      </c>
    </row>
    <row r="3" spans="1:7" x14ac:dyDescent="0.25">
      <c r="A3" s="2" t="s">
        <v>7</v>
      </c>
      <c r="B3" s="2" t="s">
        <v>8</v>
      </c>
      <c r="C3" s="2">
        <v>2023</v>
      </c>
      <c r="D3" s="3">
        <v>2056038.0691327541</v>
      </c>
      <c r="E3" s="3">
        <v>35306.169047820003</v>
      </c>
      <c r="F3" s="4">
        <v>7.4585983781851224E-3</v>
      </c>
      <c r="G3" s="4">
        <v>1.5495337612500891E-3</v>
      </c>
    </row>
    <row r="4" spans="1:7" x14ac:dyDescent="0.25">
      <c r="A4" s="2" t="s">
        <v>7</v>
      </c>
      <c r="B4" s="2" t="s">
        <v>8</v>
      </c>
      <c r="C4" s="2">
        <v>2022</v>
      </c>
      <c r="D4" s="3">
        <v>1713109.9518803279</v>
      </c>
      <c r="E4" s="3">
        <v>77023.192478700003</v>
      </c>
      <c r="F4" s="4">
        <v>9.4864560705148846E-3</v>
      </c>
      <c r="G4" s="4">
        <v>3.0572532777723999E-3</v>
      </c>
    </row>
    <row r="5" spans="1:7" x14ac:dyDescent="0.25">
      <c r="A5" s="2" t="s">
        <v>7</v>
      </c>
      <c r="B5" s="2" t="s">
        <v>8</v>
      </c>
      <c r="C5" s="2">
        <v>2021</v>
      </c>
      <c r="D5" s="3">
        <v>1230284.2821290109</v>
      </c>
      <c r="E5" s="3">
        <v>94580.340012330009</v>
      </c>
      <c r="F5" s="4">
        <v>4.1181927359240046E-3</v>
      </c>
      <c r="G5" s="4">
        <v>2.9431664964802489E-3</v>
      </c>
    </row>
    <row r="6" spans="1:7" x14ac:dyDescent="0.25">
      <c r="A6" s="2" t="s">
        <v>9</v>
      </c>
      <c r="B6" s="2" t="s">
        <v>10</v>
      </c>
      <c r="C6" s="2">
        <v>2023</v>
      </c>
      <c r="D6" s="3">
        <v>1177149.00870383</v>
      </c>
      <c r="E6" s="3">
        <v>54257.120220599987</v>
      </c>
      <c r="F6" s="4">
        <v>3.1222927114860181E-2</v>
      </c>
      <c r="G6" s="4">
        <v>4.4066793598312361E-3</v>
      </c>
    </row>
    <row r="7" spans="1:7" x14ac:dyDescent="0.25">
      <c r="A7" s="2" t="s">
        <v>9</v>
      </c>
      <c r="B7" s="2" t="s">
        <v>10</v>
      </c>
      <c r="C7" s="2">
        <v>2024</v>
      </c>
      <c r="D7" s="3">
        <v>1104497.8864203531</v>
      </c>
      <c r="E7" s="3">
        <v>55926.329561999992</v>
      </c>
      <c r="F7" s="4">
        <v>1.456969533637424E-2</v>
      </c>
      <c r="G7" s="4">
        <v>1.725521704280945E-3</v>
      </c>
    </row>
    <row r="8" spans="1:7" x14ac:dyDescent="0.25">
      <c r="A8" s="2" t="s">
        <v>9</v>
      </c>
      <c r="B8" s="2" t="s">
        <v>10</v>
      </c>
      <c r="C8" s="2">
        <v>2021</v>
      </c>
      <c r="D8" s="3">
        <v>1083208.9167629869</v>
      </c>
      <c r="E8" s="3">
        <v>110639.49239553</v>
      </c>
      <c r="F8" s="4">
        <v>6.9333248439685724E-3</v>
      </c>
      <c r="G8" s="4">
        <v>1.1143475296256969E-3</v>
      </c>
    </row>
    <row r="9" spans="1:7" x14ac:dyDescent="0.25">
      <c r="A9" s="2" t="s">
        <v>9</v>
      </c>
      <c r="B9" s="2" t="s">
        <v>10</v>
      </c>
      <c r="C9" s="2">
        <v>2022</v>
      </c>
      <c r="D9" s="3">
        <v>1077864.821598877</v>
      </c>
      <c r="E9" s="3">
        <v>73997.227386940009</v>
      </c>
      <c r="F9" s="4">
        <v>9.7692142174449353E-3</v>
      </c>
      <c r="G9" s="4">
        <v>9.558347653642385E-3</v>
      </c>
    </row>
    <row r="10" spans="1:7" x14ac:dyDescent="0.25">
      <c r="A10" s="2" t="s">
        <v>11</v>
      </c>
      <c r="B10" s="2" t="s">
        <v>12</v>
      </c>
      <c r="C10" s="2">
        <v>2024</v>
      </c>
      <c r="D10" s="3">
        <v>729412.67096789309</v>
      </c>
      <c r="E10" s="3">
        <v>60313.34351775</v>
      </c>
      <c r="F10" s="4">
        <v>3.7694938920620688E-4</v>
      </c>
      <c r="G10" s="4">
        <v>1.654533485954597E-3</v>
      </c>
    </row>
    <row r="11" spans="1:7" x14ac:dyDescent="0.25">
      <c r="A11" s="2" t="s">
        <v>11</v>
      </c>
      <c r="B11" s="2" t="s">
        <v>12</v>
      </c>
      <c r="C11" s="2">
        <v>2021</v>
      </c>
      <c r="D11" s="3">
        <v>648447.24948227091</v>
      </c>
      <c r="E11" s="3">
        <v>22130.276711350001</v>
      </c>
      <c r="F11" s="4">
        <v>1.068848483528837E-2</v>
      </c>
      <c r="G11" s="4">
        <v>8.5913209572516789E-4</v>
      </c>
    </row>
    <row r="12" spans="1:7" x14ac:dyDescent="0.25">
      <c r="A12" s="2" t="s">
        <v>11</v>
      </c>
      <c r="B12" s="2" t="s">
        <v>12</v>
      </c>
      <c r="C12" s="2">
        <v>2023</v>
      </c>
      <c r="D12" s="3">
        <v>647963.01508706179</v>
      </c>
      <c r="E12" s="3">
        <v>30679.58334573</v>
      </c>
      <c r="F12" s="4">
        <v>6.9744795028248326E-4</v>
      </c>
      <c r="G12" s="4">
        <v>1.104087647419581E-4</v>
      </c>
    </row>
    <row r="13" spans="1:7" x14ac:dyDescent="0.25">
      <c r="A13" s="2" t="s">
        <v>11</v>
      </c>
      <c r="B13" s="2" t="s">
        <v>12</v>
      </c>
      <c r="C13" s="2">
        <v>2022</v>
      </c>
      <c r="D13" s="3">
        <v>585416.38894337451</v>
      </c>
      <c r="E13" s="3">
        <v>80201.013479729998</v>
      </c>
      <c r="F13" s="4">
        <v>3.0546519921711193E-4</v>
      </c>
      <c r="G13" s="4">
        <v>1.7612261076438901E-4</v>
      </c>
    </row>
    <row r="15" spans="1:7" x14ac:dyDescent="0.25">
      <c r="B15" s="7" t="s">
        <v>13</v>
      </c>
      <c r="D15" s="3">
        <f>MEDIAN(D2:D13)</f>
        <v>1093853.40159167</v>
      </c>
    </row>
    <row r="17" spans="1:7" x14ac:dyDescent="0.25">
      <c r="B17" s="6" t="s">
        <v>14</v>
      </c>
      <c r="D17" s="3">
        <f>AVERAGE(D2:D7)</f>
        <v>1598973.9542343842</v>
      </c>
      <c r="E17" s="3">
        <f t="shared" ref="E17:G17" si="0">AVERAGE(E2:E7)</f>
        <v>58752.201807741658</v>
      </c>
      <c r="F17" s="5">
        <f t="shared" si="0"/>
        <v>1.2079395573083082E-2</v>
      </c>
      <c r="G17" s="5">
        <f t="shared" si="0"/>
        <v>2.5947743971152693E-3</v>
      </c>
    </row>
    <row r="18" spans="1:7" x14ac:dyDescent="0.25">
      <c r="B18" s="6" t="s">
        <v>15</v>
      </c>
      <c r="D18" s="3">
        <f>AVERAGE(D8:D13)</f>
        <v>795385.51047374401</v>
      </c>
      <c r="E18" s="3">
        <f t="shared" ref="E18:G18" si="1">AVERAGE(E8:E13)</f>
        <v>62993.48947283833</v>
      </c>
      <c r="F18" s="5">
        <f t="shared" si="1"/>
        <v>4.7951477392346132E-3</v>
      </c>
      <c r="G18" s="5">
        <f t="shared" si="1"/>
        <v>2.2454820234090326E-3</v>
      </c>
    </row>
    <row r="20" spans="1:7" x14ac:dyDescent="0.25">
      <c r="B20" s="6" t="s">
        <v>16</v>
      </c>
      <c r="D20" s="3">
        <f>D17/D18</f>
        <v>2.0103131540352179</v>
      </c>
      <c r="E20" s="3">
        <f t="shared" ref="E20:G20" si="2">E17/E18</f>
        <v>0.93267101567812905</v>
      </c>
      <c r="F20" s="3">
        <f t="shared" si="2"/>
        <v>2.5190872586151345</v>
      </c>
      <c r="G20" s="3">
        <f t="shared" si="2"/>
        <v>1.1555534045986038</v>
      </c>
    </row>
    <row r="24" spans="1:7" x14ac:dyDescent="0.25">
      <c r="A24" s="1" t="s">
        <v>0</v>
      </c>
      <c r="B24" s="1" t="s">
        <v>1</v>
      </c>
      <c r="C24" s="1" t="s">
        <v>2</v>
      </c>
      <c r="D24" s="1" t="s">
        <v>3</v>
      </c>
      <c r="E24" s="1" t="s">
        <v>4</v>
      </c>
      <c r="F24" s="1" t="s">
        <v>5</v>
      </c>
      <c r="G24" s="1" t="s">
        <v>6</v>
      </c>
    </row>
    <row r="25" spans="1:7" x14ac:dyDescent="0.25">
      <c r="A25" s="2" t="s">
        <v>7</v>
      </c>
      <c r="B25" s="2" t="s">
        <v>8</v>
      </c>
      <c r="C25" s="2">
        <v>2024</v>
      </c>
      <c r="D25" s="3">
        <v>2312764.5271400302</v>
      </c>
      <c r="E25" s="3">
        <v>35420.059524999997</v>
      </c>
      <c r="F25" s="4">
        <v>5.6205038026400662E-3</v>
      </c>
      <c r="G25" s="4">
        <v>1.8864917830766969E-3</v>
      </c>
    </row>
    <row r="26" spans="1:7" x14ac:dyDescent="0.25">
      <c r="A26" s="2" t="s">
        <v>7</v>
      </c>
      <c r="B26" s="2" t="s">
        <v>8</v>
      </c>
      <c r="C26" s="2">
        <v>2023</v>
      </c>
      <c r="D26" s="3">
        <v>2056038.0691327541</v>
      </c>
      <c r="E26" s="3">
        <v>35306.169047820003</v>
      </c>
      <c r="F26" s="4">
        <v>7.4585983781851224E-3</v>
      </c>
      <c r="G26" s="4">
        <v>1.5495337612500891E-3</v>
      </c>
    </row>
    <row r="27" spans="1:7" x14ac:dyDescent="0.25">
      <c r="A27" s="2" t="s">
        <v>7</v>
      </c>
      <c r="B27" s="2" t="s">
        <v>8</v>
      </c>
      <c r="C27" s="2">
        <v>2022</v>
      </c>
      <c r="D27" s="3">
        <v>1713109.9518803279</v>
      </c>
      <c r="E27" s="3">
        <v>77023.192478700003</v>
      </c>
      <c r="F27" s="4">
        <v>9.4864560705148846E-3</v>
      </c>
      <c r="G27" s="4">
        <v>3.0572532777723999E-3</v>
      </c>
    </row>
    <row r="28" spans="1:7" x14ac:dyDescent="0.25">
      <c r="A28" s="2" t="s">
        <v>7</v>
      </c>
      <c r="B28" s="2" t="s">
        <v>8</v>
      </c>
      <c r="C28" s="2">
        <v>2021</v>
      </c>
      <c r="D28" s="3">
        <v>1230284.2821290109</v>
      </c>
      <c r="E28" s="3">
        <v>94580.340012330009</v>
      </c>
      <c r="F28" s="4">
        <v>4.1181927359240046E-3</v>
      </c>
      <c r="G28" s="4">
        <v>2.9431664964802489E-3</v>
      </c>
    </row>
    <row r="30" spans="1:7" x14ac:dyDescent="0.25">
      <c r="B30" s="6" t="s">
        <v>14</v>
      </c>
      <c r="D30" s="3">
        <f>AVERAGE(D25:D26)</f>
        <v>2184401.2981363921</v>
      </c>
      <c r="E30" s="3">
        <f t="shared" ref="E30:G30" si="3">AVERAGE(E25:E26)</f>
        <v>35363.114286409997</v>
      </c>
      <c r="F30" s="5">
        <f t="shared" si="3"/>
        <v>6.5395510904125943E-3</v>
      </c>
      <c r="G30" s="5">
        <f t="shared" si="3"/>
        <v>1.718012772163393E-3</v>
      </c>
    </row>
    <row r="31" spans="1:7" x14ac:dyDescent="0.25">
      <c r="B31" s="6" t="s">
        <v>15</v>
      </c>
      <c r="D31" s="3">
        <f>AVERAGE(D27:D28)</f>
        <v>1471697.1170046693</v>
      </c>
      <c r="E31" s="3">
        <f t="shared" ref="E31:G31" si="4">AVERAGE(E27:E28)</f>
        <v>85801.766245514998</v>
      </c>
      <c r="F31" s="5">
        <f t="shared" si="4"/>
        <v>6.8023244032194442E-3</v>
      </c>
      <c r="G31" s="5">
        <f t="shared" si="4"/>
        <v>3.0002098871263244E-3</v>
      </c>
    </row>
    <row r="33" spans="1:7" x14ac:dyDescent="0.25">
      <c r="C33" s="6" t="s">
        <v>16</v>
      </c>
      <c r="D33" s="3">
        <f>D30/D31</f>
        <v>1.4842736816541999</v>
      </c>
      <c r="E33" s="3">
        <f t="shared" ref="E33:G33" si="5">E30/E31</f>
        <v>0.4121490248256805</v>
      </c>
      <c r="F33" s="3">
        <f t="shared" si="5"/>
        <v>0.96137007040086431</v>
      </c>
      <c r="G33" s="3">
        <f t="shared" si="5"/>
        <v>0.57263086143914699</v>
      </c>
    </row>
    <row r="35" spans="1:7" x14ac:dyDescent="0.25">
      <c r="A35" s="1" t="s">
        <v>0</v>
      </c>
      <c r="B35" s="1" t="s">
        <v>1</v>
      </c>
      <c r="C35" s="1" t="s">
        <v>2</v>
      </c>
      <c r="D35" s="1" t="s">
        <v>3</v>
      </c>
      <c r="E35" s="1" t="s">
        <v>4</v>
      </c>
      <c r="F35" s="1" t="s">
        <v>5</v>
      </c>
      <c r="G35" s="1" t="s">
        <v>6</v>
      </c>
    </row>
    <row r="36" spans="1:7" x14ac:dyDescent="0.25">
      <c r="A36" s="2" t="s">
        <v>9</v>
      </c>
      <c r="B36" s="2" t="s">
        <v>10</v>
      </c>
      <c r="C36" s="2">
        <v>2023</v>
      </c>
      <c r="D36" s="3">
        <v>1177149.00870383</v>
      </c>
      <c r="E36" s="3">
        <v>54257.120220599987</v>
      </c>
      <c r="F36" s="4">
        <v>3.1222927114860181E-2</v>
      </c>
      <c r="G36" s="4">
        <v>4.4066793598312361E-3</v>
      </c>
    </row>
    <row r="37" spans="1:7" x14ac:dyDescent="0.25">
      <c r="A37" s="2" t="s">
        <v>9</v>
      </c>
      <c r="B37" s="2" t="s">
        <v>10</v>
      </c>
      <c r="C37" s="2">
        <v>2024</v>
      </c>
      <c r="D37" s="3">
        <v>1104497.8864203531</v>
      </c>
      <c r="E37" s="3">
        <v>55926.329561999992</v>
      </c>
      <c r="F37" s="4">
        <v>1.456969533637424E-2</v>
      </c>
      <c r="G37" s="4">
        <v>1.725521704280945E-3</v>
      </c>
    </row>
    <row r="38" spans="1:7" x14ac:dyDescent="0.25">
      <c r="A38" s="2" t="s">
        <v>9</v>
      </c>
      <c r="B38" s="2" t="s">
        <v>10</v>
      </c>
      <c r="C38" s="2">
        <v>2021</v>
      </c>
      <c r="D38" s="3">
        <v>1083208.9167629869</v>
      </c>
      <c r="E38" s="3">
        <v>110639.49239553</v>
      </c>
      <c r="F38" s="4">
        <v>6.9333248439685724E-3</v>
      </c>
      <c r="G38" s="4">
        <v>1.1143475296256969E-3</v>
      </c>
    </row>
    <row r="39" spans="1:7" x14ac:dyDescent="0.25">
      <c r="A39" s="2" t="s">
        <v>9</v>
      </c>
      <c r="B39" s="2" t="s">
        <v>10</v>
      </c>
      <c r="C39" s="2">
        <v>2022</v>
      </c>
      <c r="D39" s="3">
        <v>1077864.821598877</v>
      </c>
      <c r="E39" s="3">
        <v>73997.227386940009</v>
      </c>
      <c r="F39" s="4">
        <v>9.7692142174449353E-3</v>
      </c>
      <c r="G39" s="4">
        <v>9.558347653642385E-3</v>
      </c>
    </row>
    <row r="41" spans="1:7" x14ac:dyDescent="0.25">
      <c r="B41" s="6" t="s">
        <v>14</v>
      </c>
      <c r="D41" s="3">
        <f>AVERAGE(D36:D37)</f>
        <v>1140823.4475620915</v>
      </c>
      <c r="E41" s="3">
        <f t="shared" ref="E41:G41" si="6">AVERAGE(E36:E37)</f>
        <v>55091.724891299993</v>
      </c>
      <c r="F41" s="5">
        <f t="shared" si="6"/>
        <v>2.2896311225617211E-2</v>
      </c>
      <c r="G41" s="5">
        <f t="shared" si="6"/>
        <v>3.0661005320560906E-3</v>
      </c>
    </row>
    <row r="42" spans="1:7" x14ac:dyDescent="0.25">
      <c r="B42" s="6" t="s">
        <v>15</v>
      </c>
      <c r="D42" s="3">
        <f>AVERAGE(D38:D39)</f>
        <v>1080536.8691809319</v>
      </c>
      <c r="E42" s="3">
        <f t="shared" ref="E42:G42" si="7">AVERAGE(E38:E39)</f>
        <v>92318.359891235013</v>
      </c>
      <c r="F42" s="5">
        <f t="shared" si="7"/>
        <v>8.3512695307067543E-3</v>
      </c>
      <c r="G42" s="5">
        <f t="shared" si="7"/>
        <v>5.3363475916340412E-3</v>
      </c>
    </row>
    <row r="44" spans="1:7" x14ac:dyDescent="0.25">
      <c r="C44" s="6" t="s">
        <v>16</v>
      </c>
      <c r="D44" s="3">
        <f>D41/D42</f>
        <v>1.0557931710621387</v>
      </c>
      <c r="E44" s="3">
        <f t="shared" ref="E44:G44" si="8">E41/E42</f>
        <v>0.59675805501967727</v>
      </c>
      <c r="F44" s="3">
        <f t="shared" si="8"/>
        <v>2.741656360321008</v>
      </c>
      <c r="G44" s="3">
        <f t="shared" si="8"/>
        <v>0.57456911856021375</v>
      </c>
    </row>
    <row r="46" spans="1:7" x14ac:dyDescent="0.25">
      <c r="A46" s="1" t="s">
        <v>0</v>
      </c>
      <c r="B46" s="1" t="s">
        <v>1</v>
      </c>
      <c r="C46" s="1" t="s">
        <v>2</v>
      </c>
      <c r="D46" s="1" t="s">
        <v>3</v>
      </c>
      <c r="E46" s="1" t="s">
        <v>4</v>
      </c>
      <c r="F46" s="1" t="s">
        <v>5</v>
      </c>
      <c r="G46" s="1" t="s">
        <v>6</v>
      </c>
    </row>
    <row r="47" spans="1:7" x14ac:dyDescent="0.25">
      <c r="A47" s="2" t="s">
        <v>11</v>
      </c>
      <c r="B47" s="2" t="s">
        <v>12</v>
      </c>
      <c r="C47" s="2">
        <v>2024</v>
      </c>
      <c r="D47" s="3">
        <v>729412.67096789309</v>
      </c>
      <c r="E47" s="3">
        <v>60313.34351775</v>
      </c>
      <c r="F47" s="4">
        <v>3.7694938920620688E-4</v>
      </c>
      <c r="G47" s="4">
        <v>1.654533485954597E-3</v>
      </c>
    </row>
    <row r="48" spans="1:7" x14ac:dyDescent="0.25">
      <c r="A48" s="2" t="s">
        <v>11</v>
      </c>
      <c r="B48" s="2" t="s">
        <v>12</v>
      </c>
      <c r="C48" s="2">
        <v>2021</v>
      </c>
      <c r="D48" s="3">
        <v>648447.24948227091</v>
      </c>
      <c r="E48" s="3">
        <v>22130.276711350001</v>
      </c>
      <c r="F48" s="4">
        <v>1.068848483528837E-2</v>
      </c>
      <c r="G48" s="4">
        <v>8.5913209572516789E-4</v>
      </c>
    </row>
    <row r="49" spans="1:7" x14ac:dyDescent="0.25">
      <c r="A49" s="2" t="s">
        <v>11</v>
      </c>
      <c r="B49" s="2" t="s">
        <v>12</v>
      </c>
      <c r="C49" s="2">
        <v>2023</v>
      </c>
      <c r="D49" s="3">
        <v>647963.01508706179</v>
      </c>
      <c r="E49" s="3">
        <v>30679.58334573</v>
      </c>
      <c r="F49" s="4">
        <v>6.9744795028248326E-4</v>
      </c>
      <c r="G49" s="4">
        <v>1.104087647419581E-4</v>
      </c>
    </row>
    <row r="50" spans="1:7" x14ac:dyDescent="0.25">
      <c r="A50" s="2" t="s">
        <v>11</v>
      </c>
      <c r="B50" s="2" t="s">
        <v>12</v>
      </c>
      <c r="C50" s="2">
        <v>2022</v>
      </c>
      <c r="D50" s="3">
        <v>585416.38894337451</v>
      </c>
      <c r="E50" s="3">
        <v>80201.013479729998</v>
      </c>
      <c r="F50" s="4">
        <v>3.0546519921711193E-4</v>
      </c>
      <c r="G50" s="4">
        <v>1.7612261076438901E-4</v>
      </c>
    </row>
    <row r="52" spans="1:7" x14ac:dyDescent="0.25">
      <c r="B52" s="6" t="s">
        <v>14</v>
      </c>
      <c r="D52" s="3">
        <f>AVERAGE(D47:D48)</f>
        <v>688929.960225082</v>
      </c>
      <c r="E52" s="3">
        <f t="shared" ref="E52:G52" si="9">AVERAGE(E47:E48)</f>
        <v>41221.810114549997</v>
      </c>
      <c r="F52" s="5">
        <f t="shared" si="9"/>
        <v>5.5327171122472882E-3</v>
      </c>
      <c r="G52" s="5">
        <f t="shared" si="9"/>
        <v>1.2568327908398826E-3</v>
      </c>
    </row>
    <row r="53" spans="1:7" x14ac:dyDescent="0.25">
      <c r="B53" s="6" t="s">
        <v>15</v>
      </c>
      <c r="D53" s="3">
        <f>AVERAGE(D49:D50)</f>
        <v>616689.70201521809</v>
      </c>
      <c r="E53" s="3">
        <f t="shared" ref="E53:G53" si="10">AVERAGE(E49:E50)</f>
        <v>55440.298412730001</v>
      </c>
      <c r="F53" s="5">
        <f t="shared" si="10"/>
        <v>5.0145657474979762E-4</v>
      </c>
      <c r="G53" s="5">
        <f t="shared" si="10"/>
        <v>1.4326568775317356E-4</v>
      </c>
    </row>
    <row r="55" spans="1:7" x14ac:dyDescent="0.25">
      <c r="C55" s="6" t="s">
        <v>16</v>
      </c>
      <c r="D55" s="3">
        <f>D52/D53</f>
        <v>1.1171419888702492</v>
      </c>
      <c r="E55" s="3">
        <f t="shared" ref="E55:G55" si="11">E52/E53</f>
        <v>0.74353514130949905</v>
      </c>
      <c r="F55" s="3">
        <f t="shared" si="11"/>
        <v>11.033292593696363</v>
      </c>
      <c r="G55" s="3">
        <f t="shared" si="11"/>
        <v>8.7727411256017351</v>
      </c>
    </row>
  </sheetData>
  <sortState ref="A2:G13">
    <sortCondition descending="1" ref="D2:D13"/>
  </sortState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:D2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5:E2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5:F28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5:G28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0:D31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0:E31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0:F31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0:G31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:D39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:E39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:F39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:G39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1:D42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1:E42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1:F42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1:G42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7:D5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7:E5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7:F5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7:G5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2026-05-13T11:01:24Z</dcterms:created>
  <dcterms:modified xsi:type="dcterms:W3CDTF">2026-05-22T09:15:15Z</dcterms:modified>
</cp:coreProperties>
</file>