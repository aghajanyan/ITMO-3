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sepsectors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20" i="1" l="1"/>
  <c r="F20" i="1"/>
  <c r="E20" i="1"/>
  <c r="D20" i="1"/>
  <c r="G18" i="1" l="1"/>
  <c r="F18" i="1"/>
  <c r="E18" i="1"/>
  <c r="D18" i="1"/>
  <c r="G17" i="1"/>
  <c r="F17" i="1"/>
  <c r="E17" i="1"/>
  <c r="D17" i="1"/>
  <c r="D15" i="1"/>
</calcChain>
</file>

<file path=xl/sharedStrings.xml><?xml version="1.0" encoding="utf-8"?>
<sst xmlns="http://schemas.openxmlformats.org/spreadsheetml/2006/main" count="35" uniqueCount="17">
  <si>
    <t>sector</t>
  </si>
  <si>
    <t>okved2</t>
  </si>
  <si>
    <t>year</t>
  </si>
  <si>
    <t>VDS_s</t>
  </si>
  <si>
    <t>ITcosts_s</t>
  </si>
  <si>
    <t>skvozcosts_s</t>
  </si>
  <si>
    <t>trainingcosts_s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</si>
  <si>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</si>
  <si>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71</t>
  </si>
  <si>
    <t>Научные исследования и разработки</t>
  </si>
  <si>
    <t>72</t>
  </si>
  <si>
    <t>Деятельность рекламная и исследование конъюнктуры рынка</t>
  </si>
  <si>
    <t>73</t>
  </si>
  <si>
    <t>медиана ВДС:</t>
  </si>
  <si>
    <t>верхний кластер:</t>
  </si>
  <si>
    <t>нижний кластер: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</si>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</sst>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F26" sqref="F26"/>
    </sheetView>
  </sheetViews>
  <sheetFormatPr defaultRowHeight="15" x14ac:dyDescent="0.25"/>
  <cols>
    <col min="1" max="1" width="120.28515625" customWidth="1"/>
    <col min="4" max="4" width="12" customWidth="1"/>
    <col min="5" max="5" width="12.140625" customWidth="1"/>
    <col min="6" max="6" width="15.85546875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2024</v>
      </c>
      <c r="D2" s="3">
        <v>2312764.5271400302</v>
      </c>
      <c r="E2" s="3">
        <v>35420.059524999997</v>
      </c>
      <c r="F2" s="4">
        <v>5.6205038026400662E-3</v>
      </c>
      <c r="G2" s="4">
        <v>1.8864917830766969E-3</v>
      </c>
    </row>
    <row r="3" spans="1:7" x14ac:dyDescent="0.25">
      <c r="A3" s="2" t="s">
        <v>7</v>
      </c>
      <c r="B3" s="2" t="s">
        <v>8</v>
      </c>
      <c r="C3" s="2">
        <v>2023</v>
      </c>
      <c r="D3" s="3">
        <v>2056038.0691327541</v>
      </c>
      <c r="E3" s="3">
        <v>35306.169047820003</v>
      </c>
      <c r="F3" s="4">
        <v>7.4585983781851224E-3</v>
      </c>
      <c r="G3" s="4">
        <v>1.5495337612500891E-3</v>
      </c>
    </row>
    <row r="4" spans="1:7" x14ac:dyDescent="0.25">
      <c r="A4" s="2" t="s">
        <v>7</v>
      </c>
      <c r="B4" s="2" t="s">
        <v>8</v>
      </c>
      <c r="C4" s="2">
        <v>2022</v>
      </c>
      <c r="D4" s="3">
        <v>1713109.9518803279</v>
      </c>
      <c r="E4" s="3">
        <v>77023.192478700003</v>
      </c>
      <c r="F4" s="4">
        <v>9.4864560705148846E-3</v>
      </c>
      <c r="G4" s="4">
        <v>3.0572532777723999E-3</v>
      </c>
    </row>
    <row r="5" spans="1:7" x14ac:dyDescent="0.25">
      <c r="A5" s="2" t="s">
        <v>7</v>
      </c>
      <c r="B5" s="2" t="s">
        <v>8</v>
      </c>
      <c r="C5" s="2">
        <v>2021</v>
      </c>
      <c r="D5" s="3">
        <v>1230284.2821290109</v>
      </c>
      <c r="E5" s="3">
        <v>94580.340012330009</v>
      </c>
      <c r="F5" s="4">
        <v>4.1181927359240046E-3</v>
      </c>
      <c r="G5" s="4">
        <v>2.9431664964802489E-3</v>
      </c>
    </row>
    <row r="6" spans="1:7" x14ac:dyDescent="0.25">
      <c r="A6" s="2" t="s">
        <v>9</v>
      </c>
      <c r="B6" s="2" t="s">
        <v>10</v>
      </c>
      <c r="C6" s="2">
        <v>2023</v>
      </c>
      <c r="D6" s="3">
        <v>1177149.00870383</v>
      </c>
      <c r="E6" s="3">
        <v>54257.120220599987</v>
      </c>
      <c r="F6" s="4">
        <v>3.1222927114860181E-2</v>
      </c>
      <c r="G6" s="4">
        <v>4.4066793598312361E-3</v>
      </c>
    </row>
    <row r="7" spans="1:7" x14ac:dyDescent="0.25">
      <c r="A7" s="2" t="s">
        <v>9</v>
      </c>
      <c r="B7" s="2" t="s">
        <v>10</v>
      </c>
      <c r="C7" s="2">
        <v>2024</v>
      </c>
      <c r="D7" s="3">
        <v>1104497.8864203531</v>
      </c>
      <c r="E7" s="3">
        <v>55926.329561999992</v>
      </c>
      <c r="F7" s="4">
        <v>1.456969533637424E-2</v>
      </c>
      <c r="G7" s="4">
        <v>1.725521704280945E-3</v>
      </c>
    </row>
    <row r="8" spans="1:7" x14ac:dyDescent="0.25">
      <c r="A8" s="2" t="s">
        <v>9</v>
      </c>
      <c r="B8" s="2" t="s">
        <v>10</v>
      </c>
      <c r="C8" s="2">
        <v>2021</v>
      </c>
      <c r="D8" s="3">
        <v>1083208.9167629869</v>
      </c>
      <c r="E8" s="3">
        <v>110639.49239553</v>
      </c>
      <c r="F8" s="4">
        <v>6.9333248439685724E-3</v>
      </c>
      <c r="G8" s="4">
        <v>1.1143475296256969E-3</v>
      </c>
    </row>
    <row r="9" spans="1:7" x14ac:dyDescent="0.25">
      <c r="A9" s="2" t="s">
        <v>9</v>
      </c>
      <c r="B9" s="2" t="s">
        <v>10</v>
      </c>
      <c r="C9" s="2">
        <v>2022</v>
      </c>
      <c r="D9" s="3">
        <v>1077864.821598877</v>
      </c>
      <c r="E9" s="3">
        <v>73997.227386940009</v>
      </c>
      <c r="F9" s="4">
        <v>9.7692142174449353E-3</v>
      </c>
      <c r="G9" s="4">
        <v>9.558347653642385E-3</v>
      </c>
    </row>
    <row r="10" spans="1:7" x14ac:dyDescent="0.25">
      <c r="A10" s="2" t="s">
        <v>11</v>
      </c>
      <c r="B10" s="2" t="s">
        <v>12</v>
      </c>
      <c r="C10" s="2">
        <v>2024</v>
      </c>
      <c r="D10" s="3">
        <v>729412.67096789309</v>
      </c>
      <c r="E10" s="3">
        <v>60313.34351775</v>
      </c>
      <c r="F10" s="4">
        <v>3.7694938920620688E-4</v>
      </c>
      <c r="G10" s="4">
        <v>1.654533485954597E-3</v>
      </c>
    </row>
    <row r="11" spans="1:7" x14ac:dyDescent="0.25">
      <c r="A11" s="2" t="s">
        <v>11</v>
      </c>
      <c r="B11" s="2" t="s">
        <v>12</v>
      </c>
      <c r="C11" s="2">
        <v>2021</v>
      </c>
      <c r="D11" s="3">
        <v>648447.24948227091</v>
      </c>
      <c r="E11" s="3">
        <v>22130.276711350001</v>
      </c>
      <c r="F11" s="4">
        <v>1.068848483528837E-2</v>
      </c>
      <c r="G11" s="4">
        <v>8.5913209572516789E-4</v>
      </c>
    </row>
    <row r="12" spans="1:7" x14ac:dyDescent="0.25">
      <c r="A12" s="2" t="s">
        <v>11</v>
      </c>
      <c r="B12" s="2" t="s">
        <v>12</v>
      </c>
      <c r="C12" s="2">
        <v>2023</v>
      </c>
      <c r="D12" s="3">
        <v>647963.01508706179</v>
      </c>
      <c r="E12" s="3">
        <v>30679.58334573</v>
      </c>
      <c r="F12" s="4">
        <v>6.9744795028248326E-4</v>
      </c>
      <c r="G12" s="4">
        <v>1.104087647419581E-4</v>
      </c>
    </row>
    <row r="13" spans="1:7" x14ac:dyDescent="0.25">
      <c r="A13" s="2" t="s">
        <v>11</v>
      </c>
      <c r="B13" s="2" t="s">
        <v>12</v>
      </c>
      <c r="C13" s="2">
        <v>2022</v>
      </c>
      <c r="D13" s="3">
        <v>585416.38894337451</v>
      </c>
      <c r="E13" s="3">
        <v>80201.013479729998</v>
      </c>
      <c r="F13" s="4">
        <v>3.0546519921711193E-4</v>
      </c>
      <c r="G13" s="4">
        <v>1.7612261076438901E-4</v>
      </c>
    </row>
    <row r="15" spans="1:7" x14ac:dyDescent="0.25">
      <c r="B15" s="7" t="s">
        <v>13</v>
      </c>
      <c r="D15" s="3">
        <f>MEDIAN(D2:D13)</f>
        <v>1093853.40159167</v>
      </c>
    </row>
    <row r="17" spans="2:7" x14ac:dyDescent="0.25">
      <c r="B17" s="6" t="s">
        <v>14</v>
      </c>
      <c r="D17" s="3">
        <f>AVERAGE(D2:D7)</f>
        <v>1598973.9542343842</v>
      </c>
      <c r="E17" s="3">
        <f t="shared" ref="E17:G17" si="0">AVERAGE(E2:E7)</f>
        <v>58752.201807741658</v>
      </c>
      <c r="F17" s="5">
        <f t="shared" si="0"/>
        <v>1.2079395573083082E-2</v>
      </c>
      <c r="G17" s="5">
        <f t="shared" si="0"/>
        <v>2.5947743971152693E-3</v>
      </c>
    </row>
    <row r="18" spans="2:7" x14ac:dyDescent="0.25">
      <c r="B18" s="6" t="s">
        <v>15</v>
      </c>
      <c r="D18" s="3">
        <f>AVERAGE(D8:D13)</f>
        <v>795385.51047374401</v>
      </c>
      <c r="E18" s="3">
        <f t="shared" ref="E18:G18" si="1">AVERAGE(E8:E13)</f>
        <v>62993.48947283833</v>
      </c>
      <c r="F18" s="5">
        <f t="shared" si="1"/>
        <v>4.7951477392346132E-3</v>
      </c>
      <c r="G18" s="5">
        <f t="shared" si="1"/>
        <v>2.2454820234090326E-3</v>
      </c>
    </row>
    <row r="20" spans="2:7" x14ac:dyDescent="0.25">
      <c r="B20" s="6" t="s">
        <v>16</v>
      </c>
      <c r="D20" s="3">
        <f>D17/D18</f>
        <v>2.0103131540352179</v>
      </c>
      <c r="E20" s="3">
        <f t="shared" ref="E20:G20" si="2">E17/E18</f>
        <v>0.93267101567812905</v>
      </c>
      <c r="F20" s="3">
        <f t="shared" si="2"/>
        <v>2.5190872586151345</v>
      </c>
      <c r="G20" s="3">
        <f t="shared" si="2"/>
        <v>1.1555534045986038</v>
      </c>
    </row>
  </sheetData>
  <sortState ref="A2:G13">
    <sortCondition descending="1" ref="D2:D13"/>
  </sortState>
  <conditionalFormatting sqref="D2:D1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1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1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7:D1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7:E1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7:F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:G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2026-05-13T11:01:24Z</dcterms:created>
  <dcterms:modified xsi:type="dcterms:W3CDTF">2026-05-13T11:04:37Z</dcterms:modified>
</cp:coreProperties>
</file>