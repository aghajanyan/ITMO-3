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VDS factors" sheetId="1" r:id="rId1"/>
    <sheet name="Index of potential AI imp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3" i="2" l="1"/>
  <c r="G73" i="2"/>
  <c r="G71" i="2"/>
  <c r="H71" i="2"/>
  <c r="H70" i="2"/>
  <c r="G70" i="2"/>
  <c r="H69" i="2"/>
  <c r="G69" i="2"/>
  <c r="H68" i="2"/>
  <c r="G68" i="2"/>
  <c r="H67" i="2"/>
  <c r="G67" i="2"/>
  <c r="H66" i="2"/>
  <c r="G66" i="2"/>
  <c r="D71" i="2"/>
  <c r="C71" i="2"/>
  <c r="D70" i="2"/>
  <c r="C70" i="2"/>
  <c r="D69" i="2"/>
  <c r="C69" i="2"/>
  <c r="D68" i="2"/>
  <c r="C68" i="2"/>
  <c r="D67" i="2"/>
  <c r="C67" i="2"/>
  <c r="D66" i="2"/>
  <c r="C66" i="2"/>
  <c r="H11" i="2"/>
  <c r="H25" i="2"/>
  <c r="H39" i="2"/>
  <c r="G39" i="2"/>
  <c r="H52" i="2"/>
  <c r="G52" i="2"/>
  <c r="H63" i="2"/>
  <c r="G63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C61" i="2"/>
  <c r="D61" i="2"/>
  <c r="D60" i="2"/>
  <c r="C60" i="2"/>
  <c r="D59" i="2"/>
  <c r="C59" i="2"/>
  <c r="D58" i="2"/>
  <c r="C58" i="2"/>
  <c r="D57" i="2"/>
  <c r="C57" i="2"/>
  <c r="D56" i="2"/>
  <c r="C56" i="2"/>
  <c r="D55" i="2"/>
  <c r="C55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C33" i="2" l="1"/>
  <c r="G33" i="2" s="1"/>
  <c r="D33" i="2"/>
  <c r="H33" i="2" s="1"/>
  <c r="C34" i="2"/>
  <c r="G34" i="2" s="1"/>
  <c r="D34" i="2"/>
  <c r="H34" i="2"/>
  <c r="C35" i="2"/>
  <c r="D35" i="2"/>
  <c r="H35" i="2" s="1"/>
  <c r="G35" i="2"/>
  <c r="C36" i="2"/>
  <c r="G36" i="2" s="1"/>
  <c r="D36" i="2"/>
  <c r="H36" i="2"/>
  <c r="C37" i="2"/>
  <c r="D37" i="2"/>
  <c r="H37" i="2" s="1"/>
  <c r="G37" i="2"/>
  <c r="H2" i="2"/>
  <c r="H14" i="2"/>
  <c r="H30" i="2"/>
  <c r="H31" i="2"/>
  <c r="H32" i="2"/>
  <c r="H29" i="2"/>
  <c r="D32" i="2"/>
  <c r="D31" i="2"/>
  <c r="D30" i="2"/>
  <c r="D29" i="2"/>
  <c r="C32" i="2"/>
  <c r="C31" i="2"/>
  <c r="C30" i="2"/>
  <c r="C29" i="2"/>
  <c r="H15" i="2"/>
  <c r="H16" i="2"/>
  <c r="H17" i="2"/>
  <c r="H18" i="2"/>
  <c r="H19" i="2"/>
  <c r="H20" i="2"/>
  <c r="H21" i="2"/>
  <c r="H22" i="2"/>
  <c r="H23" i="2"/>
  <c r="D22" i="2"/>
  <c r="D23" i="2"/>
  <c r="D21" i="2"/>
  <c r="D20" i="2"/>
  <c r="D19" i="2"/>
  <c r="D18" i="2"/>
  <c r="D17" i="2"/>
  <c r="D16" i="2"/>
  <c r="D15" i="2"/>
  <c r="D14" i="2"/>
  <c r="C15" i="2"/>
  <c r="C16" i="2"/>
  <c r="C17" i="2"/>
  <c r="C18" i="2"/>
  <c r="C19" i="2"/>
  <c r="C20" i="2"/>
  <c r="C21" i="2"/>
  <c r="C22" i="2"/>
  <c r="C23" i="2"/>
  <c r="C14" i="2"/>
  <c r="H3" i="2"/>
  <c r="H4" i="2"/>
  <c r="H5" i="2"/>
  <c r="H6" i="2"/>
  <c r="H7" i="2"/>
  <c r="H8" i="2"/>
  <c r="H9" i="2"/>
  <c r="D3" i="2"/>
  <c r="D4" i="2"/>
  <c r="D5" i="2"/>
  <c r="D6" i="2"/>
  <c r="D7" i="2"/>
  <c r="D8" i="2"/>
  <c r="D9" i="2"/>
  <c r="D2" i="2"/>
  <c r="C3" i="2"/>
  <c r="C4" i="2"/>
  <c r="C5" i="2"/>
  <c r="C6" i="2"/>
  <c r="C7" i="2"/>
  <c r="C8" i="2"/>
  <c r="C9" i="2"/>
  <c r="C2" i="2"/>
  <c r="G2" i="2" s="1"/>
  <c r="G4" i="2" l="1"/>
  <c r="G6" i="2"/>
  <c r="G31" i="2"/>
  <c r="G30" i="2" l="1"/>
  <c r="G32" i="2"/>
  <c r="G29" i="2"/>
  <c r="G15" i="2"/>
  <c r="G16" i="2"/>
  <c r="G17" i="2"/>
  <c r="G18" i="2"/>
  <c r="G19" i="2"/>
  <c r="G20" i="2"/>
  <c r="G21" i="2"/>
  <c r="G22" i="2"/>
  <c r="G23" i="2"/>
  <c r="G14" i="2"/>
  <c r="G3" i="2"/>
  <c r="G5" i="2"/>
  <c r="G7" i="2"/>
  <c r="G8" i="2"/>
  <c r="G9" i="2"/>
  <c r="G11" i="2"/>
  <c r="G25" i="2" l="1"/>
</calcChain>
</file>

<file path=xl/sharedStrings.xml><?xml version="1.0" encoding="utf-8"?>
<sst xmlns="http://schemas.openxmlformats.org/spreadsheetml/2006/main" count="224" uniqueCount="119">
  <si>
    <t>Сектор</t>
  </si>
  <si>
    <t>Факторы успеха/ВДС</t>
  </si>
  <si>
    <t>СЕЛЬСКОЕ, ЛЕСНОЕ ХОЗЯЙСТВО, ОХОТА, РЫБОЛОВСТВО И РЫБОВОДСТВО</t>
  </si>
  <si>
    <t>Рост урожайности, продуктивности животных и рыб</t>
  </si>
  <si>
    <t>Оптимизация использования природных ресурсов</t>
  </si>
  <si>
    <t>Селекция, генетическое улучшение и воспроизводство</t>
  </si>
  <si>
    <t>Защита от природных, биологических и климатических рисков</t>
  </si>
  <si>
    <t>Механизация, автоматизация и цифровизация производства</t>
  </si>
  <si>
    <t>Оптимизация производственных затрат и повышение ресурсоэффективности</t>
  </si>
  <si>
    <t>Снижение потерь и повышение эффективности хранения</t>
  </si>
  <si>
    <t>Увеличение степени переработки и качества продукции</t>
  </si>
  <si>
    <t>Оптимизация сбыта, ассортимента и рыночной специализации</t>
  </si>
  <si>
    <t>Класс задач</t>
  </si>
  <si>
    <t>ML|AI impact</t>
  </si>
  <si>
    <t>Прогнозирование (спрос, продажи, отток итд)</t>
  </si>
  <si>
    <t xml:space="preserve">10-30% </t>
  </si>
  <si>
    <t>Логистика</t>
  </si>
  <si>
    <t>Управление запасами</t>
  </si>
  <si>
    <t>10-30%</t>
  </si>
  <si>
    <t>Оптимизация энергопотребления</t>
  </si>
  <si>
    <t>Распознование</t>
  </si>
  <si>
    <t>30-90% (+ бесконечность)</t>
  </si>
  <si>
    <t>Оптимизация производства (брак, оборудование)</t>
  </si>
  <si>
    <t>Комб. поиск материалов (соединений)</t>
  </si>
  <si>
    <t>Комб. поиск лекарств</t>
  </si>
  <si>
    <t>Комб. селекция (лучшие генотипы)</t>
  </si>
  <si>
    <t>СЕКТОР А</t>
  </si>
  <si>
    <t>СЕКТОР В</t>
  </si>
  <si>
    <t>Поиск, разведка и оценка запасов месторождений</t>
  </si>
  <si>
    <t>ДОБЫЧА ПОЛЕЗНЫХ ИСКОПАЕМЫХ</t>
  </si>
  <si>
    <t>Оптимизация извлечения полезных ископаемых</t>
  </si>
  <si>
    <t>Геолого-геофизическое моделирование и прогнозирование</t>
  </si>
  <si>
    <t>Оптимизация производственных процессов и режимов добычи</t>
  </si>
  <si>
    <t>Повышение производительности и эффективности оборудования</t>
  </si>
  <si>
    <t>Снижение ресурсоёмкости и себестоимости добычи</t>
  </si>
  <si>
    <t>Управление рисками и обеспечение промышленной безопасности</t>
  </si>
  <si>
    <t>Повышение качества и концентрации добываемого сырья</t>
  </si>
  <si>
    <t>Оптимизация логистики и инфраструктуры добычи</t>
  </si>
  <si>
    <t>Комплексное освоение месторождений и сокращение потерь</t>
  </si>
  <si>
    <t>СЕКТОР С</t>
  </si>
  <si>
    <t>ОБРАБАТЫВАЮЩИЕ ПРОИЗВОДСТВА</t>
  </si>
  <si>
    <t>Повышение производительности и эффективности производственных процессов</t>
  </si>
  <si>
    <t>Автоматизация и цифровизация производства</t>
  </si>
  <si>
    <t>Оптимизация использования сырья, материалов и энергии</t>
  </si>
  <si>
    <t>Повышение качества и снижение брака</t>
  </si>
  <si>
    <t>Разработка новых продуктов, материалов и технологий</t>
  </si>
  <si>
    <t>Оптимизация производственного планирования и цепочек поставок</t>
  </si>
  <si>
    <t>Повышение сложности и технологичности продукции</t>
  </si>
  <si>
    <t>Снижение себестоимости и повышение экономической эффективности</t>
  </si>
  <si>
    <t>Адаптация продукции к требованиям рынка и расширение рынков сбыта</t>
  </si>
  <si>
    <t>Надёжность, безопасность и устойчивость производства</t>
  </si>
  <si>
    <t>СЕКТОР F</t>
  </si>
  <si>
    <t>СТРОИТЕЛЬСТВО</t>
  </si>
  <si>
    <t>Оптимизация проектирования и инженерных решений</t>
  </si>
  <si>
    <t>Оптимизация строительных процессов и последовательности работ</t>
  </si>
  <si>
    <t>Повышение производительности труда и техники</t>
  </si>
  <si>
    <t>Управление материалами и ресурсами</t>
  </si>
  <si>
    <t>Планирование сроков и управление проектами</t>
  </si>
  <si>
    <t>Контроль качества и выявление дефектов</t>
  </si>
  <si>
    <t>Управление рисками, безопасностью и надёжностью</t>
  </si>
  <si>
    <t>Оптимизация закупок и цепочек поставок</t>
  </si>
  <si>
    <t>Повышение качества и потребительской ценности объектов</t>
  </si>
  <si>
    <t>Индустриализация и внедрение новых строительных технологий</t>
  </si>
  <si>
    <t>СЕКТОР G</t>
  </si>
  <si>
    <t>ТОРГОВЛЯ ОПТОВАЯ И РОЗНИЧНАЯ; РЕМОНТ АВТОТРАНСПОРТНЫХ СРЕДСТВ И МОТОЦИКЛОВ</t>
  </si>
  <si>
    <t>Оптимизация ассортимента и товарной структуры</t>
  </si>
  <si>
    <t>Прогнозирование спроса и поведения покупателей</t>
  </si>
  <si>
    <t>Оптимизация закупок и цен</t>
  </si>
  <si>
    <t>Управление запасами и товарными потоками</t>
  </si>
  <si>
    <t>Оптимизация логистики и цепочек поставок</t>
  </si>
  <si>
    <t>Повышение эффективности продаж и взаимодействия с клиентом</t>
  </si>
  <si>
    <t>Автоматизация торговых и складских операций</t>
  </si>
  <si>
    <t>Повышение эффективности ремонта и технического обслуживания автомобилей и мотоциклов</t>
  </si>
  <si>
    <t>Развитие дополнительных услуг и повышение потребительской ценности</t>
  </si>
  <si>
    <t>СЕКТОР H</t>
  </si>
  <si>
    <t>ТРАНСПОРТИРОВКА И ХРАНЕНИЕ</t>
  </si>
  <si>
    <t>Оптимизация маршрутов и транспортных потоков</t>
  </si>
  <si>
    <t>Оптимизация загрузки транспортных средств и инфраструктуры</t>
  </si>
  <si>
    <t>Планирование и диспетчеризация перевозок</t>
  </si>
  <si>
    <t>Управление запасами и складскими операциями</t>
  </si>
  <si>
    <t>Прогнозирование спроса и транспортных потоков</t>
  </si>
  <si>
    <t>Повышение эффективности и технической готовности транспорта</t>
  </si>
  <si>
    <t>Безопасность и надёжность перевозок</t>
  </si>
  <si>
    <t>ДЕЯТЕЛЬНОСТЬ В ОБЛАСТИ ИНФОРМАЦИИ И СВЯЗИ</t>
  </si>
  <si>
    <t>СЕКТОР J</t>
  </si>
  <si>
    <t>Разработка новых цифровых продуктов, технологий и контента</t>
  </si>
  <si>
    <t>Повышение производительности и автоматизация информационных процессов</t>
  </si>
  <si>
    <t>Оптимизация информационных и телекоммуникационных систем</t>
  </si>
  <si>
    <t>Обработка, анализ и использование данных</t>
  </si>
  <si>
    <t>Повышение качества, надёжности и безопасности цифровых продуктов и инфраструктуры</t>
  </si>
  <si>
    <t>Прогнозирование спроса и поведения пользователей</t>
  </si>
  <si>
    <t>Масштабирование и эффективное распространение цифровых продуктов и услуг</t>
  </si>
  <si>
    <t>СЕКТОР K</t>
  </si>
  <si>
    <t>ДЕЯТЕЛЬНОСТЬ ФИНАНСОВАЯ И СТРАХОВАЯ</t>
  </si>
  <si>
    <t>Оценка кредитных и финансовых рисков</t>
  </si>
  <si>
    <t>Оптимизация распределения капитала и инвестиций</t>
  </si>
  <si>
    <t>Прогнозирование финансовых рынков и экономических показателей</t>
  </si>
  <si>
    <t>Оптимизация финансовых продуктов и условий</t>
  </si>
  <si>
    <t>Управление страховыми рисками и оценка вероятности страховых событий</t>
  </si>
  <si>
    <t>Выявление мошенничества, аномалий и финансовых нарушений</t>
  </si>
  <si>
    <t>Автоматизация и повышение производительности финансовых операций</t>
  </si>
  <si>
    <t>Significance</t>
  </si>
  <si>
    <t>Total =</t>
  </si>
  <si>
    <t>Impact (max)</t>
  </si>
  <si>
    <t>Impact (min)</t>
  </si>
  <si>
    <t>Index (min)</t>
  </si>
  <si>
    <t>min</t>
  </si>
  <si>
    <t>max</t>
  </si>
  <si>
    <t>Index (max)</t>
  </si>
  <si>
    <t>Capabilty (min)</t>
  </si>
  <si>
    <t>Capabilty (max)</t>
  </si>
  <si>
    <t xml:space="preserve">5-15% </t>
  </si>
  <si>
    <t>5-10%</t>
  </si>
  <si>
    <t>Сектор F (Строительство)</t>
  </si>
  <si>
    <t>Сектор C (Производство</t>
  </si>
  <si>
    <t>Сектор В (Добыча)</t>
  </si>
  <si>
    <t xml:space="preserve">ФАКТОРЫ ВДС (Сектор А - Сельхоз) </t>
  </si>
  <si>
    <t>Сектор G (Торговля)</t>
  </si>
  <si>
    <t>Сектор J (Информация и связь)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</si>
</sst>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15959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66CC"/>
      <color rgb="FFF1595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="85" zoomScaleNormal="85" workbookViewId="0">
      <selection activeCell="H8" sqref="H8:H9"/>
    </sheetView>
  </sheetViews>
  <sheetFormatPr defaultRowHeight="15" x14ac:dyDescent="0.25"/>
  <cols>
    <col min="1" max="1" width="45.85546875" customWidth="1"/>
    <col min="2" max="2" width="71.140625" customWidth="1"/>
    <col min="3" max="3" width="65.42578125" customWidth="1"/>
    <col min="4" max="4" width="64.85546875" customWidth="1"/>
    <col min="5" max="5" width="59.85546875" customWidth="1"/>
    <col min="6" max="6" width="65.7109375" customWidth="1"/>
    <col min="7" max="7" width="62.5703125" customWidth="1"/>
    <col min="8" max="8" width="71.85546875" customWidth="1"/>
    <col min="9" max="9" width="73" customWidth="1"/>
    <col min="10" max="10" width="57.140625" customWidth="1"/>
  </cols>
  <sheetData>
    <row r="1" spans="1:9" x14ac:dyDescent="0.25">
      <c r="B1" s="1" t="s">
        <v>26</v>
      </c>
      <c r="C1" s="1" t="s">
        <v>27</v>
      </c>
      <c r="D1" s="1" t="s">
        <v>39</v>
      </c>
      <c r="E1" s="1" t="s">
        <v>51</v>
      </c>
      <c r="F1" s="1" t="s">
        <v>63</v>
      </c>
      <c r="G1" s="1" t="s">
        <v>74</v>
      </c>
      <c r="H1" s="1" t="s">
        <v>84</v>
      </c>
      <c r="I1" s="1" t="s">
        <v>92</v>
      </c>
    </row>
    <row r="2" spans="1:9" x14ac:dyDescent="0.25">
      <c r="A2" s="1" t="s">
        <v>0</v>
      </c>
      <c r="B2" s="1" t="s">
        <v>2</v>
      </c>
      <c r="C2" s="1" t="s">
        <v>29</v>
      </c>
      <c r="D2" s="1" t="s">
        <v>40</v>
      </c>
      <c r="E2" s="1" t="s">
        <v>52</v>
      </c>
      <c r="F2" s="7" t="s">
        <v>64</v>
      </c>
      <c r="G2" s="1" t="s">
        <v>75</v>
      </c>
      <c r="H2" s="1" t="s">
        <v>83</v>
      </c>
      <c r="I2" s="1" t="s">
        <v>93</v>
      </c>
    </row>
    <row r="3" spans="1:9" x14ac:dyDescent="0.25">
      <c r="A3" s="1" t="s">
        <v>1</v>
      </c>
      <c r="B3" s="5" t="s">
        <v>3</v>
      </c>
      <c r="C3" s="5" t="s">
        <v>28</v>
      </c>
      <c r="D3" s="4" t="s">
        <v>41</v>
      </c>
      <c r="E3" s="4" t="s">
        <v>53</v>
      </c>
      <c r="F3" s="4" t="s">
        <v>65</v>
      </c>
      <c r="G3" s="6" t="s">
        <v>76</v>
      </c>
      <c r="H3" s="10" t="s">
        <v>85</v>
      </c>
      <c r="I3" s="5" t="s">
        <v>94</v>
      </c>
    </row>
    <row r="4" spans="1:9" x14ac:dyDescent="0.25">
      <c r="B4" s="4" t="s">
        <v>4</v>
      </c>
      <c r="C4" s="4" t="s">
        <v>30</v>
      </c>
      <c r="D4" s="2" t="s">
        <v>42</v>
      </c>
      <c r="E4" s="4" t="s">
        <v>54</v>
      </c>
      <c r="F4" s="5" t="s">
        <v>66</v>
      </c>
      <c r="G4" s="4" t="s">
        <v>77</v>
      </c>
      <c r="H4" s="9" t="s">
        <v>86</v>
      </c>
      <c r="I4" s="4" t="s">
        <v>95</v>
      </c>
    </row>
    <row r="5" spans="1:9" x14ac:dyDescent="0.25">
      <c r="B5" s="11" t="s">
        <v>5</v>
      </c>
      <c r="C5" s="5" t="s">
        <v>31</v>
      </c>
      <c r="D5" s="4" t="s">
        <v>43</v>
      </c>
      <c r="E5" s="4" t="s">
        <v>55</v>
      </c>
      <c r="F5" s="4" t="s">
        <v>67</v>
      </c>
      <c r="G5" s="6" t="s">
        <v>78</v>
      </c>
      <c r="H5" s="9" t="s">
        <v>87</v>
      </c>
      <c r="I5" s="5" t="s">
        <v>96</v>
      </c>
    </row>
    <row r="6" spans="1:9" x14ac:dyDescent="0.25">
      <c r="B6" s="5" t="s">
        <v>6</v>
      </c>
      <c r="C6" s="4" t="s">
        <v>32</v>
      </c>
      <c r="D6" s="12" t="s">
        <v>44</v>
      </c>
      <c r="E6" s="4" t="s">
        <v>56</v>
      </c>
      <c r="F6" s="4" t="s">
        <v>68</v>
      </c>
      <c r="G6" s="4" t="s">
        <v>79</v>
      </c>
      <c r="H6" s="9" t="s">
        <v>88</v>
      </c>
      <c r="I6" s="4" t="s">
        <v>97</v>
      </c>
    </row>
    <row r="7" spans="1:9" x14ac:dyDescent="0.25">
      <c r="B7" s="2" t="s">
        <v>7</v>
      </c>
      <c r="C7" s="4" t="s">
        <v>33</v>
      </c>
      <c r="D7" s="11" t="s">
        <v>45</v>
      </c>
      <c r="E7" s="5" t="s">
        <v>57</v>
      </c>
      <c r="F7" s="6" t="s">
        <v>69</v>
      </c>
      <c r="G7" s="5" t="s">
        <v>80</v>
      </c>
      <c r="H7" s="8" t="s">
        <v>89</v>
      </c>
      <c r="I7" s="4" t="s">
        <v>98</v>
      </c>
    </row>
    <row r="8" spans="1:9" x14ac:dyDescent="0.25">
      <c r="B8" s="3" t="s">
        <v>8</v>
      </c>
      <c r="C8" s="4" t="s">
        <v>34</v>
      </c>
      <c r="D8" s="6" t="s">
        <v>46</v>
      </c>
      <c r="E8" s="12" t="s">
        <v>58</v>
      </c>
      <c r="F8" s="5" t="s">
        <v>70</v>
      </c>
      <c r="G8" s="2" t="s">
        <v>81</v>
      </c>
      <c r="H8" s="10" t="s">
        <v>90</v>
      </c>
      <c r="I8" s="5" t="s">
        <v>99</v>
      </c>
    </row>
    <row r="9" spans="1:9" x14ac:dyDescent="0.25">
      <c r="B9" s="4" t="s">
        <v>9</v>
      </c>
      <c r="C9" s="12" t="s">
        <v>35</v>
      </c>
      <c r="D9" s="5" t="s">
        <v>47</v>
      </c>
      <c r="E9" s="5" t="s">
        <v>59</v>
      </c>
      <c r="F9" s="4" t="s">
        <v>71</v>
      </c>
      <c r="G9" s="5" t="s">
        <v>82</v>
      </c>
      <c r="H9" s="10" t="s">
        <v>91</v>
      </c>
      <c r="I9" s="4" t="s">
        <v>100</v>
      </c>
    </row>
    <row r="10" spans="1:9" x14ac:dyDescent="0.25">
      <c r="B10" s="4" t="s">
        <v>10</v>
      </c>
      <c r="C10" s="4" t="s">
        <v>36</v>
      </c>
      <c r="D10" s="4" t="s">
        <v>48</v>
      </c>
      <c r="E10" s="4" t="s">
        <v>60</v>
      </c>
      <c r="F10" s="2" t="s">
        <v>72</v>
      </c>
    </row>
    <row r="11" spans="1:9" x14ac:dyDescent="0.25">
      <c r="B11" s="5" t="s">
        <v>11</v>
      </c>
      <c r="C11" s="6" t="s">
        <v>37</v>
      </c>
      <c r="D11" s="5" t="s">
        <v>49</v>
      </c>
      <c r="E11" s="11" t="s">
        <v>61</v>
      </c>
      <c r="F11" s="2" t="s">
        <v>73</v>
      </c>
    </row>
    <row r="12" spans="1:9" x14ac:dyDescent="0.25">
      <c r="C12" s="4" t="s">
        <v>38</v>
      </c>
      <c r="D12" s="12" t="s">
        <v>50</v>
      </c>
      <c r="E12" s="2" t="s">
        <v>62</v>
      </c>
    </row>
    <row r="17" spans="1:2" x14ac:dyDescent="0.25">
      <c r="A17" s="1" t="s">
        <v>12</v>
      </c>
      <c r="B17" s="1" t="s">
        <v>13</v>
      </c>
    </row>
    <row r="18" spans="1:2" x14ac:dyDescent="0.25">
      <c r="A18" s="5" t="s">
        <v>14</v>
      </c>
      <c r="B18" s="5" t="s">
        <v>15</v>
      </c>
    </row>
    <row r="19" spans="1:2" x14ac:dyDescent="0.25">
      <c r="A19" s="6" t="s">
        <v>16</v>
      </c>
      <c r="B19" s="6" t="s">
        <v>111</v>
      </c>
    </row>
    <row r="20" spans="1:2" x14ac:dyDescent="0.25">
      <c r="A20" s="4" t="s">
        <v>17</v>
      </c>
      <c r="B20" s="4" t="s">
        <v>18</v>
      </c>
    </row>
    <row r="21" spans="1:2" x14ac:dyDescent="0.25">
      <c r="A21" s="3" t="s">
        <v>19</v>
      </c>
      <c r="B21" s="3" t="s">
        <v>18</v>
      </c>
    </row>
    <row r="22" spans="1:2" x14ac:dyDescent="0.25">
      <c r="A22" s="12" t="s">
        <v>20</v>
      </c>
      <c r="B22" s="12" t="s">
        <v>21</v>
      </c>
    </row>
    <row r="23" spans="1:2" x14ac:dyDescent="0.25">
      <c r="A23" s="4" t="s">
        <v>22</v>
      </c>
      <c r="B23" s="4" t="s">
        <v>18</v>
      </c>
    </row>
    <row r="24" spans="1:2" x14ac:dyDescent="0.25">
      <c r="A24" s="11" t="s">
        <v>23</v>
      </c>
      <c r="B24" s="11" t="s">
        <v>112</v>
      </c>
    </row>
    <row r="25" spans="1:2" x14ac:dyDescent="0.25">
      <c r="A25" s="11" t="s">
        <v>24</v>
      </c>
      <c r="B25" s="11" t="s">
        <v>112</v>
      </c>
    </row>
    <row r="26" spans="1:2" x14ac:dyDescent="0.25">
      <c r="A26" s="11" t="s">
        <v>25</v>
      </c>
      <c r="B26" s="11" t="s">
        <v>112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zoomScaleNormal="100" workbookViewId="0">
      <selection activeCell="G11" sqref="G11:H11"/>
    </sheetView>
  </sheetViews>
  <sheetFormatPr defaultRowHeight="15" x14ac:dyDescent="0.25"/>
  <cols>
    <col min="1" max="1" width="75" customWidth="1"/>
    <col min="2" max="2" width="13" customWidth="1"/>
    <col min="3" max="3" width="14.85546875" customWidth="1"/>
    <col min="4" max="4" width="15.42578125" customWidth="1"/>
    <col min="5" max="5" width="12.28515625" customWidth="1"/>
    <col min="6" max="6" width="12.42578125" customWidth="1"/>
    <col min="7" max="7" width="12.85546875" customWidth="1"/>
    <col min="8" max="8" width="13.7109375" customWidth="1"/>
    <col min="9" max="9" width="14.42578125" customWidth="1"/>
    <col min="11" max="11" width="22.28515625" customWidth="1"/>
    <col min="12" max="12" width="19.85546875" customWidth="1"/>
  </cols>
  <sheetData>
    <row r="1" spans="1:15" x14ac:dyDescent="0.25">
      <c r="A1" s="1" t="s">
        <v>116</v>
      </c>
      <c r="B1" s="1" t="s">
        <v>101</v>
      </c>
      <c r="C1" s="1" t="s">
        <v>109</v>
      </c>
      <c r="D1" s="1" t="s">
        <v>110</v>
      </c>
      <c r="E1" s="1" t="s">
        <v>104</v>
      </c>
      <c r="F1" s="1" t="s">
        <v>103</v>
      </c>
      <c r="G1" s="1" t="s">
        <v>105</v>
      </c>
      <c r="H1" s="1" t="s">
        <v>108</v>
      </c>
      <c r="K1" s="1" t="s">
        <v>109</v>
      </c>
      <c r="L1" s="1" t="s">
        <v>110</v>
      </c>
    </row>
    <row r="2" spans="1:15" x14ac:dyDescent="0.25">
      <c r="A2" s="5" t="s">
        <v>3</v>
      </c>
      <c r="B2" s="2">
        <v>0.4</v>
      </c>
      <c r="C2" s="2">
        <f>K$2</f>
        <v>0.3</v>
      </c>
      <c r="D2" s="2">
        <f>L$2</f>
        <v>0.7</v>
      </c>
      <c r="E2" s="2">
        <v>0.1</v>
      </c>
      <c r="F2" s="2">
        <v>0.3</v>
      </c>
      <c r="G2" s="13">
        <f t="shared" ref="G2:G9" si="0">B2*C2*E2</f>
        <v>1.2E-2</v>
      </c>
      <c r="H2" s="13">
        <f>B2*D2*F2</f>
        <v>8.3999999999999991E-2</v>
      </c>
      <c r="J2" s="2"/>
      <c r="K2" s="2">
        <v>0.3</v>
      </c>
      <c r="L2" s="2">
        <v>0.7</v>
      </c>
      <c r="N2" s="2"/>
      <c r="O2" s="2"/>
    </row>
    <row r="3" spans="1:15" x14ac:dyDescent="0.25">
      <c r="A3" s="4" t="s">
        <v>4</v>
      </c>
      <c r="B3" s="2">
        <v>0.3</v>
      </c>
      <c r="C3" s="2">
        <f t="shared" ref="C3:C9" si="1">K$2</f>
        <v>0.3</v>
      </c>
      <c r="D3" s="2">
        <f t="shared" ref="D3:D9" si="2">L$2</f>
        <v>0.7</v>
      </c>
      <c r="E3" s="2">
        <v>0.1</v>
      </c>
      <c r="F3" s="2">
        <v>0.3</v>
      </c>
      <c r="G3" s="13">
        <f t="shared" si="0"/>
        <v>8.9999999999999993E-3</v>
      </c>
      <c r="H3" s="13">
        <f t="shared" ref="H3:H9" si="3">B3*D3*F3</f>
        <v>6.3E-2</v>
      </c>
      <c r="J3" s="2"/>
      <c r="K3" s="2"/>
      <c r="N3" s="2"/>
      <c r="O3" s="2"/>
    </row>
    <row r="4" spans="1:15" x14ac:dyDescent="0.25">
      <c r="A4" s="11" t="s">
        <v>5</v>
      </c>
      <c r="B4" s="2">
        <v>0.9</v>
      </c>
      <c r="C4" s="2">
        <f t="shared" si="1"/>
        <v>0.3</v>
      </c>
      <c r="D4" s="2">
        <f t="shared" si="2"/>
        <v>0.7</v>
      </c>
      <c r="E4" s="2">
        <v>0.05</v>
      </c>
      <c r="F4" s="2">
        <v>0.1</v>
      </c>
      <c r="G4" s="13">
        <f t="shared" si="0"/>
        <v>1.3500000000000002E-2</v>
      </c>
      <c r="H4" s="13">
        <f t="shared" si="3"/>
        <v>6.3E-2</v>
      </c>
      <c r="J4" s="2"/>
      <c r="K4" s="2"/>
      <c r="N4" s="2"/>
      <c r="O4" s="2"/>
    </row>
    <row r="5" spans="1:15" x14ac:dyDescent="0.25">
      <c r="A5" s="5" t="s">
        <v>6</v>
      </c>
      <c r="B5" s="2">
        <v>0.25</v>
      </c>
      <c r="C5" s="2">
        <f t="shared" si="1"/>
        <v>0.3</v>
      </c>
      <c r="D5" s="2">
        <f t="shared" si="2"/>
        <v>0.7</v>
      </c>
      <c r="E5" s="2">
        <v>0.1</v>
      </c>
      <c r="F5" s="2">
        <v>0.3</v>
      </c>
      <c r="G5" s="13">
        <f t="shared" si="0"/>
        <v>7.4999999999999997E-3</v>
      </c>
      <c r="H5" s="13">
        <f t="shared" si="3"/>
        <v>5.2499999999999998E-2</v>
      </c>
      <c r="J5" s="2"/>
      <c r="K5" s="2"/>
      <c r="N5" s="2"/>
      <c r="O5" s="2"/>
    </row>
    <row r="6" spans="1:15" x14ac:dyDescent="0.25">
      <c r="A6" s="3" t="s">
        <v>8</v>
      </c>
      <c r="B6" s="2">
        <v>0.4</v>
      </c>
      <c r="C6" s="2">
        <f t="shared" si="1"/>
        <v>0.3</v>
      </c>
      <c r="D6" s="2">
        <f t="shared" si="2"/>
        <v>0.7</v>
      </c>
      <c r="E6" s="2">
        <v>0.1</v>
      </c>
      <c r="F6" s="2">
        <v>0.3</v>
      </c>
      <c r="G6" s="13">
        <f t="shared" si="0"/>
        <v>1.2E-2</v>
      </c>
      <c r="H6" s="13">
        <f t="shared" si="3"/>
        <v>8.3999999999999991E-2</v>
      </c>
      <c r="J6" s="2"/>
      <c r="K6" s="2"/>
      <c r="N6" s="2"/>
      <c r="O6" s="2"/>
    </row>
    <row r="7" spans="1:15" x14ac:dyDescent="0.25">
      <c r="A7" s="4" t="s">
        <v>9</v>
      </c>
      <c r="B7" s="2">
        <v>0.3</v>
      </c>
      <c r="C7" s="2">
        <f t="shared" si="1"/>
        <v>0.3</v>
      </c>
      <c r="D7" s="2">
        <f t="shared" si="2"/>
        <v>0.7</v>
      </c>
      <c r="E7" s="2">
        <v>0.1</v>
      </c>
      <c r="F7" s="2">
        <v>0.3</v>
      </c>
      <c r="G7" s="13">
        <f t="shared" si="0"/>
        <v>8.9999999999999993E-3</v>
      </c>
      <c r="H7" s="13">
        <f t="shared" si="3"/>
        <v>6.3E-2</v>
      </c>
      <c r="J7" s="2"/>
      <c r="K7" s="2"/>
      <c r="N7" s="2"/>
      <c r="O7" s="2"/>
    </row>
    <row r="8" spans="1:15" x14ac:dyDescent="0.25">
      <c r="A8" s="4" t="s">
        <v>10</v>
      </c>
      <c r="B8" s="2">
        <v>0.6</v>
      </c>
      <c r="C8" s="2">
        <f t="shared" si="1"/>
        <v>0.3</v>
      </c>
      <c r="D8" s="2">
        <f t="shared" si="2"/>
        <v>0.7</v>
      </c>
      <c r="E8" s="2">
        <v>0.1</v>
      </c>
      <c r="F8" s="2">
        <v>0.3</v>
      </c>
      <c r="G8" s="13">
        <f t="shared" si="0"/>
        <v>1.7999999999999999E-2</v>
      </c>
      <c r="H8" s="13">
        <f t="shared" si="3"/>
        <v>0.126</v>
      </c>
      <c r="J8" s="2"/>
      <c r="K8" s="2"/>
      <c r="N8" s="2"/>
      <c r="O8" s="2"/>
    </row>
    <row r="9" spans="1:15" x14ac:dyDescent="0.25">
      <c r="A9" s="4" t="s">
        <v>11</v>
      </c>
      <c r="B9" s="2">
        <v>0.25</v>
      </c>
      <c r="C9" s="2">
        <f t="shared" si="1"/>
        <v>0.3</v>
      </c>
      <c r="D9" s="2">
        <f t="shared" si="2"/>
        <v>0.7</v>
      </c>
      <c r="E9" s="2">
        <v>0.1</v>
      </c>
      <c r="F9" s="2">
        <v>0.3</v>
      </c>
      <c r="G9" s="13">
        <f t="shared" si="0"/>
        <v>7.4999999999999997E-3</v>
      </c>
      <c r="H9" s="13">
        <f t="shared" si="3"/>
        <v>5.2499999999999998E-2</v>
      </c>
      <c r="J9" s="2"/>
      <c r="K9" s="2"/>
      <c r="N9" s="2"/>
      <c r="O9" s="2"/>
    </row>
    <row r="10" spans="1:15" x14ac:dyDescent="0.25">
      <c r="G10" s="1" t="s">
        <v>106</v>
      </c>
      <c r="H10" s="1" t="s">
        <v>107</v>
      </c>
      <c r="L10" s="2"/>
      <c r="M10" s="2"/>
    </row>
    <row r="11" spans="1:15" x14ac:dyDescent="0.25">
      <c r="F11" s="14" t="s">
        <v>102</v>
      </c>
      <c r="G11" s="18">
        <f>SUM(G2:G9)</f>
        <v>8.8499999999999995E-2</v>
      </c>
      <c r="H11" s="18">
        <f>SUM(H2:H9)</f>
        <v>0.58800000000000008</v>
      </c>
    </row>
    <row r="13" spans="1:15" x14ac:dyDescent="0.25">
      <c r="A13" s="1" t="s">
        <v>115</v>
      </c>
      <c r="B13" s="1" t="s">
        <v>101</v>
      </c>
      <c r="C13" s="1" t="s">
        <v>109</v>
      </c>
      <c r="D13" s="1" t="s">
        <v>110</v>
      </c>
      <c r="E13" s="1" t="s">
        <v>104</v>
      </c>
      <c r="F13" s="1" t="s">
        <v>103</v>
      </c>
      <c r="G13" s="1" t="s">
        <v>105</v>
      </c>
      <c r="H13" s="1" t="s">
        <v>108</v>
      </c>
    </row>
    <row r="14" spans="1:15" x14ac:dyDescent="0.25">
      <c r="A14" s="5" t="s">
        <v>28</v>
      </c>
      <c r="B14" s="2">
        <v>0.6</v>
      </c>
      <c r="C14" s="2">
        <f>K$2</f>
        <v>0.3</v>
      </c>
      <c r="D14" s="2">
        <f>L$2</f>
        <v>0.7</v>
      </c>
      <c r="E14" s="2">
        <v>0.1</v>
      </c>
      <c r="F14" s="2">
        <v>0.3</v>
      </c>
      <c r="G14" s="13">
        <f t="shared" ref="G14:G23" si="4">B14*C14*E14</f>
        <v>1.7999999999999999E-2</v>
      </c>
      <c r="H14" s="13">
        <f>B14*D14*F14</f>
        <v>0.126</v>
      </c>
    </row>
    <row r="15" spans="1:15" x14ac:dyDescent="0.25">
      <c r="A15" s="4" t="s">
        <v>30</v>
      </c>
      <c r="B15" s="2">
        <v>0.4</v>
      </c>
      <c r="C15" s="2">
        <f t="shared" ref="C15:D23" si="5">K$2</f>
        <v>0.3</v>
      </c>
      <c r="D15" s="2">
        <f t="shared" si="5"/>
        <v>0.7</v>
      </c>
      <c r="E15" s="2">
        <v>0.1</v>
      </c>
      <c r="F15" s="2">
        <v>0.3</v>
      </c>
      <c r="G15" s="13">
        <f t="shared" si="4"/>
        <v>1.2E-2</v>
      </c>
      <c r="H15" s="13">
        <f t="shared" ref="H15:H23" si="6">B15*D15*F15</f>
        <v>8.3999999999999991E-2</v>
      </c>
    </row>
    <row r="16" spans="1:15" x14ac:dyDescent="0.25">
      <c r="A16" s="5" t="s">
        <v>31</v>
      </c>
      <c r="B16" s="2">
        <v>0.4</v>
      </c>
      <c r="C16" s="2">
        <f t="shared" si="5"/>
        <v>0.3</v>
      </c>
      <c r="D16" s="2">
        <f t="shared" si="5"/>
        <v>0.7</v>
      </c>
      <c r="E16" s="2">
        <v>0.1</v>
      </c>
      <c r="F16" s="2">
        <v>0.3</v>
      </c>
      <c r="G16" s="13">
        <f t="shared" si="4"/>
        <v>1.2E-2</v>
      </c>
      <c r="H16" s="13">
        <f t="shared" si="6"/>
        <v>8.3999999999999991E-2</v>
      </c>
    </row>
    <row r="17" spans="1:8" x14ac:dyDescent="0.25">
      <c r="A17" s="4" t="s">
        <v>32</v>
      </c>
      <c r="B17" s="2">
        <v>0.2</v>
      </c>
      <c r="C17" s="2">
        <f t="shared" si="5"/>
        <v>0.3</v>
      </c>
      <c r="D17" s="2">
        <f t="shared" si="5"/>
        <v>0.7</v>
      </c>
      <c r="E17" s="2">
        <v>0.1</v>
      </c>
      <c r="F17" s="2">
        <v>0.3</v>
      </c>
      <c r="G17" s="13">
        <f t="shared" si="4"/>
        <v>6.0000000000000001E-3</v>
      </c>
      <c r="H17" s="13">
        <f t="shared" si="6"/>
        <v>4.1999999999999996E-2</v>
      </c>
    </row>
    <row r="18" spans="1:8" x14ac:dyDescent="0.25">
      <c r="A18" s="4" t="s">
        <v>33</v>
      </c>
      <c r="B18" s="2">
        <v>0.2</v>
      </c>
      <c r="C18" s="2">
        <f t="shared" si="5"/>
        <v>0.3</v>
      </c>
      <c r="D18" s="2">
        <f t="shared" si="5"/>
        <v>0.7</v>
      </c>
      <c r="E18" s="2">
        <v>0.1</v>
      </c>
      <c r="F18" s="2">
        <v>0.3</v>
      </c>
      <c r="G18" s="13">
        <f t="shared" si="4"/>
        <v>6.0000000000000001E-3</v>
      </c>
      <c r="H18" s="13">
        <f t="shared" si="6"/>
        <v>4.1999999999999996E-2</v>
      </c>
    </row>
    <row r="19" spans="1:8" x14ac:dyDescent="0.25">
      <c r="A19" s="4" t="s">
        <v>34</v>
      </c>
      <c r="B19" s="2">
        <v>0.2</v>
      </c>
      <c r="C19" s="2">
        <f t="shared" si="5"/>
        <v>0.3</v>
      </c>
      <c r="D19" s="2">
        <f t="shared" si="5"/>
        <v>0.7</v>
      </c>
      <c r="E19" s="2">
        <v>0.1</v>
      </c>
      <c r="F19" s="2">
        <v>0.3</v>
      </c>
      <c r="G19" s="13">
        <f t="shared" si="4"/>
        <v>6.0000000000000001E-3</v>
      </c>
      <c r="H19" s="13">
        <f t="shared" si="6"/>
        <v>4.1999999999999996E-2</v>
      </c>
    </row>
    <row r="20" spans="1:8" x14ac:dyDescent="0.25">
      <c r="A20" s="12" t="s">
        <v>35</v>
      </c>
      <c r="B20" s="2">
        <v>0.3</v>
      </c>
      <c r="C20" s="2">
        <f t="shared" si="5"/>
        <v>0.3</v>
      </c>
      <c r="D20" s="2">
        <f t="shared" si="5"/>
        <v>0.7</v>
      </c>
      <c r="E20" s="2">
        <v>0.5</v>
      </c>
      <c r="F20" s="2">
        <v>0.9</v>
      </c>
      <c r="G20" s="13">
        <f t="shared" si="4"/>
        <v>4.4999999999999998E-2</v>
      </c>
      <c r="H20" s="13">
        <f t="shared" si="6"/>
        <v>0.189</v>
      </c>
    </row>
    <row r="21" spans="1:8" x14ac:dyDescent="0.25">
      <c r="A21" s="4" t="s">
        <v>36</v>
      </c>
      <c r="B21" s="2">
        <v>0.5</v>
      </c>
      <c r="C21" s="2">
        <f t="shared" si="5"/>
        <v>0.3</v>
      </c>
      <c r="D21" s="2">
        <f t="shared" si="5"/>
        <v>0.7</v>
      </c>
      <c r="E21" s="2">
        <v>0.1</v>
      </c>
      <c r="F21" s="2">
        <v>0.3</v>
      </c>
      <c r="G21" s="13">
        <f t="shared" si="4"/>
        <v>1.4999999999999999E-2</v>
      </c>
      <c r="H21" s="13">
        <f t="shared" si="6"/>
        <v>0.105</v>
      </c>
    </row>
    <row r="22" spans="1:8" x14ac:dyDescent="0.25">
      <c r="A22" s="6" t="s">
        <v>37</v>
      </c>
      <c r="B22" s="2">
        <v>0.25</v>
      </c>
      <c r="C22" s="2">
        <f t="shared" si="5"/>
        <v>0.3</v>
      </c>
      <c r="D22" s="2">
        <f>L$2</f>
        <v>0.7</v>
      </c>
      <c r="E22" s="2">
        <v>0.05</v>
      </c>
      <c r="F22" s="2">
        <v>0.15</v>
      </c>
      <c r="G22" s="13">
        <f t="shared" si="4"/>
        <v>3.7499999999999999E-3</v>
      </c>
      <c r="H22" s="13">
        <f t="shared" si="6"/>
        <v>2.6249999999999999E-2</v>
      </c>
    </row>
    <row r="23" spans="1:8" x14ac:dyDescent="0.25">
      <c r="A23" s="4" t="s">
        <v>38</v>
      </c>
      <c r="B23" s="2">
        <v>0.2</v>
      </c>
      <c r="C23" s="2">
        <f t="shared" si="5"/>
        <v>0.3</v>
      </c>
      <c r="D23" s="2">
        <f t="shared" si="5"/>
        <v>0.7</v>
      </c>
      <c r="E23" s="2">
        <v>0.1</v>
      </c>
      <c r="F23" s="2">
        <v>0.3</v>
      </c>
      <c r="G23" s="13">
        <f t="shared" si="4"/>
        <v>6.0000000000000001E-3</v>
      </c>
      <c r="H23" s="13">
        <f t="shared" si="6"/>
        <v>4.1999999999999996E-2</v>
      </c>
    </row>
    <row r="24" spans="1:8" x14ac:dyDescent="0.25">
      <c r="G24" s="1" t="s">
        <v>106</v>
      </c>
      <c r="H24" s="1" t="s">
        <v>107</v>
      </c>
    </row>
    <row r="25" spans="1:8" x14ac:dyDescent="0.25">
      <c r="E25" s="1"/>
      <c r="F25" s="14" t="s">
        <v>102</v>
      </c>
      <c r="G25" s="18">
        <f>SUM(G14:G23)</f>
        <v>0.12974999999999998</v>
      </c>
      <c r="H25" s="18">
        <f>SUM(H14:H23)</f>
        <v>0.78225</v>
      </c>
    </row>
    <row r="28" spans="1:8" x14ac:dyDescent="0.25">
      <c r="A28" s="1" t="s">
        <v>114</v>
      </c>
      <c r="B28" s="1" t="s">
        <v>101</v>
      </c>
      <c r="C28" s="1" t="s">
        <v>109</v>
      </c>
      <c r="D28" s="1" t="s">
        <v>110</v>
      </c>
      <c r="E28" s="1" t="s">
        <v>104</v>
      </c>
      <c r="F28" s="1" t="s">
        <v>103</v>
      </c>
      <c r="G28" s="1" t="s">
        <v>105</v>
      </c>
      <c r="H28" s="1" t="s">
        <v>108</v>
      </c>
    </row>
    <row r="29" spans="1:8" x14ac:dyDescent="0.25">
      <c r="A29" s="4" t="s">
        <v>41</v>
      </c>
      <c r="B29" s="16">
        <v>0.4</v>
      </c>
      <c r="C29" s="2">
        <f>K$2</f>
        <v>0.3</v>
      </c>
      <c r="D29" s="2">
        <f>L$2</f>
        <v>0.7</v>
      </c>
      <c r="E29" s="16">
        <v>0.1</v>
      </c>
      <c r="F29" s="16">
        <v>0.3</v>
      </c>
      <c r="G29" s="13">
        <f t="shared" ref="G29:G37" si="7">B29*C29*E29</f>
        <v>1.2E-2</v>
      </c>
      <c r="H29" s="13">
        <f>B29*D29*F29</f>
        <v>8.3999999999999991E-2</v>
      </c>
    </row>
    <row r="30" spans="1:8" x14ac:dyDescent="0.25">
      <c r="A30" s="4" t="s">
        <v>43</v>
      </c>
      <c r="B30" s="16">
        <v>0.25</v>
      </c>
      <c r="C30" s="2">
        <f t="shared" ref="C30:D37" si="8">K$2</f>
        <v>0.3</v>
      </c>
      <c r="D30" s="2">
        <f t="shared" si="8"/>
        <v>0.7</v>
      </c>
      <c r="E30" s="16">
        <v>0.1</v>
      </c>
      <c r="F30" s="16">
        <v>0.3</v>
      </c>
      <c r="G30" s="13">
        <f t="shared" si="7"/>
        <v>7.4999999999999997E-3</v>
      </c>
      <c r="H30" s="13">
        <f t="shared" ref="H30:H37" si="9">B30*D30*F30</f>
        <v>5.2499999999999998E-2</v>
      </c>
    </row>
    <row r="31" spans="1:8" x14ac:dyDescent="0.25">
      <c r="A31" s="12" t="s">
        <v>44</v>
      </c>
      <c r="B31" s="16">
        <v>0.3</v>
      </c>
      <c r="C31" s="2">
        <f t="shared" si="8"/>
        <v>0.3</v>
      </c>
      <c r="D31" s="2">
        <f t="shared" si="8"/>
        <v>0.7</v>
      </c>
      <c r="E31" s="16">
        <v>0.5</v>
      </c>
      <c r="F31" s="16">
        <v>0.9</v>
      </c>
      <c r="G31" s="13">
        <f t="shared" si="7"/>
        <v>4.4999999999999998E-2</v>
      </c>
      <c r="H31" s="13">
        <f t="shared" si="9"/>
        <v>0.189</v>
      </c>
    </row>
    <row r="32" spans="1:8" x14ac:dyDescent="0.25">
      <c r="A32" s="11" t="s">
        <v>45</v>
      </c>
      <c r="B32" s="16">
        <v>0.9</v>
      </c>
      <c r="C32" s="2">
        <f t="shared" si="8"/>
        <v>0.3</v>
      </c>
      <c r="D32" s="2">
        <f t="shared" si="8"/>
        <v>0.7</v>
      </c>
      <c r="E32" s="16">
        <v>0.05</v>
      </c>
      <c r="F32" s="16">
        <v>0.1</v>
      </c>
      <c r="G32" s="13">
        <f t="shared" si="7"/>
        <v>1.3500000000000002E-2</v>
      </c>
      <c r="H32" s="13">
        <f t="shared" si="9"/>
        <v>6.3E-2</v>
      </c>
    </row>
    <row r="33" spans="1:8" x14ac:dyDescent="0.25">
      <c r="A33" s="6" t="s">
        <v>46</v>
      </c>
      <c r="B33" s="16">
        <v>0.25</v>
      </c>
      <c r="C33" s="2">
        <f t="shared" si="8"/>
        <v>0.3</v>
      </c>
      <c r="D33" s="2">
        <f t="shared" si="8"/>
        <v>0.7</v>
      </c>
      <c r="E33" s="16">
        <v>0.05</v>
      </c>
      <c r="F33" s="16">
        <v>0.2</v>
      </c>
      <c r="G33" s="13">
        <f t="shared" si="7"/>
        <v>3.7499999999999999E-3</v>
      </c>
      <c r="H33" s="13">
        <f t="shared" si="9"/>
        <v>3.4999999999999996E-2</v>
      </c>
    </row>
    <row r="34" spans="1:8" x14ac:dyDescent="0.25">
      <c r="A34" s="4" t="s">
        <v>47</v>
      </c>
      <c r="B34" s="16">
        <v>0.4</v>
      </c>
      <c r="C34" s="2">
        <f t="shared" si="8"/>
        <v>0.3</v>
      </c>
      <c r="D34" s="2">
        <f t="shared" si="8"/>
        <v>0.7</v>
      </c>
      <c r="E34" s="16">
        <v>0.1</v>
      </c>
      <c r="F34" s="16">
        <v>0.3</v>
      </c>
      <c r="G34" s="13">
        <f t="shared" si="7"/>
        <v>1.2E-2</v>
      </c>
      <c r="H34" s="13">
        <f t="shared" si="9"/>
        <v>8.3999999999999991E-2</v>
      </c>
    </row>
    <row r="35" spans="1:8" x14ac:dyDescent="0.25">
      <c r="A35" s="4" t="s">
        <v>48</v>
      </c>
      <c r="B35" s="16">
        <v>0.3</v>
      </c>
      <c r="C35" s="2">
        <f t="shared" si="8"/>
        <v>0.3</v>
      </c>
      <c r="D35" s="2">
        <f t="shared" si="8"/>
        <v>0.7</v>
      </c>
      <c r="E35" s="16">
        <v>0.1</v>
      </c>
      <c r="F35" s="16">
        <v>0.3</v>
      </c>
      <c r="G35" s="13">
        <f t="shared" si="7"/>
        <v>8.9999999999999993E-3</v>
      </c>
      <c r="H35" s="13">
        <f t="shared" si="9"/>
        <v>6.3E-2</v>
      </c>
    </row>
    <row r="36" spans="1:8" x14ac:dyDescent="0.25">
      <c r="A36" s="5" t="s">
        <v>49</v>
      </c>
      <c r="B36" s="16">
        <v>0.25</v>
      </c>
      <c r="C36" s="2">
        <f t="shared" si="8"/>
        <v>0.3</v>
      </c>
      <c r="D36" s="2">
        <f t="shared" si="8"/>
        <v>0.7</v>
      </c>
      <c r="E36" s="16">
        <v>0.1</v>
      </c>
      <c r="F36" s="16">
        <v>0.3</v>
      </c>
      <c r="G36" s="13">
        <f t="shared" si="7"/>
        <v>7.4999999999999997E-3</v>
      </c>
      <c r="H36" s="13">
        <f t="shared" si="9"/>
        <v>5.2499999999999998E-2</v>
      </c>
    </row>
    <row r="37" spans="1:8" x14ac:dyDescent="0.25">
      <c r="A37" s="12" t="s">
        <v>50</v>
      </c>
      <c r="B37" s="16">
        <v>0.2</v>
      </c>
      <c r="C37" s="2">
        <f t="shared" si="8"/>
        <v>0.3</v>
      </c>
      <c r="D37" s="2">
        <f>L$2</f>
        <v>0.7</v>
      </c>
      <c r="E37" s="16">
        <v>0.5</v>
      </c>
      <c r="F37" s="16">
        <v>0.9</v>
      </c>
      <c r="G37" s="13">
        <f t="shared" si="7"/>
        <v>0.03</v>
      </c>
      <c r="H37" s="13">
        <f t="shared" si="9"/>
        <v>0.126</v>
      </c>
    </row>
    <row r="38" spans="1:8" x14ac:dyDescent="0.25">
      <c r="B38" s="15"/>
      <c r="C38" s="2"/>
      <c r="D38" s="15"/>
      <c r="E38" s="15"/>
      <c r="G38" s="1" t="s">
        <v>106</v>
      </c>
      <c r="H38" s="1" t="s">
        <v>107</v>
      </c>
    </row>
    <row r="39" spans="1:8" x14ac:dyDescent="0.25">
      <c r="A39" s="15"/>
      <c r="B39" s="15"/>
      <c r="C39" s="15"/>
      <c r="D39" s="16"/>
      <c r="E39" s="17"/>
      <c r="F39" s="14" t="s">
        <v>102</v>
      </c>
      <c r="G39" s="19">
        <f>SUM(G29:G37)</f>
        <v>0.14024999999999999</v>
      </c>
      <c r="H39" s="19">
        <f>SUM(H29:H37)</f>
        <v>0.749</v>
      </c>
    </row>
    <row r="40" spans="1:8" x14ac:dyDescent="0.25">
      <c r="A40" s="16"/>
      <c r="B40" s="16"/>
      <c r="C40" s="15"/>
      <c r="D40" s="15"/>
      <c r="E40" s="15"/>
    </row>
    <row r="41" spans="1:8" x14ac:dyDescent="0.25">
      <c r="A41" s="1" t="s">
        <v>113</v>
      </c>
      <c r="B41" s="1" t="s">
        <v>101</v>
      </c>
      <c r="C41" s="1" t="s">
        <v>109</v>
      </c>
      <c r="D41" s="1" t="s">
        <v>110</v>
      </c>
      <c r="E41" s="1" t="s">
        <v>104</v>
      </c>
      <c r="F41" s="1" t="s">
        <v>103</v>
      </c>
      <c r="G41" s="1" t="s">
        <v>105</v>
      </c>
      <c r="H41" s="1" t="s">
        <v>108</v>
      </c>
    </row>
    <row r="42" spans="1:8" x14ac:dyDescent="0.25">
      <c r="A42" s="4" t="s">
        <v>53</v>
      </c>
      <c r="B42" s="16">
        <v>0.5</v>
      </c>
      <c r="C42" s="2">
        <f>K$2</f>
        <v>0.3</v>
      </c>
      <c r="D42" s="2">
        <f>L$2</f>
        <v>0.7</v>
      </c>
      <c r="E42" s="16">
        <v>0.1</v>
      </c>
      <c r="F42" s="16">
        <v>0.3</v>
      </c>
      <c r="G42" s="13">
        <f t="shared" ref="G42:G50" si="10">B42*C42*E42</f>
        <v>1.4999999999999999E-2</v>
      </c>
      <c r="H42" s="13">
        <f>B42*D42*F42</f>
        <v>0.105</v>
      </c>
    </row>
    <row r="43" spans="1:8" x14ac:dyDescent="0.25">
      <c r="A43" s="4" t="s">
        <v>54</v>
      </c>
      <c r="B43" s="16">
        <v>0.4</v>
      </c>
      <c r="C43" s="2">
        <f t="shared" ref="C43:C50" si="11">K$2</f>
        <v>0.3</v>
      </c>
      <c r="D43" s="2">
        <f t="shared" ref="D43:D50" si="12">L$2</f>
        <v>0.7</v>
      </c>
      <c r="E43" s="16">
        <v>0.1</v>
      </c>
      <c r="F43" s="16">
        <v>0.3</v>
      </c>
      <c r="G43" s="13">
        <f t="shared" si="10"/>
        <v>1.2E-2</v>
      </c>
      <c r="H43" s="13">
        <f t="shared" ref="H43:H50" si="13">B43*D43*F43</f>
        <v>8.3999999999999991E-2</v>
      </c>
    </row>
    <row r="44" spans="1:8" x14ac:dyDescent="0.25">
      <c r="A44" s="4" t="s">
        <v>55</v>
      </c>
      <c r="B44" s="16">
        <v>0.3</v>
      </c>
      <c r="C44" s="2">
        <f t="shared" si="11"/>
        <v>0.3</v>
      </c>
      <c r="D44" s="2">
        <f t="shared" si="12"/>
        <v>0.7</v>
      </c>
      <c r="E44" s="16">
        <v>0.1</v>
      </c>
      <c r="F44" s="16">
        <v>0.3</v>
      </c>
      <c r="G44" s="13">
        <f t="shared" si="10"/>
        <v>8.9999999999999993E-3</v>
      </c>
      <c r="H44" s="13">
        <f t="shared" si="13"/>
        <v>6.3E-2</v>
      </c>
    </row>
    <row r="45" spans="1:8" x14ac:dyDescent="0.25">
      <c r="A45" s="4" t="s">
        <v>56</v>
      </c>
      <c r="B45" s="16">
        <v>0.3</v>
      </c>
      <c r="C45" s="2">
        <f t="shared" si="11"/>
        <v>0.3</v>
      </c>
      <c r="D45" s="2">
        <f t="shared" si="12"/>
        <v>0.7</v>
      </c>
      <c r="E45" s="16">
        <v>0.1</v>
      </c>
      <c r="F45" s="16">
        <v>0.3</v>
      </c>
      <c r="G45" s="13">
        <f t="shared" si="10"/>
        <v>8.9999999999999993E-3</v>
      </c>
      <c r="H45" s="13">
        <f t="shared" si="13"/>
        <v>6.3E-2</v>
      </c>
    </row>
    <row r="46" spans="1:8" x14ac:dyDescent="0.25">
      <c r="A46" s="5" t="s">
        <v>57</v>
      </c>
      <c r="B46" s="16">
        <v>0.5</v>
      </c>
      <c r="C46" s="2">
        <f t="shared" si="11"/>
        <v>0.3</v>
      </c>
      <c r="D46" s="2">
        <f t="shared" si="12"/>
        <v>0.7</v>
      </c>
      <c r="E46" s="16">
        <v>0.1</v>
      </c>
      <c r="F46" s="16">
        <v>0.3</v>
      </c>
      <c r="G46" s="13">
        <f t="shared" si="10"/>
        <v>1.4999999999999999E-2</v>
      </c>
      <c r="H46" s="13">
        <f t="shared" si="13"/>
        <v>0.105</v>
      </c>
    </row>
    <row r="47" spans="1:8" x14ac:dyDescent="0.25">
      <c r="A47" s="12" t="s">
        <v>58</v>
      </c>
      <c r="B47" s="16">
        <v>0.3</v>
      </c>
      <c r="C47" s="2">
        <f t="shared" si="11"/>
        <v>0.3</v>
      </c>
      <c r="D47" s="2">
        <f t="shared" si="12"/>
        <v>0.7</v>
      </c>
      <c r="E47" s="16">
        <v>0.5</v>
      </c>
      <c r="F47" s="16">
        <v>0.9</v>
      </c>
      <c r="G47" s="13">
        <f t="shared" si="10"/>
        <v>4.4999999999999998E-2</v>
      </c>
      <c r="H47" s="13">
        <f t="shared" si="13"/>
        <v>0.189</v>
      </c>
    </row>
    <row r="48" spans="1:8" x14ac:dyDescent="0.25">
      <c r="A48" s="5" t="s">
        <v>59</v>
      </c>
      <c r="B48" s="16">
        <v>0.3</v>
      </c>
      <c r="C48" s="2">
        <f t="shared" si="11"/>
        <v>0.3</v>
      </c>
      <c r="D48" s="2">
        <f t="shared" si="12"/>
        <v>0.7</v>
      </c>
      <c r="E48" s="16">
        <v>0.1</v>
      </c>
      <c r="F48" s="16">
        <v>0.3</v>
      </c>
      <c r="G48" s="13">
        <f t="shared" si="10"/>
        <v>8.9999999999999993E-3</v>
      </c>
      <c r="H48" s="13">
        <f t="shared" si="13"/>
        <v>6.3E-2</v>
      </c>
    </row>
    <row r="49" spans="1:8" x14ac:dyDescent="0.25">
      <c r="A49" s="6" t="s">
        <v>60</v>
      </c>
      <c r="B49" s="16">
        <v>0.4</v>
      </c>
      <c r="C49" s="2">
        <f t="shared" si="11"/>
        <v>0.3</v>
      </c>
      <c r="D49" s="2">
        <f t="shared" si="12"/>
        <v>0.7</v>
      </c>
      <c r="E49" s="16">
        <v>0.05</v>
      </c>
      <c r="F49" s="16">
        <v>0.2</v>
      </c>
      <c r="G49" s="13">
        <f t="shared" si="10"/>
        <v>6.0000000000000001E-3</v>
      </c>
      <c r="H49" s="13">
        <f t="shared" si="13"/>
        <v>5.5999999999999994E-2</v>
      </c>
    </row>
    <row r="50" spans="1:8" x14ac:dyDescent="0.25">
      <c r="A50" s="4" t="s">
        <v>61</v>
      </c>
      <c r="B50" s="16">
        <v>0.3</v>
      </c>
      <c r="C50" s="2">
        <f t="shared" si="11"/>
        <v>0.3</v>
      </c>
      <c r="D50" s="2">
        <f>L$2</f>
        <v>0.7</v>
      </c>
      <c r="E50" s="16">
        <v>0.1</v>
      </c>
      <c r="F50" s="16">
        <v>0.3</v>
      </c>
      <c r="G50" s="13">
        <f t="shared" si="10"/>
        <v>8.9999999999999993E-3</v>
      </c>
      <c r="H50" s="13">
        <f t="shared" si="13"/>
        <v>6.3E-2</v>
      </c>
    </row>
    <row r="51" spans="1:8" x14ac:dyDescent="0.25">
      <c r="A51" s="15"/>
      <c r="B51" s="15"/>
      <c r="C51" s="15"/>
      <c r="D51" s="15"/>
      <c r="E51" s="15"/>
      <c r="G51" s="1" t="s">
        <v>106</v>
      </c>
      <c r="H51" s="1" t="s">
        <v>107</v>
      </c>
    </row>
    <row r="52" spans="1:8" x14ac:dyDescent="0.25">
      <c r="A52" s="15"/>
      <c r="B52" s="15"/>
      <c r="C52" s="15"/>
      <c r="D52" s="16"/>
      <c r="E52" s="17"/>
      <c r="F52" s="14" t="s">
        <v>102</v>
      </c>
      <c r="G52" s="18">
        <f>SUM(G42:G50)</f>
        <v>0.129</v>
      </c>
      <c r="H52" s="18">
        <f>SUM(H42:H50)</f>
        <v>0.79099999999999993</v>
      </c>
    </row>
    <row r="53" spans="1:8" x14ac:dyDescent="0.25">
      <c r="A53" s="15"/>
      <c r="B53" s="15"/>
      <c r="C53" s="15"/>
      <c r="D53" s="16"/>
      <c r="E53" s="17"/>
    </row>
    <row r="54" spans="1:8" x14ac:dyDescent="0.25">
      <c r="A54" s="1" t="s">
        <v>117</v>
      </c>
      <c r="B54" s="1" t="s">
        <v>101</v>
      </c>
      <c r="C54" s="1" t="s">
        <v>109</v>
      </c>
      <c r="D54" s="1" t="s">
        <v>110</v>
      </c>
      <c r="E54" s="1" t="s">
        <v>104</v>
      </c>
      <c r="F54" s="1" t="s">
        <v>103</v>
      </c>
      <c r="G54" s="1" t="s">
        <v>105</v>
      </c>
      <c r="H54" s="1" t="s">
        <v>108</v>
      </c>
    </row>
    <row r="55" spans="1:8" x14ac:dyDescent="0.25">
      <c r="A55" s="4" t="s">
        <v>65</v>
      </c>
      <c r="B55" s="2">
        <v>0.4</v>
      </c>
      <c r="C55" s="2">
        <f>K$2</f>
        <v>0.3</v>
      </c>
      <c r="D55" s="2">
        <f>L$2</f>
        <v>0.7</v>
      </c>
      <c r="E55" s="16">
        <v>0.1</v>
      </c>
      <c r="F55" s="16">
        <v>0.3</v>
      </c>
      <c r="G55" s="13">
        <f t="shared" ref="G55:G61" si="14">B55*C55*E55</f>
        <v>1.2E-2</v>
      </c>
      <c r="H55" s="13">
        <f>B55*D55*F55</f>
        <v>8.3999999999999991E-2</v>
      </c>
    </row>
    <row r="56" spans="1:8" x14ac:dyDescent="0.25">
      <c r="A56" s="5" t="s">
        <v>66</v>
      </c>
      <c r="B56" s="2">
        <v>0.5</v>
      </c>
      <c r="C56" s="2">
        <f t="shared" ref="C56:C60" si="15">K$2</f>
        <v>0.3</v>
      </c>
      <c r="D56" s="2">
        <f t="shared" ref="D56:D60" si="16">L$2</f>
        <v>0.7</v>
      </c>
      <c r="E56" s="16">
        <v>0.1</v>
      </c>
      <c r="F56" s="16">
        <v>0.3</v>
      </c>
      <c r="G56" s="13">
        <f t="shared" si="14"/>
        <v>1.4999999999999999E-2</v>
      </c>
      <c r="H56" s="13">
        <f t="shared" ref="H56:H61" si="17">B56*D56*F56</f>
        <v>0.105</v>
      </c>
    </row>
    <row r="57" spans="1:8" x14ac:dyDescent="0.25">
      <c r="A57" s="4" t="s">
        <v>67</v>
      </c>
      <c r="B57" s="2">
        <v>0.4</v>
      </c>
      <c r="C57" s="2">
        <f t="shared" si="15"/>
        <v>0.3</v>
      </c>
      <c r="D57" s="2">
        <f t="shared" si="16"/>
        <v>0.7</v>
      </c>
      <c r="E57" s="16">
        <v>0.1</v>
      </c>
      <c r="F57" s="16">
        <v>0.3</v>
      </c>
      <c r="G57" s="13">
        <f t="shared" si="14"/>
        <v>1.2E-2</v>
      </c>
      <c r="H57" s="13">
        <f t="shared" si="17"/>
        <v>8.3999999999999991E-2</v>
      </c>
    </row>
    <row r="58" spans="1:8" x14ac:dyDescent="0.25">
      <c r="A58" s="4" t="s">
        <v>68</v>
      </c>
      <c r="B58" s="2">
        <v>0.4</v>
      </c>
      <c r="C58" s="2">
        <f t="shared" si="15"/>
        <v>0.3</v>
      </c>
      <c r="D58" s="2">
        <f t="shared" si="16"/>
        <v>0.7</v>
      </c>
      <c r="E58" s="16">
        <v>0.1</v>
      </c>
      <c r="F58" s="16">
        <v>0.3</v>
      </c>
      <c r="G58" s="13">
        <f t="shared" si="14"/>
        <v>1.2E-2</v>
      </c>
      <c r="H58" s="13">
        <f t="shared" si="17"/>
        <v>8.3999999999999991E-2</v>
      </c>
    </row>
    <row r="59" spans="1:8" x14ac:dyDescent="0.25">
      <c r="A59" s="6" t="s">
        <v>69</v>
      </c>
      <c r="B59" s="2">
        <v>0.6</v>
      </c>
      <c r="C59" s="2">
        <f t="shared" si="15"/>
        <v>0.3</v>
      </c>
      <c r="D59" s="2">
        <f t="shared" si="16"/>
        <v>0.7</v>
      </c>
      <c r="E59" s="16">
        <v>0.1</v>
      </c>
      <c r="F59" s="16">
        <v>0.3</v>
      </c>
      <c r="G59" s="13">
        <f t="shared" si="14"/>
        <v>1.7999999999999999E-2</v>
      </c>
      <c r="H59" s="13">
        <f t="shared" si="17"/>
        <v>0.126</v>
      </c>
    </row>
    <row r="60" spans="1:8" x14ac:dyDescent="0.25">
      <c r="A60" s="5" t="s">
        <v>70</v>
      </c>
      <c r="B60" s="2">
        <v>0.5</v>
      </c>
      <c r="C60" s="2">
        <f t="shared" si="15"/>
        <v>0.3</v>
      </c>
      <c r="D60" s="2">
        <f t="shared" si="16"/>
        <v>0.7</v>
      </c>
      <c r="E60" s="16">
        <v>0.1</v>
      </c>
      <c r="F60" s="16">
        <v>0.3</v>
      </c>
      <c r="G60" s="13">
        <f t="shared" si="14"/>
        <v>1.4999999999999999E-2</v>
      </c>
      <c r="H60" s="13">
        <f t="shared" si="17"/>
        <v>0.105</v>
      </c>
    </row>
    <row r="61" spans="1:8" x14ac:dyDescent="0.25">
      <c r="A61" s="4" t="s">
        <v>71</v>
      </c>
      <c r="B61" s="2">
        <v>0.3</v>
      </c>
      <c r="C61" s="2">
        <f t="shared" ref="C61" si="18">K$2</f>
        <v>0.3</v>
      </c>
      <c r="D61" s="2">
        <f t="shared" ref="D61" si="19">L$2</f>
        <v>0.7</v>
      </c>
      <c r="E61" s="16">
        <v>0.1</v>
      </c>
      <c r="F61" s="16">
        <v>0.3</v>
      </c>
      <c r="G61" s="13">
        <f t="shared" si="14"/>
        <v>8.9999999999999993E-3</v>
      </c>
      <c r="H61" s="13">
        <f t="shared" si="17"/>
        <v>6.3E-2</v>
      </c>
    </row>
    <row r="62" spans="1:8" x14ac:dyDescent="0.25">
      <c r="G62" s="1" t="s">
        <v>106</v>
      </c>
      <c r="H62" s="1" t="s">
        <v>107</v>
      </c>
    </row>
    <row r="63" spans="1:8" x14ac:dyDescent="0.25">
      <c r="F63" s="14" t="s">
        <v>102</v>
      </c>
      <c r="G63" s="18">
        <f>SUM(G55:G61)</f>
        <v>9.2999999999999999E-2</v>
      </c>
      <c r="H63" s="18">
        <f>SUM(H55:H61)</f>
        <v>0.65100000000000002</v>
      </c>
    </row>
    <row r="65" spans="1:8" x14ac:dyDescent="0.25">
      <c r="A65" s="1" t="s">
        <v>118</v>
      </c>
      <c r="B65" s="1" t="s">
        <v>101</v>
      </c>
      <c r="C65" s="1" t="s">
        <v>109</v>
      </c>
      <c r="D65" s="1" t="s">
        <v>110</v>
      </c>
      <c r="E65" s="1" t="s">
        <v>104</v>
      </c>
      <c r="F65" s="1" t="s">
        <v>103</v>
      </c>
      <c r="G65" s="1" t="s">
        <v>105</v>
      </c>
      <c r="H65" s="1" t="s">
        <v>108</v>
      </c>
    </row>
    <row r="66" spans="1:8" x14ac:dyDescent="0.25">
      <c r="A66" s="10" t="s">
        <v>85</v>
      </c>
      <c r="B66" s="2">
        <v>0.7</v>
      </c>
      <c r="C66" s="2">
        <f>K$2</f>
        <v>0.3</v>
      </c>
      <c r="D66" s="2">
        <f>L$2</f>
        <v>0.7</v>
      </c>
      <c r="E66" s="16">
        <v>0.1</v>
      </c>
      <c r="F66" s="16">
        <v>0.3</v>
      </c>
      <c r="G66" s="13">
        <f t="shared" ref="G66:G70" si="20">B66*C66*E66</f>
        <v>2.1000000000000001E-2</v>
      </c>
      <c r="H66" s="13">
        <f>B66*D66*F66</f>
        <v>0.14699999999999996</v>
      </c>
    </row>
    <row r="67" spans="1:8" x14ac:dyDescent="0.25">
      <c r="A67" s="9" t="s">
        <v>86</v>
      </c>
      <c r="B67" s="2">
        <v>0.25</v>
      </c>
      <c r="C67" s="2">
        <f t="shared" ref="C67:C71" si="21">K$2</f>
        <v>0.3</v>
      </c>
      <c r="D67" s="2">
        <f t="shared" ref="D67:D71" si="22">L$2</f>
        <v>0.7</v>
      </c>
      <c r="E67" s="16">
        <v>0.1</v>
      </c>
      <c r="F67" s="16">
        <v>0.3</v>
      </c>
      <c r="G67" s="13">
        <f t="shared" si="20"/>
        <v>7.4999999999999997E-3</v>
      </c>
      <c r="H67" s="13">
        <f t="shared" ref="H67:H70" si="23">B67*D67*F67</f>
        <v>5.2499999999999998E-2</v>
      </c>
    </row>
    <row r="68" spans="1:8" x14ac:dyDescent="0.25">
      <c r="A68" s="9" t="s">
        <v>87</v>
      </c>
      <c r="B68" s="2">
        <v>0.3</v>
      </c>
      <c r="C68" s="2">
        <f t="shared" si="21"/>
        <v>0.3</v>
      </c>
      <c r="D68" s="2">
        <f t="shared" si="22"/>
        <v>0.7</v>
      </c>
      <c r="E68" s="16">
        <v>0.1</v>
      </c>
      <c r="F68" s="16">
        <v>0.3</v>
      </c>
      <c r="G68" s="13">
        <f t="shared" si="20"/>
        <v>8.9999999999999993E-3</v>
      </c>
      <c r="H68" s="13">
        <f t="shared" si="23"/>
        <v>6.3E-2</v>
      </c>
    </row>
    <row r="69" spans="1:8" x14ac:dyDescent="0.25">
      <c r="A69" s="9" t="s">
        <v>88</v>
      </c>
      <c r="B69" s="2">
        <v>0.4</v>
      </c>
      <c r="C69" s="2">
        <f t="shared" si="21"/>
        <v>0.3</v>
      </c>
      <c r="D69" s="2">
        <f t="shared" si="22"/>
        <v>0.7</v>
      </c>
      <c r="E69" s="16">
        <v>0.1</v>
      </c>
      <c r="F69" s="16">
        <v>0.3</v>
      </c>
      <c r="G69" s="13">
        <f t="shared" si="20"/>
        <v>1.2E-2</v>
      </c>
      <c r="H69" s="13">
        <f t="shared" si="23"/>
        <v>8.3999999999999991E-2</v>
      </c>
    </row>
    <row r="70" spans="1:8" x14ac:dyDescent="0.25">
      <c r="A70" s="10" t="s">
        <v>90</v>
      </c>
      <c r="B70" s="2">
        <v>0.5</v>
      </c>
      <c r="C70" s="2">
        <f t="shared" si="21"/>
        <v>0.3</v>
      </c>
      <c r="D70" s="2">
        <f t="shared" si="22"/>
        <v>0.7</v>
      </c>
      <c r="E70" s="16">
        <v>0.1</v>
      </c>
      <c r="F70" s="16">
        <v>0.3</v>
      </c>
      <c r="G70" s="13">
        <f t="shared" si="20"/>
        <v>1.4999999999999999E-2</v>
      </c>
      <c r="H70" s="13">
        <f t="shared" si="23"/>
        <v>0.105</v>
      </c>
    </row>
    <row r="71" spans="1:8" x14ac:dyDescent="0.25">
      <c r="A71" s="10" t="s">
        <v>91</v>
      </c>
      <c r="B71" s="2">
        <v>0.3</v>
      </c>
      <c r="C71" s="2">
        <f t="shared" si="21"/>
        <v>0.3</v>
      </c>
      <c r="D71" s="2">
        <f t="shared" si="22"/>
        <v>0.7</v>
      </c>
      <c r="E71" s="16">
        <v>0.1</v>
      </c>
      <c r="F71" s="16">
        <v>0.3</v>
      </c>
      <c r="G71" s="13">
        <f t="shared" ref="G71" si="24">B71*C71*E71</f>
        <v>8.9999999999999993E-3</v>
      </c>
      <c r="H71" s="13">
        <f>B71*D71*F71</f>
        <v>6.3E-2</v>
      </c>
    </row>
    <row r="72" spans="1:8" x14ac:dyDescent="0.25">
      <c r="G72" s="1" t="s">
        <v>106</v>
      </c>
      <c r="H72" s="1" t="s">
        <v>107</v>
      </c>
    </row>
    <row r="73" spans="1:8" x14ac:dyDescent="0.25">
      <c r="F73" s="14" t="s">
        <v>102</v>
      </c>
      <c r="G73" s="18">
        <f>SUM(G66:G71)</f>
        <v>7.3499999999999996E-2</v>
      </c>
      <c r="H73" s="18">
        <f>SUM(H66:H71)</f>
        <v>0.51449999999999996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VDS factors</vt:lpstr>
      <vt:lpstr>Index of potential AI 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2026-08-20T10:22:08Z</dcterms:modified>
</cp:coreProperties>
</file>