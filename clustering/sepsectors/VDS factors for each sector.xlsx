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VDS factors" sheetId="1" r:id="rId1"/>
    <sheet name="Index of potential AI impac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2" l="1"/>
  <c r="O4" i="2" s="1"/>
  <c r="O5" i="2" s="1"/>
  <c r="O6" i="2" s="1"/>
  <c r="O7" i="2" s="1"/>
  <c r="O8" i="2" s="1"/>
  <c r="O9" i="2" s="1"/>
  <c r="H3" i="2"/>
  <c r="H4" i="2"/>
  <c r="H5" i="2"/>
  <c r="H6" i="2"/>
  <c r="H7" i="2"/>
  <c r="H8" i="2"/>
  <c r="H9" i="2"/>
  <c r="H2" i="2"/>
  <c r="E16" i="2"/>
  <c r="E14" i="2" l="1"/>
  <c r="E15" i="2"/>
  <c r="E17" i="2"/>
  <c r="E18" i="2"/>
  <c r="E19" i="2"/>
  <c r="E20" i="2"/>
  <c r="E21" i="2"/>
  <c r="E22" i="2"/>
  <c r="E13" i="2"/>
  <c r="E24" i="2" l="1"/>
  <c r="E25" i="2"/>
  <c r="E9" i="2"/>
  <c r="E8" i="2"/>
  <c r="E7" i="2"/>
  <c r="E6" i="2"/>
  <c r="E11" i="2" s="1"/>
  <c r="E2" i="2"/>
  <c r="E4" i="2"/>
  <c r="E3" i="2"/>
  <c r="E5" i="2"/>
</calcChain>
</file>

<file path=xl/sharedStrings.xml><?xml version="1.0" encoding="utf-8"?>
<sst xmlns="http://schemas.openxmlformats.org/spreadsheetml/2006/main" count="134" uniqueCount="114">
  <si>
    <t>Сектор</t>
  </si>
  <si>
    <t>Факторы успеха/ВДС</t>
  </si>
  <si>
    <t>СЕЛЬСКОЕ, ЛЕСНОЕ ХОЗЯЙСТВО, ОХОТА, РЫБОЛОВСТВО И РЫБОВОДСТВО</t>
  </si>
  <si>
    <t>Рост урожайности, продуктивности животных и рыб</t>
  </si>
  <si>
    <t>Оптимизация использования природных ресурсов</t>
  </si>
  <si>
    <t>Селекция, генетическое улучшение и воспроизводство</t>
  </si>
  <si>
    <t>Защита от природных, биологических и климатических рисков</t>
  </si>
  <si>
    <t>Механизация, автоматизация и цифровизация производства</t>
  </si>
  <si>
    <t>Оптимизация производственных затрат и повышение ресурсоэффективности</t>
  </si>
  <si>
    <t>Снижение потерь и повышение эффективности хранения</t>
  </si>
  <si>
    <t>Увеличение степени переработки и качества продукции</t>
  </si>
  <si>
    <t>Оптимизация сбыта, ассортимента и рыночной специализации</t>
  </si>
  <si>
    <t>Класс задач</t>
  </si>
  <si>
    <t>ML|AI impact</t>
  </si>
  <si>
    <t>Прогнозирование (спрос, продажи, отток итд)</t>
  </si>
  <si>
    <t xml:space="preserve">10-30% </t>
  </si>
  <si>
    <t>Логистика</t>
  </si>
  <si>
    <t xml:space="preserve">5-25% </t>
  </si>
  <si>
    <t>Управление запасами</t>
  </si>
  <si>
    <t>10-30%</t>
  </si>
  <si>
    <t>Оптимизация энергопотребления</t>
  </si>
  <si>
    <t>10-40%</t>
  </si>
  <si>
    <t>Распознование</t>
  </si>
  <si>
    <t>30-90% (+ бесконечность)</t>
  </si>
  <si>
    <t>Оптимизация производства (брак, оборудование)</t>
  </si>
  <si>
    <t>Комб. поиск материалов (соединений)</t>
  </si>
  <si>
    <t>5-100 раз быстрее</t>
  </si>
  <si>
    <t>Комб. поиск лекарств</t>
  </si>
  <si>
    <t>3-20 раз быстрее</t>
  </si>
  <si>
    <t>Комб. селекция (лучшие генотипы)</t>
  </si>
  <si>
    <t>СЕКТОР А</t>
  </si>
  <si>
    <t>СЕКТОР В</t>
  </si>
  <si>
    <t>Поиск, разведка и оценка запасов месторождений</t>
  </si>
  <si>
    <t>ДОБЫЧА ПОЛЕЗНЫХ ИСКОПАЕМЫХ</t>
  </si>
  <si>
    <t>Оптимизация извлечения полезных ископаемых</t>
  </si>
  <si>
    <t>Геолого-геофизическое моделирование и прогнозирование</t>
  </si>
  <si>
    <t>Оптимизация производственных процессов и режимов добычи</t>
  </si>
  <si>
    <t>Повышение производительности и эффективности оборудования</t>
  </si>
  <si>
    <t>Снижение ресурсоёмкости и себестоимости добычи</t>
  </si>
  <si>
    <t>Управление рисками и обеспечение промышленной безопасности</t>
  </si>
  <si>
    <t>Повышение качества и концентрации добываемого сырья</t>
  </si>
  <si>
    <t>Оптимизация логистики и инфраструктуры добычи</t>
  </si>
  <si>
    <t>Комплексное освоение месторождений и сокращение потерь</t>
  </si>
  <si>
    <t>СЕКТОР С</t>
  </si>
  <si>
    <t>ОБРАБАТЫВАЮЩИЕ ПРОИЗВОДСТВА</t>
  </si>
  <si>
    <t>Повышение производительности и эффективности производственных процессов</t>
  </si>
  <si>
    <t>Автоматизация и цифровизация производства</t>
  </si>
  <si>
    <t>Оптимизация использования сырья, материалов и энергии</t>
  </si>
  <si>
    <t>Повышение качества и снижение брака</t>
  </si>
  <si>
    <t>Разработка новых продуктов, материалов и технологий</t>
  </si>
  <si>
    <t>Оптимизация производственного планирования и цепочек поставок</t>
  </si>
  <si>
    <t>Повышение сложности и технологичности продукции</t>
  </si>
  <si>
    <t>Снижение себестоимости и повышение экономической эффективности</t>
  </si>
  <si>
    <t>Адаптация продукции к требованиям рынка и расширение рынков сбыта</t>
  </si>
  <si>
    <t>Надёжность, безопасность и устойчивость производства</t>
  </si>
  <si>
    <t>СЕКТОР F</t>
  </si>
  <si>
    <t>СТРОИТЕЛЬСТВО</t>
  </si>
  <si>
    <t>Оптимизация проектирования и инженерных решений</t>
  </si>
  <si>
    <t>Оптимизация строительных процессов и последовательности работ</t>
  </si>
  <si>
    <t>Повышение производительности труда и техники</t>
  </si>
  <si>
    <t>Управление материалами и ресурсами</t>
  </si>
  <si>
    <t>Планирование сроков и управление проектами</t>
  </si>
  <si>
    <t>Контроль качества и выявление дефектов</t>
  </si>
  <si>
    <t>Управление рисками, безопасностью и надёжностью</t>
  </si>
  <si>
    <t>Оптимизация закупок и цепочек поставок</t>
  </si>
  <si>
    <t>Повышение качества и потребительской ценности объектов</t>
  </si>
  <si>
    <t>Индустриализация и внедрение новых строительных технологий</t>
  </si>
  <si>
    <t>СЕКТОР G</t>
  </si>
  <si>
    <t>ТОРГОВЛЯ ОПТОВАЯ И РОЗНИЧНАЯ; РЕМОНТ АВТОТРАНСПОРТНЫХ СРЕДСТВ И МОТОЦИКЛОВ</t>
  </si>
  <si>
    <t>Оптимизация ассортимента и товарной структуры</t>
  </si>
  <si>
    <t>Прогнозирование спроса и поведения покупателей</t>
  </si>
  <si>
    <t>Оптимизация закупок и цен</t>
  </si>
  <si>
    <t>Управление запасами и товарными потоками</t>
  </si>
  <si>
    <t>Оптимизация логистики и цепочек поставок</t>
  </si>
  <si>
    <t>Повышение эффективности продаж и взаимодействия с клиентом</t>
  </si>
  <si>
    <t>Автоматизация торговых и складских операций</t>
  </si>
  <si>
    <t>Повышение эффективности ремонта и технического обслуживания автомобилей и мотоциклов</t>
  </si>
  <si>
    <t>Развитие дополнительных услуг и повышение потребительской ценности</t>
  </si>
  <si>
    <t>СЕКТОР H</t>
  </si>
  <si>
    <t>ТРАНСПОРТИРОВКА И ХРАНЕНИЕ</t>
  </si>
  <si>
    <t>Оптимизация маршрутов и транспортных потоков</t>
  </si>
  <si>
    <t>Оптимизация загрузки транспортных средств и инфраструктуры</t>
  </si>
  <si>
    <t>Планирование и диспетчеризация перевозок</t>
  </si>
  <si>
    <t>Управление запасами и складскими операциями</t>
  </si>
  <si>
    <t>Прогнозирование спроса и транспортных потоков</t>
  </si>
  <si>
    <t>Повышение эффективности и технической готовности транспорта</t>
  </si>
  <si>
    <t>Безопасность и надёжность перевозок</t>
  </si>
  <si>
    <t>ДЕЯТЕЛЬНОСТЬ В ОБЛАСТИ ИНФОРМАЦИИ И СВЯЗИ</t>
  </si>
  <si>
    <t>СЕКТОР J</t>
  </si>
  <si>
    <t>Разработка новых цифровых продуктов, технологий и контента</t>
  </si>
  <si>
    <t>Повышение производительности и автоматизация информационных процессов</t>
  </si>
  <si>
    <t>Оптимизация информационных и телекоммуникационных систем</t>
  </si>
  <si>
    <t>Обработка, анализ и использование данных</t>
  </si>
  <si>
    <t>Повышение качества, надёжности и безопасности цифровых продуктов и инфраструктуры</t>
  </si>
  <si>
    <t>Прогнозирование спроса и поведения пользователей</t>
  </si>
  <si>
    <t>Масштабирование и эффективное распространение цифровых продуктов и услуг</t>
  </si>
  <si>
    <t>СЕКТОР K</t>
  </si>
  <si>
    <t>ДЕЯТЕЛЬНОСТЬ ФИНАНСОВАЯ И СТРАХОВАЯ</t>
  </si>
  <si>
    <t>Оценка кредитных и финансовых рисков</t>
  </si>
  <si>
    <t>Оптимизация распределения капитала и инвестиций</t>
  </si>
  <si>
    <t>Прогнозирование финансовых рынков и экономических показателей</t>
  </si>
  <si>
    <t>Оптимизация финансовых продуктов и условий</t>
  </si>
  <si>
    <t>Управление страховыми рисками и оценка вероятности страховых событий</t>
  </si>
  <si>
    <t>Выявление мошенничества, аномалий и финансовых нарушений</t>
  </si>
  <si>
    <t>Автоматизация и повышение производительности финансовых операций</t>
  </si>
  <si>
    <t>ФАКТОРЫ ВДС (Сектор А)</t>
  </si>
  <si>
    <t>Significance</t>
  </si>
  <si>
    <t>Capabilty</t>
  </si>
  <si>
    <t>Impact (avg)</t>
  </si>
  <si>
    <t>Index</t>
  </si>
  <si>
    <t>Total =</t>
  </si>
  <si>
    <t>Total(10) =</t>
  </si>
  <si>
    <t>Total(8) =</t>
  </si>
  <si>
    <t>Сектор 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</si>
</sst>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15959"/>
        <bgColor indexed="64"/>
      </patternFill>
    </fill>
    <fill>
      <patternFill patternType="solid">
        <fgColor rgb="FFFF66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66CC"/>
      <color rgb="FFF15959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zoomScaleNormal="100" workbookViewId="0">
      <selection activeCell="B33" sqref="B33"/>
    </sheetView>
  </sheetViews>
  <sheetFormatPr defaultRowHeight="15" x14ac:dyDescent="0.25"/>
  <cols>
    <col min="1" max="1" width="45.85546875" customWidth="1"/>
    <col min="2" max="2" width="72.5703125" customWidth="1"/>
    <col min="3" max="3" width="65.42578125" customWidth="1"/>
    <col min="4" max="4" width="64.85546875" customWidth="1"/>
    <col min="5" max="5" width="59.85546875" customWidth="1"/>
    <col min="6" max="6" width="65.7109375" customWidth="1"/>
    <col min="7" max="7" width="62.5703125" customWidth="1"/>
    <col min="8" max="8" width="71.85546875" customWidth="1"/>
    <col min="9" max="9" width="73" customWidth="1"/>
    <col min="10" max="10" width="57.140625" customWidth="1"/>
  </cols>
  <sheetData>
    <row r="1" spans="1:9" x14ac:dyDescent="0.25">
      <c r="B1" s="1" t="s">
        <v>30</v>
      </c>
      <c r="C1" s="1" t="s">
        <v>31</v>
      </c>
      <c r="D1" s="1" t="s">
        <v>43</v>
      </c>
      <c r="E1" s="1" t="s">
        <v>55</v>
      </c>
      <c r="F1" s="1" t="s">
        <v>67</v>
      </c>
      <c r="G1" s="1" t="s">
        <v>78</v>
      </c>
      <c r="H1" s="1" t="s">
        <v>88</v>
      </c>
      <c r="I1" s="1" t="s">
        <v>96</v>
      </c>
    </row>
    <row r="2" spans="1:9" x14ac:dyDescent="0.25">
      <c r="A2" s="1" t="s">
        <v>0</v>
      </c>
      <c r="B2" s="1" t="s">
        <v>2</v>
      </c>
      <c r="C2" s="1" t="s">
        <v>33</v>
      </c>
      <c r="D2" s="1" t="s">
        <v>44</v>
      </c>
      <c r="E2" s="1" t="s">
        <v>56</v>
      </c>
      <c r="F2" s="7" t="s">
        <v>68</v>
      </c>
      <c r="G2" s="1" t="s">
        <v>79</v>
      </c>
      <c r="H2" s="1" t="s">
        <v>87</v>
      </c>
      <c r="I2" s="1" t="s">
        <v>97</v>
      </c>
    </row>
    <row r="3" spans="1:9" x14ac:dyDescent="0.25">
      <c r="A3" s="1" t="s">
        <v>1</v>
      </c>
      <c r="B3" s="5" t="s">
        <v>3</v>
      </c>
      <c r="C3" s="5" t="s">
        <v>32</v>
      </c>
      <c r="D3" s="4" t="s">
        <v>45</v>
      </c>
      <c r="E3" s="4" t="s">
        <v>57</v>
      </c>
      <c r="F3" s="4" t="s">
        <v>69</v>
      </c>
      <c r="G3" s="6" t="s">
        <v>80</v>
      </c>
      <c r="H3" s="10" t="s">
        <v>89</v>
      </c>
      <c r="I3" s="5" t="s">
        <v>98</v>
      </c>
    </row>
    <row r="4" spans="1:9" x14ac:dyDescent="0.25">
      <c r="B4" s="4" t="s">
        <v>4</v>
      </c>
      <c r="C4" s="4" t="s">
        <v>34</v>
      </c>
      <c r="D4" s="2" t="s">
        <v>46</v>
      </c>
      <c r="E4" s="4" t="s">
        <v>58</v>
      </c>
      <c r="F4" s="5" t="s">
        <v>70</v>
      </c>
      <c r="G4" s="4" t="s">
        <v>81</v>
      </c>
      <c r="H4" s="9" t="s">
        <v>90</v>
      </c>
      <c r="I4" s="4" t="s">
        <v>99</v>
      </c>
    </row>
    <row r="5" spans="1:9" x14ac:dyDescent="0.25">
      <c r="B5" s="11" t="s">
        <v>5</v>
      </c>
      <c r="C5" s="5" t="s">
        <v>35</v>
      </c>
      <c r="D5" s="4" t="s">
        <v>47</v>
      </c>
      <c r="E5" s="4" t="s">
        <v>59</v>
      </c>
      <c r="F5" s="4" t="s">
        <v>71</v>
      </c>
      <c r="G5" s="6" t="s">
        <v>82</v>
      </c>
      <c r="H5" s="9" t="s">
        <v>91</v>
      </c>
      <c r="I5" s="5" t="s">
        <v>100</v>
      </c>
    </row>
    <row r="6" spans="1:9" x14ac:dyDescent="0.25">
      <c r="B6" s="5" t="s">
        <v>6</v>
      </c>
      <c r="C6" s="4" t="s">
        <v>36</v>
      </c>
      <c r="D6" s="12" t="s">
        <v>48</v>
      </c>
      <c r="E6" s="4" t="s">
        <v>60</v>
      </c>
      <c r="F6" s="4" t="s">
        <v>72</v>
      </c>
      <c r="G6" s="4" t="s">
        <v>83</v>
      </c>
      <c r="H6" s="9" t="s">
        <v>92</v>
      </c>
      <c r="I6" s="4" t="s">
        <v>101</v>
      </c>
    </row>
    <row r="7" spans="1:9" x14ac:dyDescent="0.25">
      <c r="B7" s="2" t="s">
        <v>7</v>
      </c>
      <c r="C7" s="4" t="s">
        <v>37</v>
      </c>
      <c r="D7" s="11" t="s">
        <v>49</v>
      </c>
      <c r="E7" s="5" t="s">
        <v>61</v>
      </c>
      <c r="F7" s="6" t="s">
        <v>73</v>
      </c>
      <c r="G7" s="5" t="s">
        <v>84</v>
      </c>
      <c r="H7" s="8" t="s">
        <v>93</v>
      </c>
      <c r="I7" s="4" t="s">
        <v>102</v>
      </c>
    </row>
    <row r="8" spans="1:9" x14ac:dyDescent="0.25">
      <c r="B8" s="3" t="s">
        <v>8</v>
      </c>
      <c r="C8" s="4" t="s">
        <v>38</v>
      </c>
      <c r="D8" s="6" t="s">
        <v>50</v>
      </c>
      <c r="E8" s="12" t="s">
        <v>62</v>
      </c>
      <c r="F8" s="5" t="s">
        <v>74</v>
      </c>
      <c r="G8" s="2" t="s">
        <v>85</v>
      </c>
      <c r="H8" s="10" t="s">
        <v>94</v>
      </c>
      <c r="I8" s="5" t="s">
        <v>103</v>
      </c>
    </row>
    <row r="9" spans="1:9" x14ac:dyDescent="0.25">
      <c r="B9" s="4" t="s">
        <v>9</v>
      </c>
      <c r="C9" s="12" t="s">
        <v>39</v>
      </c>
      <c r="D9" s="5" t="s">
        <v>51</v>
      </c>
      <c r="E9" s="5" t="s">
        <v>63</v>
      </c>
      <c r="F9" s="4" t="s">
        <v>75</v>
      </c>
      <c r="G9" s="5" t="s">
        <v>86</v>
      </c>
      <c r="H9" s="10" t="s">
        <v>95</v>
      </c>
      <c r="I9" s="4" t="s">
        <v>104</v>
      </c>
    </row>
    <row r="10" spans="1:9" x14ac:dyDescent="0.25">
      <c r="B10" s="4" t="s">
        <v>10</v>
      </c>
      <c r="C10" s="4" t="s">
        <v>40</v>
      </c>
      <c r="D10" s="4" t="s">
        <v>52</v>
      </c>
      <c r="E10" s="4" t="s">
        <v>64</v>
      </c>
      <c r="F10" s="2" t="s">
        <v>76</v>
      </c>
    </row>
    <row r="11" spans="1:9" x14ac:dyDescent="0.25">
      <c r="B11" s="5" t="s">
        <v>11</v>
      </c>
      <c r="C11" s="6" t="s">
        <v>41</v>
      </c>
      <c r="D11" s="5" t="s">
        <v>53</v>
      </c>
      <c r="E11" s="11" t="s">
        <v>65</v>
      </c>
      <c r="F11" s="2" t="s">
        <v>77</v>
      </c>
    </row>
    <row r="12" spans="1:9" x14ac:dyDescent="0.25">
      <c r="C12" s="4" t="s">
        <v>42</v>
      </c>
      <c r="D12" s="12" t="s">
        <v>54</v>
      </c>
      <c r="E12" s="2" t="s">
        <v>66</v>
      </c>
    </row>
    <row r="17" spans="1:2" x14ac:dyDescent="0.25">
      <c r="A17" s="1" t="s">
        <v>12</v>
      </c>
      <c r="B17" s="1" t="s">
        <v>13</v>
      </c>
    </row>
    <row r="18" spans="1:2" x14ac:dyDescent="0.25">
      <c r="A18" s="5" t="s">
        <v>14</v>
      </c>
      <c r="B18" s="5" t="s">
        <v>15</v>
      </c>
    </row>
    <row r="19" spans="1:2" x14ac:dyDescent="0.25">
      <c r="A19" s="6" t="s">
        <v>16</v>
      </c>
      <c r="B19" s="6" t="s">
        <v>17</v>
      </c>
    </row>
    <row r="20" spans="1:2" x14ac:dyDescent="0.25">
      <c r="A20" s="4" t="s">
        <v>18</v>
      </c>
      <c r="B20" s="4" t="s">
        <v>19</v>
      </c>
    </row>
    <row r="21" spans="1:2" x14ac:dyDescent="0.25">
      <c r="A21" s="3" t="s">
        <v>20</v>
      </c>
      <c r="B21" s="3" t="s">
        <v>21</v>
      </c>
    </row>
    <row r="22" spans="1:2" x14ac:dyDescent="0.25">
      <c r="A22" s="12" t="s">
        <v>22</v>
      </c>
      <c r="B22" s="12" t="s">
        <v>23</v>
      </c>
    </row>
    <row r="23" spans="1:2" x14ac:dyDescent="0.25">
      <c r="A23" s="4" t="s">
        <v>24</v>
      </c>
      <c r="B23" s="4" t="s">
        <v>19</v>
      </c>
    </row>
    <row r="24" spans="1:2" x14ac:dyDescent="0.25">
      <c r="A24" s="11" t="s">
        <v>25</v>
      </c>
      <c r="B24" s="11" t="s">
        <v>26</v>
      </c>
    </row>
    <row r="25" spans="1:2" x14ac:dyDescent="0.25">
      <c r="A25" s="11" t="s">
        <v>27</v>
      </c>
      <c r="B25" s="11" t="s">
        <v>28</v>
      </c>
    </row>
    <row r="26" spans="1:2" x14ac:dyDescent="0.25">
      <c r="A26" s="11" t="s">
        <v>29</v>
      </c>
      <c r="B26" s="11" t="s">
        <v>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"/>
  <sheetViews>
    <sheetView tabSelected="1" workbookViewId="0">
      <selection activeCell="I19" sqref="I19"/>
    </sheetView>
  </sheetViews>
  <sheetFormatPr defaultRowHeight="15" x14ac:dyDescent="0.25"/>
  <cols>
    <col min="1" max="1" width="75" customWidth="1"/>
    <col min="2" max="2" width="14.7109375" customWidth="1"/>
    <col min="3" max="3" width="12" customWidth="1"/>
    <col min="4" max="4" width="12.28515625" customWidth="1"/>
  </cols>
  <sheetData>
    <row r="1" spans="1:15" x14ac:dyDescent="0.2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</row>
    <row r="2" spans="1:15" x14ac:dyDescent="0.25">
      <c r="A2" s="5" t="s">
        <v>3</v>
      </c>
      <c r="B2" s="2">
        <v>0.5</v>
      </c>
      <c r="C2" s="2">
        <v>0.6</v>
      </c>
      <c r="D2" s="2">
        <v>0.2</v>
      </c>
      <c r="E2" s="13">
        <f>B2*C2*D2</f>
        <v>0.06</v>
      </c>
      <c r="G2" s="2">
        <v>0.6</v>
      </c>
      <c r="H2" s="2">
        <f>I2+J2</f>
        <v>0.8</v>
      </c>
      <c r="I2" s="2">
        <v>0.6</v>
      </c>
      <c r="J2" s="2">
        <v>0.2</v>
      </c>
      <c r="K2" s="2"/>
      <c r="N2" s="2">
        <v>0.36</v>
      </c>
      <c r="O2" s="2">
        <v>0.08</v>
      </c>
    </row>
    <row r="3" spans="1:15" x14ac:dyDescent="0.25">
      <c r="A3" s="4" t="s">
        <v>4</v>
      </c>
      <c r="B3" s="2">
        <v>0.3</v>
      </c>
      <c r="C3" s="2">
        <v>0.6</v>
      </c>
      <c r="D3" s="2">
        <v>0.2</v>
      </c>
      <c r="E3" s="13">
        <f>B3*C3*D3</f>
        <v>3.5999999999999997E-2</v>
      </c>
      <c r="G3" s="2">
        <v>0.6</v>
      </c>
      <c r="H3" s="2">
        <f t="shared" ref="H3:H9" si="0">I3+J3</f>
        <v>0.8</v>
      </c>
      <c r="I3" s="2">
        <v>0.6</v>
      </c>
      <c r="J3" s="2">
        <v>0.2</v>
      </c>
      <c r="K3" s="2"/>
      <c r="N3" s="2">
        <v>0.4</v>
      </c>
      <c r="O3" s="2">
        <f>O2*2</f>
        <v>0.16</v>
      </c>
    </row>
    <row r="4" spans="1:15" x14ac:dyDescent="0.25">
      <c r="A4" s="11" t="s">
        <v>5</v>
      </c>
      <c r="B4" s="2">
        <v>0.9</v>
      </c>
      <c r="C4" s="2">
        <v>0.15</v>
      </c>
      <c r="D4" s="2">
        <v>0.3</v>
      </c>
      <c r="E4" s="13">
        <f>B4*C4*D4</f>
        <v>4.0500000000000001E-2</v>
      </c>
      <c r="G4" s="2">
        <v>0.15</v>
      </c>
      <c r="H4" s="2">
        <f t="shared" si="0"/>
        <v>0.35</v>
      </c>
      <c r="I4" s="2">
        <v>0.15</v>
      </c>
      <c r="J4" s="2">
        <v>0.2</v>
      </c>
      <c r="K4" s="2"/>
      <c r="N4" s="2">
        <v>0.44</v>
      </c>
      <c r="O4" s="2">
        <f>O3*2</f>
        <v>0.32</v>
      </c>
    </row>
    <row r="5" spans="1:15" x14ac:dyDescent="0.25">
      <c r="A5" s="5" t="s">
        <v>6</v>
      </c>
      <c r="B5" s="2">
        <v>0.25</v>
      </c>
      <c r="C5" s="2">
        <v>0.5</v>
      </c>
      <c r="D5" s="2">
        <v>0.2</v>
      </c>
      <c r="E5" s="13">
        <f>B5*C5*D5</f>
        <v>2.5000000000000001E-2</v>
      </c>
      <c r="G5" s="2">
        <v>0.5</v>
      </c>
      <c r="H5" s="2">
        <f t="shared" si="0"/>
        <v>0.7</v>
      </c>
      <c r="I5" s="2">
        <v>0.5</v>
      </c>
      <c r="J5" s="2">
        <v>0.2</v>
      </c>
      <c r="K5" s="2"/>
      <c r="N5" s="2">
        <v>0.48</v>
      </c>
      <c r="O5" s="2">
        <f>O4*2</f>
        <v>0.64</v>
      </c>
    </row>
    <row r="6" spans="1:15" x14ac:dyDescent="0.25">
      <c r="A6" s="3" t="s">
        <v>8</v>
      </c>
      <c r="B6" s="2">
        <v>0.4</v>
      </c>
      <c r="C6" s="2">
        <v>0.8</v>
      </c>
      <c r="D6" s="2">
        <v>0.25</v>
      </c>
      <c r="E6" s="13">
        <f>B6*C6*D6</f>
        <v>8.0000000000000016E-2</v>
      </c>
      <c r="G6" s="2">
        <v>0.8</v>
      </c>
      <c r="H6" s="2">
        <f t="shared" si="0"/>
        <v>1</v>
      </c>
      <c r="I6" s="2">
        <v>0.8</v>
      </c>
      <c r="J6" s="2">
        <v>0.2</v>
      </c>
      <c r="K6" s="2"/>
      <c r="N6" s="2">
        <v>0.52</v>
      </c>
      <c r="O6" s="2">
        <f>O5*2</f>
        <v>1.28</v>
      </c>
    </row>
    <row r="7" spans="1:15" x14ac:dyDescent="0.25">
      <c r="A7" s="4" t="s">
        <v>9</v>
      </c>
      <c r="B7" s="2">
        <v>0.3</v>
      </c>
      <c r="C7" s="2">
        <v>0.7</v>
      </c>
      <c r="D7" s="2">
        <v>0.2</v>
      </c>
      <c r="E7" s="13">
        <f>B7*C7*D7</f>
        <v>4.2000000000000003E-2</v>
      </c>
      <c r="G7" s="2">
        <v>0.7</v>
      </c>
      <c r="H7" s="2">
        <f t="shared" si="0"/>
        <v>0.89999999999999991</v>
      </c>
      <c r="I7" s="2">
        <v>0.7</v>
      </c>
      <c r="J7" s="2">
        <v>0.2</v>
      </c>
      <c r="K7" s="2"/>
      <c r="N7" s="2"/>
      <c r="O7" s="2">
        <f>O6*2</f>
        <v>2.56</v>
      </c>
    </row>
    <row r="8" spans="1:15" x14ac:dyDescent="0.25">
      <c r="A8" s="4" t="s">
        <v>10</v>
      </c>
      <c r="B8" s="2">
        <v>0.6</v>
      </c>
      <c r="C8" s="2">
        <v>0.4</v>
      </c>
      <c r="D8" s="2">
        <v>0.2</v>
      </c>
      <c r="E8" s="13">
        <f>B8*C8*D8</f>
        <v>4.8000000000000001E-2</v>
      </c>
      <c r="G8" s="2">
        <v>0.4</v>
      </c>
      <c r="H8" s="2">
        <f t="shared" si="0"/>
        <v>0.60000000000000009</v>
      </c>
      <c r="I8" s="2">
        <v>0.4</v>
      </c>
      <c r="J8" s="2">
        <v>0.2</v>
      </c>
      <c r="K8" s="2"/>
      <c r="N8" s="2"/>
      <c r="O8" s="2">
        <f>O7*2</f>
        <v>5.12</v>
      </c>
    </row>
    <row r="9" spans="1:15" x14ac:dyDescent="0.25">
      <c r="A9" s="4" t="s">
        <v>11</v>
      </c>
      <c r="B9" s="2">
        <v>0.25</v>
      </c>
      <c r="C9" s="2">
        <v>0.6</v>
      </c>
      <c r="D9" s="2">
        <v>0.2</v>
      </c>
      <c r="E9" s="13">
        <f>B9*C9*D9</f>
        <v>0.03</v>
      </c>
      <c r="G9" s="2">
        <v>0.6</v>
      </c>
      <c r="H9" s="2">
        <f t="shared" si="0"/>
        <v>0.8</v>
      </c>
      <c r="I9" s="2">
        <v>0.6</v>
      </c>
      <c r="J9" s="2">
        <v>0.2</v>
      </c>
      <c r="K9" s="2"/>
      <c r="N9" s="2"/>
      <c r="O9" s="2">
        <f>O8*2</f>
        <v>10.24</v>
      </c>
    </row>
    <row r="10" spans="1:15" x14ac:dyDescent="0.25">
      <c r="L10" s="2"/>
      <c r="M10" s="2"/>
    </row>
    <row r="11" spans="1:15" x14ac:dyDescent="0.25">
      <c r="D11" s="1" t="s">
        <v>110</v>
      </c>
      <c r="E11" s="14">
        <f>SUM(E2:E9)</f>
        <v>0.36150000000000004</v>
      </c>
    </row>
    <row r="12" spans="1:15" x14ac:dyDescent="0.25">
      <c r="A12" s="1" t="s">
        <v>113</v>
      </c>
      <c r="B12" s="1"/>
    </row>
    <row r="13" spans="1:15" x14ac:dyDescent="0.25">
      <c r="A13" s="5" t="s">
        <v>32</v>
      </c>
      <c r="B13" s="2">
        <v>0.6</v>
      </c>
      <c r="C13" s="2">
        <v>0.7</v>
      </c>
      <c r="D13" s="2">
        <v>0.2</v>
      </c>
      <c r="E13" s="13">
        <f>B13*C13*D13</f>
        <v>8.4000000000000005E-2</v>
      </c>
    </row>
    <row r="14" spans="1:15" x14ac:dyDescent="0.25">
      <c r="A14" s="4" t="s">
        <v>34</v>
      </c>
      <c r="B14" s="2">
        <v>0.4</v>
      </c>
      <c r="C14" s="2">
        <v>0.3</v>
      </c>
      <c r="D14" s="2">
        <v>0.2</v>
      </c>
      <c r="E14" s="13">
        <f>B14*C14*D14</f>
        <v>2.4E-2</v>
      </c>
    </row>
    <row r="15" spans="1:15" x14ac:dyDescent="0.25">
      <c r="A15" s="5" t="s">
        <v>35</v>
      </c>
      <c r="B15" s="2">
        <v>0.6</v>
      </c>
      <c r="C15" s="2">
        <v>0.5</v>
      </c>
      <c r="D15" s="2">
        <v>0.2</v>
      </c>
      <c r="E15" s="13">
        <f>B15*C15*D15</f>
        <v>0.06</v>
      </c>
    </row>
    <row r="16" spans="1:15" x14ac:dyDescent="0.25">
      <c r="A16" s="4" t="s">
        <v>36</v>
      </c>
      <c r="B16" s="2">
        <v>0.2</v>
      </c>
      <c r="C16" s="2">
        <v>0.8</v>
      </c>
      <c r="D16" s="2">
        <v>0.2</v>
      </c>
      <c r="E16" s="13">
        <f>B16*C16*D16</f>
        <v>3.2000000000000008E-2</v>
      </c>
    </row>
    <row r="17" spans="1:5" x14ac:dyDescent="0.25">
      <c r="A17" s="4" t="s">
        <v>37</v>
      </c>
      <c r="B17" s="2">
        <v>0.2</v>
      </c>
      <c r="C17" s="2">
        <v>0.8</v>
      </c>
      <c r="D17" s="2">
        <v>0.2</v>
      </c>
      <c r="E17" s="13">
        <f>B17*C17*D17</f>
        <v>3.2000000000000008E-2</v>
      </c>
    </row>
    <row r="18" spans="1:5" x14ac:dyDescent="0.25">
      <c r="A18" s="4" t="s">
        <v>38</v>
      </c>
      <c r="B18" s="2">
        <v>0.2</v>
      </c>
      <c r="C18" s="2">
        <v>0.6</v>
      </c>
      <c r="D18" s="2">
        <v>0.2</v>
      </c>
      <c r="E18" s="13">
        <f>B18*C18*D18</f>
        <v>2.4E-2</v>
      </c>
    </row>
    <row r="19" spans="1:5" x14ac:dyDescent="0.25">
      <c r="A19" s="12" t="s">
        <v>39</v>
      </c>
      <c r="B19" s="2">
        <v>0.3</v>
      </c>
      <c r="C19" s="2">
        <v>0.85</v>
      </c>
      <c r="D19" s="2">
        <v>0.6</v>
      </c>
      <c r="E19" s="13">
        <f>B19*C19*D19</f>
        <v>0.153</v>
      </c>
    </row>
    <row r="20" spans="1:5" x14ac:dyDescent="0.25">
      <c r="A20" s="4" t="s">
        <v>40</v>
      </c>
      <c r="B20" s="2">
        <v>0.5</v>
      </c>
      <c r="C20" s="2">
        <v>0.3</v>
      </c>
      <c r="D20" s="2">
        <v>0.2</v>
      </c>
      <c r="E20" s="13">
        <f>B20*C20*D20</f>
        <v>0.03</v>
      </c>
    </row>
    <row r="21" spans="1:5" x14ac:dyDescent="0.25">
      <c r="A21" s="6" t="s">
        <v>41</v>
      </c>
      <c r="B21" s="2">
        <v>0.3</v>
      </c>
      <c r="C21" s="2">
        <v>0.6</v>
      </c>
      <c r="D21" s="2">
        <v>0.1</v>
      </c>
      <c r="E21" s="13">
        <f>B21*C21*D21</f>
        <v>1.7999999999999999E-2</v>
      </c>
    </row>
    <row r="22" spans="1:5" x14ac:dyDescent="0.25">
      <c r="A22" s="4" t="s">
        <v>42</v>
      </c>
      <c r="B22" s="2">
        <v>0.2</v>
      </c>
      <c r="C22" s="2">
        <v>0.4</v>
      </c>
      <c r="D22" s="2">
        <v>0.2</v>
      </c>
      <c r="E22" s="13">
        <f>B22*C22*D22</f>
        <v>1.6000000000000004E-2</v>
      </c>
    </row>
    <row r="24" spans="1:5" x14ac:dyDescent="0.25">
      <c r="D24" s="1" t="s">
        <v>112</v>
      </c>
      <c r="E24" s="14">
        <f>SUM(E13:E20)</f>
        <v>0.43900000000000006</v>
      </c>
    </row>
    <row r="25" spans="1:5" x14ac:dyDescent="0.25">
      <c r="D25" s="1" t="s">
        <v>111</v>
      </c>
      <c r="E25" s="14">
        <f>SUM(E13:E22)</f>
        <v>0.47300000000000009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VDS factors</vt:lpstr>
      <vt:lpstr>Index of potential AI impact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2026-08-11T11:21:58Z</dcterms:modified>
</cp:coreProperties>
</file>