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18" i="1" l="1"/>
  <c r="F18" i="1"/>
  <c r="G18" i="1"/>
  <c r="D18" i="1"/>
  <c r="E17" i="1"/>
  <c r="F17" i="1"/>
  <c r="G17" i="1"/>
  <c r="D17" i="1"/>
  <c r="D15" i="1"/>
</calcChain>
</file>

<file path=xl/sharedStrings.xml><?xml version="1.0" encoding="utf-8"?>
<sst xmlns="http://schemas.openxmlformats.org/spreadsheetml/2006/main" count="34" uniqueCount="16">
  <si>
    <t>sector</t>
  </si>
  <si>
    <t>okved2</t>
  </si>
  <si>
    <t>year</t>
  </si>
  <si>
    <t>VDS_s</t>
  </si>
  <si>
    <t>ITcosts_s</t>
  </si>
  <si>
    <t>skvozcosts_s</t>
  </si>
  <si>
    <t>trainingcosts_s</t>
  </si>
  <si>
    <t>Растениеводство и животноводство, охота и предоставление соответствующих услуг в этих областях</t>
  </si>
  <si>
    <t>01</t>
  </si>
  <si>
    <t>Лесоводство и лесозаготовки</t>
  </si>
  <si>
    <t>02</t>
  </si>
  <si>
    <t>Рыболовство и рыбоводство</t>
  </si>
  <si>
    <t>03</t>
  </si>
  <si>
    <t>медиана ВДС:</t>
  </si>
  <si>
    <t>верхний кластер:</t>
  </si>
  <si>
    <t>нижний кластер: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</si>
</sst>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left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tabSelected="1" workbookViewId="0">
      <selection activeCell="D26" sqref="D26"/>
    </sheetView>
  </sheetViews>
  <sheetFormatPr defaultRowHeight="15" x14ac:dyDescent="0.25"/>
  <cols>
    <col min="1" max="1" width="97.85546875" customWidth="1"/>
    <col min="4" max="4" width="13.85546875" customWidth="1"/>
    <col min="5" max="5" width="13.140625" customWidth="1"/>
    <col min="6" max="6" width="15" customWidth="1"/>
    <col min="7" max="7" width="14.285156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2021</v>
      </c>
      <c r="D2" s="3">
        <v>3292837.3871137551</v>
      </c>
      <c r="E2" s="3">
        <v>5258.5701260400001</v>
      </c>
      <c r="F2" s="4">
        <v>1.0604360748915839E-2</v>
      </c>
      <c r="G2" s="4">
        <v>1.868819729404374E-3</v>
      </c>
    </row>
    <row r="3" spans="1:7" x14ac:dyDescent="0.25">
      <c r="A3" s="2" t="s">
        <v>7</v>
      </c>
      <c r="B3" s="2" t="s">
        <v>8</v>
      </c>
      <c r="C3" s="2">
        <v>2022</v>
      </c>
      <c r="D3" s="3">
        <v>3097084.3107878752</v>
      </c>
      <c r="E3" s="3">
        <v>4162.4721680000002</v>
      </c>
      <c r="F3" s="4">
        <v>1.4081114307645259E-3</v>
      </c>
      <c r="G3" s="4">
        <v>3.9573959548935052E-3</v>
      </c>
    </row>
    <row r="4" spans="1:7" x14ac:dyDescent="0.25">
      <c r="A4" s="2" t="s">
        <v>7</v>
      </c>
      <c r="B4" s="2" t="s">
        <v>8</v>
      </c>
      <c r="C4" s="2">
        <v>2023</v>
      </c>
      <c r="D4" s="3">
        <v>2652658.7944572391</v>
      </c>
      <c r="E4" s="3">
        <v>4253.6615775199998</v>
      </c>
      <c r="F4" s="4">
        <v>2.8806641846538372E-3</v>
      </c>
      <c r="G4" s="4">
        <v>1.8380008135386839E-3</v>
      </c>
    </row>
    <row r="5" spans="1:7" x14ac:dyDescent="0.25">
      <c r="A5" s="2" t="s">
        <v>7</v>
      </c>
      <c r="B5" s="2" t="s">
        <v>8</v>
      </c>
      <c r="C5" s="2">
        <v>2024</v>
      </c>
      <c r="D5" s="3">
        <v>2480166.278394436</v>
      </c>
      <c r="E5" s="3">
        <v>4510.0316159999993</v>
      </c>
      <c r="F5" s="4">
        <v>1.003512255644462E-3</v>
      </c>
      <c r="G5" s="4">
        <v>1.2206708220113729E-3</v>
      </c>
    </row>
    <row r="6" spans="1:7" x14ac:dyDescent="0.25">
      <c r="A6" s="2" t="s">
        <v>11</v>
      </c>
      <c r="B6" s="2" t="s">
        <v>12</v>
      </c>
      <c r="C6" s="2">
        <v>2021</v>
      </c>
      <c r="D6" s="3">
        <v>331647.0310656284</v>
      </c>
      <c r="E6" s="3">
        <v>964.84556195999994</v>
      </c>
      <c r="F6" s="4">
        <v>7.4163848413873461E-4</v>
      </c>
      <c r="G6" s="4">
        <v>3.6380912535570372E-4</v>
      </c>
    </row>
    <row r="7" spans="1:7" x14ac:dyDescent="0.25">
      <c r="A7" s="2" t="s">
        <v>11</v>
      </c>
      <c r="B7" s="2" t="s">
        <v>12</v>
      </c>
      <c r="C7" s="2">
        <v>2023</v>
      </c>
      <c r="D7" s="3">
        <v>255261.79722573471</v>
      </c>
      <c r="E7" s="3">
        <v>888.20773440000005</v>
      </c>
      <c r="F7" s="4">
        <v>1.2066660967819649E-3</v>
      </c>
      <c r="G7" s="4">
        <v>2.863735386990569E-3</v>
      </c>
    </row>
    <row r="8" spans="1:7" x14ac:dyDescent="0.25">
      <c r="A8" s="2" t="s">
        <v>11</v>
      </c>
      <c r="B8" s="2" t="s">
        <v>12</v>
      </c>
      <c r="C8" s="2">
        <v>2022</v>
      </c>
      <c r="D8" s="3">
        <v>238996.75153477999</v>
      </c>
      <c r="E8" s="3">
        <v>863.40619829999991</v>
      </c>
      <c r="F8" s="4">
        <v>7.0023981897559661E-4</v>
      </c>
      <c r="G8" s="4">
        <v>9.1753228267274999E-4</v>
      </c>
    </row>
    <row r="9" spans="1:7" x14ac:dyDescent="0.25">
      <c r="A9" s="2" t="s">
        <v>11</v>
      </c>
      <c r="B9" s="2" t="s">
        <v>12</v>
      </c>
      <c r="C9" s="2">
        <v>2024</v>
      </c>
      <c r="D9" s="3">
        <v>218314.63160777459</v>
      </c>
      <c r="E9" s="3">
        <v>897.65553599999998</v>
      </c>
      <c r="F9" s="4">
        <v>4.6312642581418888E-4</v>
      </c>
      <c r="G9" s="4">
        <v>5.3328786021100191E-3</v>
      </c>
    </row>
    <row r="10" spans="1:7" x14ac:dyDescent="0.25">
      <c r="A10" s="2" t="s">
        <v>9</v>
      </c>
      <c r="B10" s="2" t="s">
        <v>10</v>
      </c>
      <c r="C10" s="2">
        <v>2021</v>
      </c>
      <c r="D10" s="3">
        <v>177476.11420904889</v>
      </c>
      <c r="E10" s="3">
        <v>1454.99992092</v>
      </c>
      <c r="F10" s="4">
        <v>2.7347370558508639E-4</v>
      </c>
      <c r="G10" s="4">
        <v>8.7625687236728058E-4</v>
      </c>
    </row>
    <row r="11" spans="1:7" x14ac:dyDescent="0.25">
      <c r="A11" s="2" t="s">
        <v>9</v>
      </c>
      <c r="B11" s="2" t="s">
        <v>10</v>
      </c>
      <c r="C11" s="2">
        <v>2022</v>
      </c>
      <c r="D11" s="3">
        <v>149725.9222474432</v>
      </c>
      <c r="E11" s="3">
        <v>1319.2765561000001</v>
      </c>
      <c r="F11" s="4">
        <v>9.5143491498901212E-3</v>
      </c>
      <c r="G11" s="4">
        <v>8.6555389370039323E-4</v>
      </c>
    </row>
    <row r="12" spans="1:7" x14ac:dyDescent="0.25">
      <c r="A12" s="2" t="s">
        <v>9</v>
      </c>
      <c r="B12" s="2" t="s">
        <v>10</v>
      </c>
      <c r="C12" s="2">
        <v>2024</v>
      </c>
      <c r="D12" s="3">
        <v>123407.0292947656</v>
      </c>
      <c r="E12" s="3">
        <v>769.72569599999997</v>
      </c>
      <c r="F12" s="4">
        <v>1.643806367093142E-3</v>
      </c>
      <c r="G12" s="4">
        <v>4.963035559098705E-3</v>
      </c>
    </row>
    <row r="13" spans="1:7" x14ac:dyDescent="0.25">
      <c r="A13" s="2" t="s">
        <v>9</v>
      </c>
      <c r="B13" s="2" t="s">
        <v>10</v>
      </c>
      <c r="C13" s="2">
        <v>2023</v>
      </c>
      <c r="D13" s="3">
        <v>118648.02708896549</v>
      </c>
      <c r="E13" s="3">
        <v>640.62859736000007</v>
      </c>
      <c r="F13" s="4">
        <v>4.2703506076277667E-2</v>
      </c>
      <c r="G13" s="4">
        <v>7.645975624855611E-3</v>
      </c>
    </row>
    <row r="15" spans="1:7" x14ac:dyDescent="0.25">
      <c r="B15" s="5" t="s">
        <v>13</v>
      </c>
      <c r="D15" s="3">
        <f>MEDIAN(D2:D13)</f>
        <v>247129.27438025735</v>
      </c>
    </row>
    <row r="17" spans="2:7" x14ac:dyDescent="0.25">
      <c r="B17" t="s">
        <v>14</v>
      </c>
      <c r="D17" s="3">
        <f>AVERAGE(D2:D7)</f>
        <v>2018275.9331741116</v>
      </c>
      <c r="E17" s="3">
        <f t="shared" ref="E17:G17" si="0">AVERAGE(E2:E7)</f>
        <v>3339.6314639866664</v>
      </c>
      <c r="F17" s="4">
        <f t="shared" si="0"/>
        <v>2.974158866816561E-3</v>
      </c>
      <c r="G17" s="4">
        <f t="shared" si="0"/>
        <v>2.0187386386990346E-3</v>
      </c>
    </row>
    <row r="18" spans="2:7" x14ac:dyDescent="0.25">
      <c r="B18" t="s">
        <v>15</v>
      </c>
      <c r="D18" s="3">
        <f>AVERAGE(D8:D13)</f>
        <v>171094.74599712962</v>
      </c>
      <c r="E18" s="3">
        <f t="shared" ref="E18:G18" si="1">AVERAGE(E8:E13)</f>
        <v>990.94875077999995</v>
      </c>
      <c r="F18" s="4">
        <f t="shared" si="1"/>
        <v>9.2164169239392999E-3</v>
      </c>
      <c r="G18" s="4">
        <f t="shared" si="1"/>
        <v>3.4335388058007936E-3</v>
      </c>
    </row>
  </sheetData>
  <sortState ref="A2:G13">
    <sortCondition descending="1" ref="D2:D13"/>
  </sortState>
  <conditionalFormatting sqref="D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2026-05-13T08:41:56Z</dcterms:created>
  <dcterms:modified xsi:type="dcterms:W3CDTF">2026-05-13T09:08:10Z</dcterms:modified>
</cp:coreProperties>
</file>