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inf16" sheetId="1" r:id="rId1"/>
  </sheets>
  <calcPr calcId="162913"/>
</workbook>
</file>

<file path=xl/calcChain.xml><?xml version="1.0" encoding="utf-8"?>
<calcChain xmlns="http://schemas.openxmlformats.org/spreadsheetml/2006/main">
  <c r="C32" i="1" l="1"/>
  <c r="C37" i="1" s="1"/>
  <c r="G37" i="1"/>
  <c r="G34" i="1"/>
  <c r="D32" i="1"/>
  <c r="D37" i="1" s="1"/>
  <c r="E32" i="1"/>
  <c r="E37" i="1" s="1"/>
  <c r="F32" i="1"/>
  <c r="F35" i="1" s="1"/>
  <c r="G32" i="1"/>
  <c r="G35" i="1" s="1"/>
  <c r="E29" i="1"/>
  <c r="F29" i="1"/>
  <c r="G29" i="1"/>
  <c r="D29" i="1"/>
  <c r="E28" i="1"/>
  <c r="F28" i="1"/>
  <c r="G28" i="1"/>
  <c r="D28" i="1"/>
  <c r="E34" i="1" l="1"/>
  <c r="D36" i="1"/>
  <c r="D35" i="1"/>
  <c r="E36" i="1"/>
  <c r="F37" i="1"/>
  <c r="D34" i="1"/>
  <c r="F36" i="1"/>
  <c r="F34" i="1"/>
  <c r="G36" i="1"/>
  <c r="E35" i="1"/>
  <c r="C34" i="1"/>
  <c r="C35" i="1"/>
  <c r="C36" i="1"/>
  <c r="E18" i="1"/>
  <c r="F18" i="1"/>
  <c r="G18" i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<sst xmlns="http://schemas.openxmlformats.org/spreadsheetml/2006/main" count="54" uniqueCount="17">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</sst>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'inf16'!$D$39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'inf16'!$C$40:$C$43</c:f>
              <c:numCache>
                <c:formatCode>General</c:formatCode>
                <c:ptCount val="4"/>
                <c:pt idx="0">
                  <c:v>0.75320035180004941</c:v>
                </c:pt>
                <c:pt idx="1">
                  <c:v>0.80558451044020529</c:v>
                </c:pt>
                <c:pt idx="2">
                  <c:v>0.94055185443048506</c:v>
                </c:pt>
                <c:pt idx="3">
                  <c:v>1</c:v>
                </c:pt>
              </c:numCache>
            </c:numRef>
          </c:cat>
          <c:val>
            <c:numRef>
              <c:f>'inf16'!$D$40:$D$43</c:f>
              <c:numCache>
                <c:formatCode>General</c:formatCode>
                <c:ptCount val="4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  <c:pt idx="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D-4295-8391-1F001ABF86FE}"/>
            </c:ext>
          </c:extLst>
        </c:ser>
        <c:ser>
          <c:idx val="1"/>
          <c:order val="1"/>
          <c:tx>
            <c:strRef>
              <c:f>'inf16'!$E$39</c:f>
              <c:strCache>
                <c:ptCount val="1"/>
                <c:pt idx="0">
                  <c:v>ITcosts_s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'inf16'!$C$40:$C$43</c:f>
              <c:numCache>
                <c:formatCode>General</c:formatCode>
                <c:ptCount val="4"/>
                <c:pt idx="0">
                  <c:v>0.75320035180004941</c:v>
                </c:pt>
                <c:pt idx="1">
                  <c:v>0.80558451044020529</c:v>
                </c:pt>
                <c:pt idx="2">
                  <c:v>0.94055185443048506</c:v>
                </c:pt>
                <c:pt idx="3">
                  <c:v>1</c:v>
                </c:pt>
              </c:numCache>
            </c:numRef>
          </c:cat>
          <c:val>
            <c:numRef>
              <c:f>'inf16'!$E$40:$E$43</c:f>
              <c:numCache>
                <c:formatCode>General</c:formatCode>
                <c:ptCount val="4"/>
                <c:pt idx="0">
                  <c:v>0.8576536031471178</c:v>
                </c:pt>
                <c:pt idx="1">
                  <c:v>0.80890079918421609</c:v>
                </c:pt>
                <c:pt idx="2">
                  <c:v>0.79155969555065653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BD-4295-8391-1F001ABF86FE}"/>
            </c:ext>
          </c:extLst>
        </c:ser>
        <c:ser>
          <c:idx val="2"/>
          <c:order val="2"/>
          <c:tx>
            <c:strRef>
              <c:f>'inf16'!$F$39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'inf16'!$C$40:$C$43</c:f>
              <c:numCache>
                <c:formatCode>General</c:formatCode>
                <c:ptCount val="4"/>
                <c:pt idx="0">
                  <c:v>0.75320035180004941</c:v>
                </c:pt>
                <c:pt idx="1">
                  <c:v>0.80558451044020529</c:v>
                </c:pt>
                <c:pt idx="2">
                  <c:v>0.94055185443048506</c:v>
                </c:pt>
                <c:pt idx="3">
                  <c:v>1</c:v>
                </c:pt>
              </c:numCache>
            </c:numRef>
          </c:cat>
          <c:val>
            <c:numRef>
              <c:f>'inf16'!$F$40:$F$43</c:f>
              <c:numCache>
                <c:formatCode>General</c:formatCode>
                <c:ptCount val="4"/>
                <c:pt idx="0">
                  <c:v>9.4632036706885733E-2</c:v>
                </c:pt>
                <c:pt idx="1">
                  <c:v>0.27164901806536035</c:v>
                </c:pt>
                <c:pt idx="2">
                  <c:v>0.13278607396570202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BD-4295-8391-1F001ABF86FE}"/>
            </c:ext>
          </c:extLst>
        </c:ser>
        <c:ser>
          <c:idx val="3"/>
          <c:order val="3"/>
          <c:tx>
            <c:strRef>
              <c:f>'inf16'!$G$39</c:f>
              <c:strCache>
                <c:ptCount val="1"/>
                <c:pt idx="0">
                  <c:v>trainingcosts_s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'inf16'!$C$40:$C$43</c:f>
              <c:numCache>
                <c:formatCode>General</c:formatCode>
                <c:ptCount val="4"/>
                <c:pt idx="0">
                  <c:v>0.75320035180004941</c:v>
                </c:pt>
                <c:pt idx="1">
                  <c:v>0.80558451044020529</c:v>
                </c:pt>
                <c:pt idx="2">
                  <c:v>0.94055185443048506</c:v>
                </c:pt>
                <c:pt idx="3">
                  <c:v>1</c:v>
                </c:pt>
              </c:numCache>
            </c:numRef>
          </c:cat>
          <c:val>
            <c:numRef>
              <c:f>'inf16'!$G$40:$G$43</c:f>
              <c:numCache>
                <c:formatCode>General</c:formatCode>
                <c:ptCount val="4"/>
                <c:pt idx="0">
                  <c:v>0.30845304233506288</c:v>
                </c:pt>
                <c:pt idx="1">
                  <c:v>0.46444703398099701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BD-4295-8391-1F001ABF8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682783"/>
        <c:axId val="973684031"/>
      </c:lineChart>
      <c:catAx>
        <c:axId val="973682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4031"/>
        <c:crosses val="autoZero"/>
        <c:auto val="1"/>
        <c:lblAlgn val="ctr"/>
        <c:lblOffset val="100"/>
        <c:noMultiLvlLbl val="0"/>
      </c:catAx>
      <c:valAx>
        <c:axId val="97368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523875</xdr:colOff>
      <xdr:row>2</xdr:row>
      <xdr:rowOff>157161</xdr:rowOff>
    </xdr:from>
    <xdr:to>
      <xdr:col>22</xdr:col>
      <xdr:colOff>323850</xdr:colOff>
      <xdr:row>23</xdr:row>
      <xdr:rowOff>123825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3"/>
  <sheetViews>
    <sheetView tabSelected="1" zoomScale="85" zoomScaleNormal="85" workbookViewId="0">
      <selection activeCell="M30" sqref="M30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7" spans="1:7" x14ac:dyDescent="0.25">
      <c r="B17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2" spans="1:7" x14ac:dyDescent="0.25">
      <c r="A22" s="2" t="s">
        <v>7</v>
      </c>
      <c r="B22" s="2" t="s">
        <v>8</v>
      </c>
      <c r="C22" s="2">
        <v>1</v>
      </c>
      <c r="D22" s="3">
        <v>3292837.3871137551</v>
      </c>
      <c r="E22" s="3">
        <v>5258.5701260400001</v>
      </c>
      <c r="F22" s="4">
        <v>1.0604360748915839E-2</v>
      </c>
      <c r="G22" s="4">
        <v>1.868819729404374E-3</v>
      </c>
    </row>
    <row r="23" spans="1:7" x14ac:dyDescent="0.25">
      <c r="A23" s="2" t="s">
        <v>7</v>
      </c>
      <c r="B23" s="2" t="s">
        <v>8</v>
      </c>
      <c r="C23" s="2">
        <v>2</v>
      </c>
      <c r="D23" s="3">
        <v>3097084.3107878752</v>
      </c>
      <c r="E23" s="3">
        <v>4162.4721680000002</v>
      </c>
      <c r="F23" s="4">
        <v>1.4081114307645259E-3</v>
      </c>
      <c r="G23" s="4">
        <v>3.9573959548935052E-3</v>
      </c>
    </row>
    <row r="24" spans="1:7" x14ac:dyDescent="0.25">
      <c r="A24" s="2" t="s">
        <v>7</v>
      </c>
      <c r="B24" s="2" t="s">
        <v>8</v>
      </c>
      <c r="C24" s="2">
        <v>3</v>
      </c>
      <c r="D24" s="3">
        <v>2652658.7944572391</v>
      </c>
      <c r="E24" s="3">
        <v>4253.6615775199998</v>
      </c>
      <c r="F24" s="4">
        <v>2.8806641846538372E-3</v>
      </c>
      <c r="G24" s="4">
        <v>1.8380008135386839E-3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2480166.278394436</v>
      </c>
      <c r="E25" s="3">
        <v>4510.0316159999993</v>
      </c>
      <c r="F25" s="4">
        <v>1.003512255644462E-3</v>
      </c>
      <c r="G25" s="4">
        <v>1.2206708220113729E-3</v>
      </c>
    </row>
    <row r="28" spans="1:7" x14ac:dyDescent="0.25">
      <c r="B28" s="6" t="s">
        <v>14</v>
      </c>
      <c r="D28" s="3">
        <f>AVERAGE(D22:D23)</f>
        <v>3194960.8489508154</v>
      </c>
      <c r="E28" s="3">
        <f t="shared" ref="E28:G28" si="2">AVERAGE(E22:E23)</f>
        <v>4710.5211470200002</v>
      </c>
      <c r="F28" s="4">
        <f t="shared" si="2"/>
        <v>6.0062360898401829E-3</v>
      </c>
      <c r="G28" s="4">
        <f t="shared" si="2"/>
        <v>2.9131078421489398E-3</v>
      </c>
    </row>
    <row r="29" spans="1:7" x14ac:dyDescent="0.25">
      <c r="B29" s="6" t="s">
        <v>15</v>
      </c>
      <c r="D29" s="3">
        <f>AVERAGE(D24:D25)</f>
        <v>2566412.5364258373</v>
      </c>
      <c r="E29" s="3">
        <f t="shared" ref="E29:G29" si="3">AVERAGE(E24:E25)</f>
        <v>4381.8465967599996</v>
      </c>
      <c r="F29" s="4">
        <f t="shared" si="3"/>
        <v>1.9420882201491496E-3</v>
      </c>
      <c r="G29" s="4">
        <f t="shared" si="3"/>
        <v>1.5293358177750284E-3</v>
      </c>
    </row>
    <row r="32" spans="1:7" x14ac:dyDescent="0.25">
      <c r="C32" s="2">
        <f>MAX(C22:C25)</f>
        <v>4</v>
      </c>
      <c r="D32" s="2">
        <f t="shared" ref="D32:G32" si="4">MAX(D22:D25)</f>
        <v>3292837.3871137551</v>
      </c>
      <c r="E32" s="2">
        <f t="shared" si="4"/>
        <v>5258.5701260400001</v>
      </c>
      <c r="F32" s="2">
        <f t="shared" si="4"/>
        <v>1.0604360748915839E-2</v>
      </c>
      <c r="G32" s="2">
        <f t="shared" si="4"/>
        <v>3.9573959548935052E-3</v>
      </c>
    </row>
    <row r="33" spans="3:7" x14ac:dyDescent="0.25">
      <c r="C33" s="7" t="s">
        <v>16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3:7" x14ac:dyDescent="0.25">
      <c r="C34" s="2">
        <f>C22/C$32</f>
        <v>0.25</v>
      </c>
      <c r="D34" s="2">
        <f>D22/D$32</f>
        <v>1</v>
      </c>
      <c r="E34" s="2">
        <f>E22/E$32</f>
        <v>1</v>
      </c>
      <c r="F34" s="2">
        <f>F22/F$32</f>
        <v>1</v>
      </c>
      <c r="G34" s="2">
        <f>G22/G$32</f>
        <v>0.47223470956791447</v>
      </c>
    </row>
    <row r="35" spans="3:7" x14ac:dyDescent="0.25">
      <c r="C35" s="2">
        <f>C23/C$32</f>
        <v>0.5</v>
      </c>
      <c r="D35" s="2">
        <f>D23/D$32</f>
        <v>0.94055185443048506</v>
      </c>
      <c r="E35" s="2">
        <f>E23/E$32</f>
        <v>0.79155969555065653</v>
      </c>
      <c r="F35" s="2">
        <f>F23/F$32</f>
        <v>0.13278607396570202</v>
      </c>
      <c r="G35" s="2">
        <f>G23/G$32</f>
        <v>1</v>
      </c>
    </row>
    <row r="36" spans="3:7" x14ac:dyDescent="0.25">
      <c r="C36" s="2">
        <f>C24/C$32</f>
        <v>0.75</v>
      </c>
      <c r="D36" s="2">
        <f>D24/D$32</f>
        <v>0.80558451044020529</v>
      </c>
      <c r="E36" s="2">
        <f>E24/E$32</f>
        <v>0.80890079918421609</v>
      </c>
      <c r="F36" s="2">
        <f>F24/F$32</f>
        <v>0.27164901806536035</v>
      </c>
      <c r="G36" s="2">
        <f>G24/G$32</f>
        <v>0.46444703398099701</v>
      </c>
    </row>
    <row r="37" spans="3:7" x14ac:dyDescent="0.25">
      <c r="C37" s="2">
        <f>C25/C$32</f>
        <v>1</v>
      </c>
      <c r="D37" s="2">
        <f>D25/D$32</f>
        <v>0.75320035180004941</v>
      </c>
      <c r="E37" s="2">
        <f>E25/E$32</f>
        <v>0.8576536031471178</v>
      </c>
      <c r="F37" s="2">
        <f>F25/F$32</f>
        <v>9.4632036706885733E-2</v>
      </c>
      <c r="G37" s="2">
        <f>G25/G$32</f>
        <v>0.30845304233506288</v>
      </c>
    </row>
    <row r="39" spans="3:7" x14ac:dyDescent="0.25">
      <c r="C39" s="7" t="s">
        <v>3</v>
      </c>
      <c r="D39" s="7" t="s">
        <v>16</v>
      </c>
      <c r="E39" s="7" t="s">
        <v>4</v>
      </c>
      <c r="F39" s="7" t="s">
        <v>5</v>
      </c>
      <c r="G39" s="7" t="s">
        <v>6</v>
      </c>
    </row>
    <row r="40" spans="3:7" x14ac:dyDescent="0.25">
      <c r="C40" s="2">
        <v>0.75320035180004941</v>
      </c>
      <c r="D40" s="2">
        <v>1</v>
      </c>
      <c r="E40" s="2">
        <v>0.8576536031471178</v>
      </c>
      <c r="F40" s="2">
        <v>9.4632036706885733E-2</v>
      </c>
      <c r="G40" s="2">
        <v>0.30845304233506288</v>
      </c>
    </row>
    <row r="41" spans="3:7" x14ac:dyDescent="0.25">
      <c r="C41" s="2">
        <v>0.80558451044020529</v>
      </c>
      <c r="D41" s="2">
        <v>0.75</v>
      </c>
      <c r="E41" s="2">
        <v>0.80890079918421609</v>
      </c>
      <c r="F41" s="2">
        <v>0.27164901806536035</v>
      </c>
      <c r="G41" s="2">
        <v>0.46444703398099701</v>
      </c>
    </row>
    <row r="42" spans="3:7" x14ac:dyDescent="0.25">
      <c r="C42" s="2">
        <v>0.94055185443048506</v>
      </c>
      <c r="D42" s="2">
        <v>0.5</v>
      </c>
      <c r="E42" s="2">
        <v>0.79155969555065653</v>
      </c>
      <c r="F42" s="2">
        <v>0.13278607396570202</v>
      </c>
      <c r="G42" s="2">
        <v>1</v>
      </c>
    </row>
    <row r="43" spans="3:7" x14ac:dyDescent="0.25">
      <c r="C43" s="2">
        <v>1</v>
      </c>
      <c r="D43" s="2">
        <v>0.25</v>
      </c>
      <c r="E43" s="2">
        <v>1</v>
      </c>
      <c r="F43" s="2">
        <v>1</v>
      </c>
      <c r="G43" s="2">
        <v>0.47223470956791447</v>
      </c>
    </row>
  </sheetData>
  <sortState ref="C40:G43">
    <sortCondition ref="D40:D43"/>
  </sortState>
  <conditionalFormatting sqref="D2:D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inf16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2026-05-21T13:40:07Z</dcterms:modified>
</cp:coreProperties>
</file>