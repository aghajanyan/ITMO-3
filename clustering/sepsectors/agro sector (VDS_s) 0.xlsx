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sepsectors\"/>
    </mc:Choice>
  </mc:AlternateContent>
  <bookViews>
    <workbookView xWindow="0" yWindow="0" windowWidth="28800" windowHeight="12885"/>
  </bookViews>
  <sheets>
    <sheet name="inf16" sheetId="1" r:id="rId1"/>
  </sheets>
  <calcPr calcId="162913"/>
</workbook>
</file>

<file path=xl/calcChain.xml><?xml version="1.0" encoding="utf-8"?>
<calcChain xmlns="http://schemas.openxmlformats.org/spreadsheetml/2006/main">
  <c r="G85" i="1" l="1"/>
  <c r="G86" i="1"/>
  <c r="G87" i="1"/>
  <c r="G84" i="1"/>
  <c r="F85" i="1"/>
  <c r="F86" i="1"/>
  <c r="F87" i="1"/>
  <c r="F84" i="1"/>
  <c r="E85" i="1"/>
  <c r="E86" i="1"/>
  <c r="E87" i="1"/>
  <c r="E84" i="1"/>
  <c r="D85" i="1"/>
  <c r="D86" i="1"/>
  <c r="D87" i="1"/>
  <c r="D84" i="1"/>
  <c r="C87" i="1"/>
  <c r="C86" i="1"/>
  <c r="C85" i="1"/>
  <c r="C84" i="1"/>
  <c r="G82" i="1"/>
  <c r="F82" i="1"/>
  <c r="E82" i="1"/>
  <c r="D82" i="1"/>
  <c r="C82" i="1"/>
  <c r="G59" i="1"/>
  <c r="G60" i="1"/>
  <c r="G61" i="1"/>
  <c r="G58" i="1"/>
  <c r="F59" i="1"/>
  <c r="F60" i="1"/>
  <c r="F61" i="1"/>
  <c r="F58" i="1"/>
  <c r="C59" i="1"/>
  <c r="C60" i="1"/>
  <c r="C61" i="1"/>
  <c r="C58" i="1"/>
  <c r="E59" i="1"/>
  <c r="E60" i="1"/>
  <c r="E61" i="1"/>
  <c r="E58" i="1"/>
  <c r="D59" i="1"/>
  <c r="D60" i="1"/>
  <c r="D61" i="1"/>
  <c r="D58" i="1"/>
  <c r="G56" i="1"/>
  <c r="F56" i="1"/>
  <c r="E56" i="1"/>
  <c r="D56" i="1"/>
  <c r="C56" i="1"/>
  <c r="G79" i="1"/>
  <c r="F79" i="1"/>
  <c r="E79" i="1"/>
  <c r="D79" i="1"/>
  <c r="G78" i="1"/>
  <c r="G80" i="1" s="1"/>
  <c r="F78" i="1"/>
  <c r="E78" i="1"/>
  <c r="D78" i="1"/>
  <c r="G53" i="1"/>
  <c r="F53" i="1"/>
  <c r="E53" i="1"/>
  <c r="D53" i="1"/>
  <c r="G52" i="1"/>
  <c r="G54" i="1" s="1"/>
  <c r="F52" i="1"/>
  <c r="F54" i="1" s="1"/>
  <c r="E52" i="1"/>
  <c r="E54" i="1" s="1"/>
  <c r="D52" i="1"/>
  <c r="D54" i="1" s="1"/>
  <c r="E30" i="1"/>
  <c r="F30" i="1"/>
  <c r="G30" i="1"/>
  <c r="D30" i="1"/>
  <c r="D80" i="1" l="1"/>
  <c r="E80" i="1"/>
  <c r="F80" i="1"/>
  <c r="C32" i="1"/>
  <c r="C37" i="1" s="1"/>
  <c r="G37" i="1"/>
  <c r="G34" i="1"/>
  <c r="D32" i="1"/>
  <c r="D37" i="1" s="1"/>
  <c r="E32" i="1"/>
  <c r="E37" i="1" s="1"/>
  <c r="F32" i="1"/>
  <c r="F35" i="1" s="1"/>
  <c r="G32" i="1"/>
  <c r="G35" i="1" s="1"/>
  <c r="E29" i="1"/>
  <c r="F29" i="1"/>
  <c r="G29" i="1"/>
  <c r="D29" i="1"/>
  <c r="E28" i="1"/>
  <c r="F28" i="1"/>
  <c r="G28" i="1"/>
  <c r="D28" i="1"/>
  <c r="E34" i="1" l="1"/>
  <c r="D36" i="1"/>
  <c r="D35" i="1"/>
  <c r="E36" i="1"/>
  <c r="F37" i="1"/>
  <c r="D34" i="1"/>
  <c r="F36" i="1"/>
  <c r="F34" i="1"/>
  <c r="G36" i="1"/>
  <c r="E35" i="1"/>
  <c r="C34" i="1"/>
  <c r="C35" i="1"/>
  <c r="C36" i="1"/>
  <c r="E18" i="1"/>
  <c r="F18" i="1"/>
  <c r="G18" i="1"/>
  <c r="D18" i="1"/>
  <c r="E17" i="1"/>
  <c r="F17" i="1"/>
  <c r="G17" i="1"/>
  <c r="D17" i="1"/>
  <c r="D15" i="1"/>
</calcChain>
</file>

<file path=xl/sharedStrings.xml><?xml version="1.0" encoding="utf-8"?>
<sst xmlns="http://schemas.openxmlformats.org/spreadsheetml/2006/main" count="97" uniqueCount="18">
  <si>
    <t>sector</t>
  </si>
  <si>
    <t>okved2</t>
  </si>
  <si>
    <t>year</t>
  </si>
  <si>
    <t>VDS_s</t>
  </si>
  <si>
    <t>ITcosts_s</t>
  </si>
  <si>
    <t>skvozcosts_s</t>
  </si>
  <si>
    <t>trainingcosts_s</t>
  </si>
  <si>
    <t>Растениеводство и животноводство, охота и предоставление соответствующих услуг в этих областях</t>
  </si>
  <si>
    <t>01</t>
  </si>
  <si>
    <t>Лесоводство и лесозаготовки</t>
  </si>
  <si>
    <t>02</t>
  </si>
  <si>
    <t>Рыболовство и рыбоводство</t>
  </si>
  <si>
    <t>03</t>
  </si>
  <si>
    <t>медиана ВДС:</t>
  </si>
  <si>
    <t>верхний кластер:</t>
  </si>
  <si>
    <t>нижний кластер:</t>
  </si>
  <si>
    <t>Year</t>
  </si>
  <si>
    <t>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</si>
</sst>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'inf16'!$C$40</c:f>
              <c:strCache>
                <c:ptCount val="1"/>
                <c:pt idx="0">
                  <c:v>0,75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'inf16'!$D$39:$G$39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'inf16'!$D$40:$G$40</c:f>
              <c:numCache>
                <c:formatCode>General</c:formatCode>
                <c:ptCount val="4"/>
                <c:pt idx="0">
                  <c:v>1</c:v>
                </c:pt>
                <c:pt idx="1">
                  <c:v>0.8576536031471178</c:v>
                </c:pt>
                <c:pt idx="2">
                  <c:v>9.4632036706885733E-2</c:v>
                </c:pt>
                <c:pt idx="3">
                  <c:v>0.30845304233506288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FD-4A6F-B1D6-3B18BEC02549}"/>
            </c:ext>
          </c:extLst>
        </c:ser>
        <c:ser>
          <c:idx val="3"/>
          <c:order val="1"/>
          <c:tx>
            <c:strRef>
              <c:f>'inf16'!$C$43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'inf16'!$D$39:$G$39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'inf16'!$D$43:$G$43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1</c:v>
                </c:pt>
                <c:pt idx="3">
                  <c:v>0.47223470956791447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FD-4A6F-B1D6-3B18BEC02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'inf16'!$C$64</c:f>
              <c:strCache>
                <c:ptCount val="1"/>
                <c:pt idx="0">
                  <c:v>0,67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'inf16'!$D$39:$G$39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'inf16'!$D$64:$G$64</c:f>
              <c:numCache>
                <c:formatCode>General</c:formatCode>
                <c:ptCount val="4"/>
                <c:pt idx="0">
                  <c:v>0.75</c:v>
                </c:pt>
                <c:pt idx="1">
                  <c:v>0.4402945925625405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0-4EC4-B01C-907EDE755F4C}"/>
            </c:ext>
          </c:extLst>
        </c:ser>
        <c:ser>
          <c:idx val="3"/>
          <c:order val="1"/>
          <c:tx>
            <c:strRef>
              <c:f>'inf16'!$C$67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'inf16'!$D$39:$G$39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'inf16'!$D$67:$G$67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6.4040106003615581E-3</c:v>
                </c:pt>
                <c:pt idx="3">
                  <c:v>0.11460367065763803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70-4EC4-B01C-907EDE755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03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'inf16'!$C$90</c:f>
              <c:strCache>
                <c:ptCount val="1"/>
                <c:pt idx="0">
                  <c:v>0,66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'inf16'!$D$39:$G$39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'inf16'!$D$90:$G$90</c:f>
              <c:numCache>
                <c:formatCode>General</c:formatCode>
                <c:ptCount val="4"/>
                <c:pt idx="0">
                  <c:v>1</c:v>
                </c:pt>
                <c:pt idx="1">
                  <c:v>0.93036188524979146</c:v>
                </c:pt>
                <c:pt idx="2">
                  <c:v>0.38380661149699324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D-47D1-AE0F-426145B94BD5}"/>
            </c:ext>
          </c:extLst>
        </c:ser>
        <c:ser>
          <c:idx val="3"/>
          <c:order val="1"/>
          <c:tx>
            <c:strRef>
              <c:f>'inf16'!$C$93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'inf16'!$D$39:$G$39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'inf16'!$D$93:$G$93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0.61461781856355813</c:v>
                </c:pt>
                <c:pt idx="3">
                  <c:v>6.8220027587306817E-2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8D-47D1-AE0F-426145B94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560294</xdr:colOff>
      <xdr:row>6</xdr:row>
      <xdr:rowOff>89647</xdr:rowOff>
    </xdr:from>
    <xdr:to>
      <xdr:col>18</xdr:col>
      <xdr:colOff>72801</xdr:colOff>
      <xdr:row>29</xdr:row>
      <xdr:rowOff>34926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176893</xdr:colOff>
      <xdr:row>6</xdr:row>
      <xdr:rowOff>95250</xdr:rowOff>
    </xdr:from>
    <xdr:to>
      <xdr:col>27</xdr:col>
      <xdr:colOff>301723</xdr:colOff>
      <xdr:row>29</xdr:row>
      <xdr:rowOff>40529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13607</xdr:colOff>
      <xdr:row>30</xdr:row>
      <xdr:rowOff>95250</xdr:rowOff>
    </xdr:from>
    <xdr:to>
      <xdr:col>18</xdr:col>
      <xdr:colOff>138436</xdr:colOff>
      <xdr:row>53</xdr:row>
      <xdr:rowOff>40529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tabSelected="1" zoomScale="55" zoomScaleNormal="55" workbookViewId="0">
      <selection activeCell="AA36" sqref="AA36"/>
    </sheetView>
  </sheetViews>
  <sheetFormatPr defaultRowHeight="15" x14ac:dyDescent="0.25"/>
  <cols>
    <col min="1" max="1" width="97.85546875" customWidth="1"/>
    <col min="4" max="4" width="13.85546875" customWidth="1"/>
    <col min="5" max="5" width="13.140625" customWidth="1"/>
    <col min="6" max="6" width="15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2021</v>
      </c>
      <c r="D2" s="3">
        <v>3292837.3871137551</v>
      </c>
      <c r="E2" s="3">
        <v>5258.5701260400001</v>
      </c>
      <c r="F2" s="4">
        <v>1.0604360748915839E-2</v>
      </c>
      <c r="G2" s="4">
        <v>1.868819729404374E-3</v>
      </c>
    </row>
    <row r="3" spans="1:7" x14ac:dyDescent="0.25">
      <c r="A3" s="2" t="s">
        <v>7</v>
      </c>
      <c r="B3" s="2" t="s">
        <v>8</v>
      </c>
      <c r="C3" s="2">
        <v>2022</v>
      </c>
      <c r="D3" s="3">
        <v>3097084.3107878752</v>
      </c>
      <c r="E3" s="3">
        <v>4162.4721680000002</v>
      </c>
      <c r="F3" s="4">
        <v>1.4081114307645259E-3</v>
      </c>
      <c r="G3" s="4">
        <v>3.9573959548935052E-3</v>
      </c>
    </row>
    <row r="4" spans="1:7" x14ac:dyDescent="0.25">
      <c r="A4" s="2" t="s">
        <v>7</v>
      </c>
      <c r="B4" s="2" t="s">
        <v>8</v>
      </c>
      <c r="C4" s="2">
        <v>2023</v>
      </c>
      <c r="D4" s="3">
        <v>2652658.7944572391</v>
      </c>
      <c r="E4" s="3">
        <v>4253.6615775199998</v>
      </c>
      <c r="F4" s="4">
        <v>2.8806641846538372E-3</v>
      </c>
      <c r="G4" s="4">
        <v>1.8380008135386839E-3</v>
      </c>
    </row>
    <row r="5" spans="1:7" x14ac:dyDescent="0.25">
      <c r="A5" s="2" t="s">
        <v>7</v>
      </c>
      <c r="B5" s="2" t="s">
        <v>8</v>
      </c>
      <c r="C5" s="2">
        <v>2024</v>
      </c>
      <c r="D5" s="3">
        <v>2480166.278394436</v>
      </c>
      <c r="E5" s="3">
        <v>4510.0316159999993</v>
      </c>
      <c r="F5" s="4">
        <v>1.003512255644462E-3</v>
      </c>
      <c r="G5" s="4">
        <v>1.2206708220113729E-3</v>
      </c>
    </row>
    <row r="6" spans="1:7" x14ac:dyDescent="0.25">
      <c r="A6" s="2" t="s">
        <v>11</v>
      </c>
      <c r="B6" s="2" t="s">
        <v>12</v>
      </c>
      <c r="C6" s="2">
        <v>2021</v>
      </c>
      <c r="D6" s="3">
        <v>331647.0310656284</v>
      </c>
      <c r="E6" s="3">
        <v>964.84556195999994</v>
      </c>
      <c r="F6" s="4">
        <v>7.4163848413873461E-4</v>
      </c>
      <c r="G6" s="4">
        <v>3.6380912535570372E-4</v>
      </c>
    </row>
    <row r="7" spans="1:7" x14ac:dyDescent="0.25">
      <c r="A7" s="2" t="s">
        <v>11</v>
      </c>
      <c r="B7" s="2" t="s">
        <v>12</v>
      </c>
      <c r="C7" s="2">
        <v>2023</v>
      </c>
      <c r="D7" s="3">
        <v>255261.79722573471</v>
      </c>
      <c r="E7" s="3">
        <v>888.20773440000005</v>
      </c>
      <c r="F7" s="4">
        <v>1.2066660967819649E-3</v>
      </c>
      <c r="G7" s="4">
        <v>2.863735386990569E-3</v>
      </c>
    </row>
    <row r="8" spans="1:7" x14ac:dyDescent="0.25">
      <c r="A8" s="2" t="s">
        <v>11</v>
      </c>
      <c r="B8" s="2" t="s">
        <v>12</v>
      </c>
      <c r="C8" s="2">
        <v>2022</v>
      </c>
      <c r="D8" s="3">
        <v>238996.75153477999</v>
      </c>
      <c r="E8" s="3">
        <v>863.40619829999991</v>
      </c>
      <c r="F8" s="4">
        <v>7.0023981897559661E-4</v>
      </c>
      <c r="G8" s="4">
        <v>9.1753228267274999E-4</v>
      </c>
    </row>
    <row r="9" spans="1:7" x14ac:dyDescent="0.25">
      <c r="A9" s="2" t="s">
        <v>11</v>
      </c>
      <c r="B9" s="2" t="s">
        <v>12</v>
      </c>
      <c r="C9" s="2">
        <v>2024</v>
      </c>
      <c r="D9" s="3">
        <v>218314.63160777459</v>
      </c>
      <c r="E9" s="3">
        <v>897.65553599999998</v>
      </c>
      <c r="F9" s="4">
        <v>4.6312642581418888E-4</v>
      </c>
      <c r="G9" s="4">
        <v>5.3328786021100191E-3</v>
      </c>
    </row>
    <row r="10" spans="1:7" x14ac:dyDescent="0.25">
      <c r="A10" s="2" t="s">
        <v>9</v>
      </c>
      <c r="B10" s="2" t="s">
        <v>10</v>
      </c>
      <c r="C10" s="2">
        <v>2021</v>
      </c>
      <c r="D10" s="3">
        <v>177476.11420904889</v>
      </c>
      <c r="E10" s="3">
        <v>1454.99992092</v>
      </c>
      <c r="F10" s="4">
        <v>2.7347370558508639E-4</v>
      </c>
      <c r="G10" s="4">
        <v>8.7625687236728058E-4</v>
      </c>
    </row>
    <row r="11" spans="1:7" x14ac:dyDescent="0.25">
      <c r="A11" s="2" t="s">
        <v>9</v>
      </c>
      <c r="B11" s="2" t="s">
        <v>10</v>
      </c>
      <c r="C11" s="2">
        <v>2022</v>
      </c>
      <c r="D11" s="3">
        <v>149725.9222474432</v>
      </c>
      <c r="E11" s="3">
        <v>1319.2765561000001</v>
      </c>
      <c r="F11" s="4">
        <v>9.5143491498901212E-3</v>
      </c>
      <c r="G11" s="4">
        <v>8.6555389370039323E-4</v>
      </c>
    </row>
    <row r="12" spans="1:7" x14ac:dyDescent="0.25">
      <c r="A12" s="2" t="s">
        <v>9</v>
      </c>
      <c r="B12" s="2" t="s">
        <v>10</v>
      </c>
      <c r="C12" s="2">
        <v>2024</v>
      </c>
      <c r="D12" s="3">
        <v>123407.0292947656</v>
      </c>
      <c r="E12" s="3">
        <v>769.72569599999997</v>
      </c>
      <c r="F12" s="4">
        <v>1.643806367093142E-3</v>
      </c>
      <c r="G12" s="4">
        <v>4.963035559098705E-3</v>
      </c>
    </row>
    <row r="13" spans="1:7" x14ac:dyDescent="0.25">
      <c r="A13" s="2" t="s">
        <v>9</v>
      </c>
      <c r="B13" s="2" t="s">
        <v>10</v>
      </c>
      <c r="C13" s="2">
        <v>2023</v>
      </c>
      <c r="D13" s="3">
        <v>118648.02708896549</v>
      </c>
      <c r="E13" s="3">
        <v>640.62859736000007</v>
      </c>
      <c r="F13" s="4">
        <v>4.2703506076277667E-2</v>
      </c>
      <c r="G13" s="4">
        <v>7.645975624855611E-3</v>
      </c>
    </row>
    <row r="15" spans="1:7" x14ac:dyDescent="0.25">
      <c r="B15" s="5" t="s">
        <v>13</v>
      </c>
      <c r="D15" s="3">
        <f>MEDIAN(D2:D13)</f>
        <v>247129.27438025735</v>
      </c>
    </row>
    <row r="17" spans="1:7" x14ac:dyDescent="0.25">
      <c r="B17" t="s">
        <v>14</v>
      </c>
      <c r="D17" s="3">
        <f>AVERAGE(D2:D7)</f>
        <v>2018275.9331741116</v>
      </c>
      <c r="E17" s="3">
        <f t="shared" ref="E17:G17" si="0">AVERAGE(E2:E7)</f>
        <v>3339.6314639866664</v>
      </c>
      <c r="F17" s="4">
        <f t="shared" si="0"/>
        <v>2.974158866816561E-3</v>
      </c>
      <c r="G17" s="4">
        <f t="shared" si="0"/>
        <v>2.0187386386990346E-3</v>
      </c>
    </row>
    <row r="18" spans="1:7" x14ac:dyDescent="0.25">
      <c r="B18" t="s">
        <v>15</v>
      </c>
      <c r="D18" s="3">
        <f>AVERAGE(D8:D13)</f>
        <v>171094.74599712962</v>
      </c>
      <c r="E18" s="3">
        <f t="shared" ref="E18:G18" si="1">AVERAGE(E8:E13)</f>
        <v>990.94875077999995</v>
      </c>
      <c r="F18" s="4">
        <f t="shared" si="1"/>
        <v>9.2164169239392999E-3</v>
      </c>
      <c r="G18" s="4">
        <f t="shared" si="1"/>
        <v>3.4335388058007936E-3</v>
      </c>
    </row>
    <row r="22" spans="1:7" x14ac:dyDescent="0.25">
      <c r="A22" s="2" t="s">
        <v>7</v>
      </c>
      <c r="B22" s="2" t="s">
        <v>8</v>
      </c>
      <c r="C22" s="2">
        <v>1</v>
      </c>
      <c r="D22" s="3">
        <v>3292837.3871137551</v>
      </c>
      <c r="E22" s="3">
        <v>5258.5701260400001</v>
      </c>
      <c r="F22" s="4">
        <v>1.0604360748915839E-2</v>
      </c>
      <c r="G22" s="4">
        <v>1.868819729404374E-3</v>
      </c>
    </row>
    <row r="23" spans="1:7" x14ac:dyDescent="0.25">
      <c r="A23" s="2" t="s">
        <v>7</v>
      </c>
      <c r="B23" s="2" t="s">
        <v>8</v>
      </c>
      <c r="C23" s="2">
        <v>2</v>
      </c>
      <c r="D23" s="3">
        <v>3097084.3107878752</v>
      </c>
      <c r="E23" s="3">
        <v>4162.4721680000002</v>
      </c>
      <c r="F23" s="4">
        <v>1.4081114307645259E-3</v>
      </c>
      <c r="G23" s="4">
        <v>3.9573959548935052E-3</v>
      </c>
    </row>
    <row r="24" spans="1:7" x14ac:dyDescent="0.25">
      <c r="A24" s="2" t="s">
        <v>7</v>
      </c>
      <c r="B24" s="2" t="s">
        <v>8</v>
      </c>
      <c r="C24" s="2">
        <v>3</v>
      </c>
      <c r="D24" s="3">
        <v>2652658.7944572391</v>
      </c>
      <c r="E24" s="3">
        <v>4253.6615775199998</v>
      </c>
      <c r="F24" s="4">
        <v>2.8806641846538372E-3</v>
      </c>
      <c r="G24" s="4">
        <v>1.8380008135386839E-3</v>
      </c>
    </row>
    <row r="25" spans="1:7" x14ac:dyDescent="0.25">
      <c r="A25" s="2" t="s">
        <v>7</v>
      </c>
      <c r="B25" s="2" t="s">
        <v>8</v>
      </c>
      <c r="C25" s="2">
        <v>4</v>
      </c>
      <c r="D25" s="3">
        <v>2480166.278394436</v>
      </c>
      <c r="E25" s="3">
        <v>4510.0316159999993</v>
      </c>
      <c r="F25" s="4">
        <v>1.003512255644462E-3</v>
      </c>
      <c r="G25" s="4">
        <v>1.2206708220113729E-3</v>
      </c>
    </row>
    <row r="28" spans="1:7" x14ac:dyDescent="0.25">
      <c r="B28" s="6" t="s">
        <v>14</v>
      </c>
      <c r="D28" s="3">
        <f>AVERAGE(D22:D23)</f>
        <v>3194960.8489508154</v>
      </c>
      <c r="E28" s="3">
        <f t="shared" ref="E28:G28" si="2">AVERAGE(E22:E23)</f>
        <v>4710.5211470200002</v>
      </c>
      <c r="F28" s="4">
        <f t="shared" si="2"/>
        <v>6.0062360898401829E-3</v>
      </c>
      <c r="G28" s="4">
        <f t="shared" si="2"/>
        <v>2.9131078421489398E-3</v>
      </c>
    </row>
    <row r="29" spans="1:7" x14ac:dyDescent="0.25">
      <c r="B29" s="6" t="s">
        <v>15</v>
      </c>
      <c r="D29" s="3">
        <f>AVERAGE(D24:D25)</f>
        <v>2566412.5364258373</v>
      </c>
      <c r="E29" s="3">
        <f t="shared" ref="E29:G29" si="3">AVERAGE(E24:E25)</f>
        <v>4381.8465967599996</v>
      </c>
      <c r="F29" s="4">
        <f t="shared" si="3"/>
        <v>1.9420882201491496E-3</v>
      </c>
      <c r="G29" s="4">
        <f t="shared" si="3"/>
        <v>1.5293358177750284E-3</v>
      </c>
    </row>
    <row r="30" spans="1:7" x14ac:dyDescent="0.25">
      <c r="B30" s="6" t="s">
        <v>17</v>
      </c>
      <c r="D30" s="3">
        <f>D28/D29</f>
        <v>1.2449132022244318</v>
      </c>
      <c r="E30" s="3">
        <f t="shared" ref="E30:G30" si="4">E28/E29</f>
        <v>1.0750082283809359</v>
      </c>
      <c r="F30" s="3">
        <f t="shared" si="4"/>
        <v>3.092669028896593</v>
      </c>
      <c r="G30" s="3">
        <f t="shared" si="4"/>
        <v>1.9048189470819483</v>
      </c>
    </row>
    <row r="32" spans="1:7" x14ac:dyDescent="0.25">
      <c r="C32" s="2">
        <f>MAX(C22:C25)</f>
        <v>4</v>
      </c>
      <c r="D32" s="2">
        <f t="shared" ref="D32:G32" si="5">MAX(D22:D25)</f>
        <v>3292837.3871137551</v>
      </c>
      <c r="E32" s="2">
        <f t="shared" si="5"/>
        <v>5258.5701260400001</v>
      </c>
      <c r="F32" s="2">
        <f t="shared" si="5"/>
        <v>1.0604360748915839E-2</v>
      </c>
      <c r="G32" s="2">
        <f t="shared" si="5"/>
        <v>3.9573959548935052E-3</v>
      </c>
    </row>
    <row r="33" spans="1:7" x14ac:dyDescent="0.25">
      <c r="C33" s="7" t="s">
        <v>16</v>
      </c>
      <c r="D33" s="7" t="s">
        <v>3</v>
      </c>
      <c r="E33" s="1" t="s">
        <v>4</v>
      </c>
      <c r="F33" s="1" t="s">
        <v>5</v>
      </c>
      <c r="G33" s="1" t="s">
        <v>6</v>
      </c>
    </row>
    <row r="34" spans="1:7" x14ac:dyDescent="0.25">
      <c r="C34" s="2">
        <f t="shared" ref="C34:G37" si="6">C22/C$32</f>
        <v>0.25</v>
      </c>
      <c r="D34" s="2">
        <f t="shared" si="6"/>
        <v>1</v>
      </c>
      <c r="E34" s="2">
        <f t="shared" si="6"/>
        <v>1</v>
      </c>
      <c r="F34" s="2">
        <f t="shared" si="6"/>
        <v>1</v>
      </c>
      <c r="G34" s="2">
        <f t="shared" si="6"/>
        <v>0.47223470956791447</v>
      </c>
    </row>
    <row r="35" spans="1:7" x14ac:dyDescent="0.25">
      <c r="C35" s="2">
        <f t="shared" si="6"/>
        <v>0.5</v>
      </c>
      <c r="D35" s="2">
        <f t="shared" si="6"/>
        <v>0.94055185443048506</v>
      </c>
      <c r="E35" s="2">
        <f t="shared" si="6"/>
        <v>0.79155969555065653</v>
      </c>
      <c r="F35" s="2">
        <f t="shared" si="6"/>
        <v>0.13278607396570202</v>
      </c>
      <c r="G35" s="2">
        <f t="shared" si="6"/>
        <v>1</v>
      </c>
    </row>
    <row r="36" spans="1:7" x14ac:dyDescent="0.25">
      <c r="C36" s="2">
        <f t="shared" si="6"/>
        <v>0.75</v>
      </c>
      <c r="D36" s="2">
        <f t="shared" si="6"/>
        <v>0.80558451044020529</v>
      </c>
      <c r="E36" s="2">
        <f t="shared" si="6"/>
        <v>0.80890079918421609</v>
      </c>
      <c r="F36" s="2">
        <f t="shared" si="6"/>
        <v>0.27164901806536035</v>
      </c>
      <c r="G36" s="2">
        <f t="shared" si="6"/>
        <v>0.46444703398099701</v>
      </c>
    </row>
    <row r="37" spans="1:7" x14ac:dyDescent="0.25">
      <c r="C37" s="2">
        <f t="shared" si="6"/>
        <v>1</v>
      </c>
      <c r="D37" s="2">
        <f t="shared" si="6"/>
        <v>0.75320035180004941</v>
      </c>
      <c r="E37" s="2">
        <f t="shared" si="6"/>
        <v>0.8576536031471178</v>
      </c>
      <c r="F37" s="2">
        <f t="shared" si="6"/>
        <v>9.4632036706885733E-2</v>
      </c>
      <c r="G37" s="2">
        <f t="shared" si="6"/>
        <v>0.30845304233506288</v>
      </c>
    </row>
    <row r="39" spans="1:7" x14ac:dyDescent="0.25">
      <c r="C39" s="7" t="s">
        <v>3</v>
      </c>
      <c r="D39" s="7" t="s">
        <v>16</v>
      </c>
      <c r="E39" s="7" t="s">
        <v>4</v>
      </c>
      <c r="F39" s="7" t="s">
        <v>5</v>
      </c>
      <c r="G39" s="7" t="s">
        <v>6</v>
      </c>
    </row>
    <row r="40" spans="1:7" x14ac:dyDescent="0.25">
      <c r="C40" s="3">
        <v>0.75320035180004941</v>
      </c>
      <c r="D40" s="2">
        <v>1</v>
      </c>
      <c r="E40" s="2">
        <v>0.8576536031471178</v>
      </c>
      <c r="F40" s="2">
        <v>9.4632036706885733E-2</v>
      </c>
      <c r="G40" s="2">
        <v>0.30845304233506288</v>
      </c>
    </row>
    <row r="41" spans="1:7" x14ac:dyDescent="0.25">
      <c r="C41" s="3">
        <v>0.80558451044020529</v>
      </c>
      <c r="D41" s="2">
        <v>0.75</v>
      </c>
      <c r="E41" s="2">
        <v>0.80890079918421609</v>
      </c>
      <c r="F41" s="2">
        <v>0.27164901806536035</v>
      </c>
      <c r="G41" s="2">
        <v>0.46444703398099701</v>
      </c>
    </row>
    <row r="42" spans="1:7" x14ac:dyDescent="0.25">
      <c r="C42" s="3">
        <v>0.94055185443048506</v>
      </c>
      <c r="D42" s="2">
        <v>0.5</v>
      </c>
      <c r="E42" s="2">
        <v>0.79155969555065653</v>
      </c>
      <c r="F42" s="2">
        <v>0.13278607396570202</v>
      </c>
      <c r="G42" s="2">
        <v>1</v>
      </c>
    </row>
    <row r="43" spans="1:7" x14ac:dyDescent="0.25">
      <c r="C43" s="3">
        <v>1</v>
      </c>
      <c r="D43" s="2">
        <v>0.25</v>
      </c>
      <c r="E43" s="2">
        <v>1</v>
      </c>
      <c r="F43" s="2">
        <v>1</v>
      </c>
      <c r="G43" s="2">
        <v>0.47223470956791447</v>
      </c>
    </row>
    <row r="46" spans="1:7" x14ac:dyDescent="0.25">
      <c r="A46" s="2" t="s">
        <v>9</v>
      </c>
      <c r="B46" s="2" t="s">
        <v>10</v>
      </c>
      <c r="C46" s="2">
        <v>1</v>
      </c>
      <c r="D46" s="3">
        <v>177476.11420904889</v>
      </c>
      <c r="E46" s="3">
        <v>1454.99992092</v>
      </c>
      <c r="F46" s="4">
        <v>2.7347370558508639E-4</v>
      </c>
      <c r="G46" s="4">
        <v>8.7625687236728058E-4</v>
      </c>
    </row>
    <row r="47" spans="1:7" x14ac:dyDescent="0.25">
      <c r="A47" s="2" t="s">
        <v>9</v>
      </c>
      <c r="B47" s="2" t="s">
        <v>10</v>
      </c>
      <c r="C47" s="2">
        <v>2</v>
      </c>
      <c r="D47" s="3">
        <v>149725.9222474432</v>
      </c>
      <c r="E47" s="3">
        <v>1319.2765561000001</v>
      </c>
      <c r="F47" s="4">
        <v>9.5143491498901212E-3</v>
      </c>
      <c r="G47" s="4">
        <v>8.6555389370039323E-4</v>
      </c>
    </row>
    <row r="48" spans="1:7" x14ac:dyDescent="0.25">
      <c r="A48" s="2" t="s">
        <v>9</v>
      </c>
      <c r="B48" s="2" t="s">
        <v>10</v>
      </c>
      <c r="C48" s="2">
        <v>4</v>
      </c>
      <c r="D48" s="3">
        <v>123407.0292947656</v>
      </c>
      <c r="E48" s="3">
        <v>769.72569599999997</v>
      </c>
      <c r="F48" s="4">
        <v>1.643806367093142E-3</v>
      </c>
      <c r="G48" s="4">
        <v>4.963035559098705E-3</v>
      </c>
    </row>
    <row r="49" spans="1:7" x14ac:dyDescent="0.25">
      <c r="A49" s="2" t="s">
        <v>9</v>
      </c>
      <c r="B49" s="2" t="s">
        <v>10</v>
      </c>
      <c r="C49" s="2">
        <v>3</v>
      </c>
      <c r="D49" s="3">
        <v>118648.02708896549</v>
      </c>
      <c r="E49" s="3">
        <v>640.62859736000007</v>
      </c>
      <c r="F49" s="4">
        <v>4.2703506076277667E-2</v>
      </c>
      <c r="G49" s="4">
        <v>7.645975624855611E-3</v>
      </c>
    </row>
    <row r="52" spans="1:7" x14ac:dyDescent="0.25">
      <c r="B52" s="6" t="s">
        <v>14</v>
      </c>
      <c r="D52" s="3">
        <f>AVERAGE(D46:D47)</f>
        <v>163601.01822824604</v>
      </c>
      <c r="E52" s="3">
        <f t="shared" ref="E52:G52" si="7">AVERAGE(E46:E47)</f>
        <v>1387.1382385100001</v>
      </c>
      <c r="F52" s="4">
        <f t="shared" si="7"/>
        <v>4.8939114277376039E-3</v>
      </c>
      <c r="G52" s="4">
        <f t="shared" si="7"/>
        <v>8.709053830338369E-4</v>
      </c>
    </row>
    <row r="53" spans="1:7" x14ac:dyDescent="0.25">
      <c r="B53" s="6" t="s">
        <v>15</v>
      </c>
      <c r="D53" s="3">
        <f>AVERAGE(D48:D49)</f>
        <v>121027.52819186554</v>
      </c>
      <c r="E53" s="3">
        <f t="shared" ref="E53:G53" si="8">AVERAGE(E48:E49)</f>
        <v>705.17714668000008</v>
      </c>
      <c r="F53" s="4">
        <f t="shared" si="8"/>
        <v>2.2173656221685406E-2</v>
      </c>
      <c r="G53" s="4">
        <f t="shared" si="8"/>
        <v>6.3045055919771584E-3</v>
      </c>
    </row>
    <row r="54" spans="1:7" x14ac:dyDescent="0.25">
      <c r="B54" s="6" t="s">
        <v>17</v>
      </c>
      <c r="D54" s="3">
        <f>D52/D53</f>
        <v>1.3517669960910756</v>
      </c>
      <c r="E54" s="3">
        <f t="shared" ref="E54" si="9">E52/E53</f>
        <v>1.9670776981935643</v>
      </c>
      <c r="F54" s="3">
        <f t="shared" ref="F54" si="10">F52/F53</f>
        <v>0.22070836576565364</v>
      </c>
      <c r="G54" s="3">
        <f t="shared" ref="G54" si="11">G52/G53</f>
        <v>0.13814015553291181</v>
      </c>
    </row>
    <row r="56" spans="1:7" x14ac:dyDescent="0.25">
      <c r="C56" s="2">
        <f>MAX(C46:C49)</f>
        <v>4</v>
      </c>
      <c r="D56" s="2">
        <f t="shared" ref="D56:G56" si="12">MAX(D46:D49)</f>
        <v>177476.11420904889</v>
      </c>
      <c r="E56" s="2">
        <f t="shared" si="12"/>
        <v>1454.99992092</v>
      </c>
      <c r="F56" s="2">
        <f t="shared" si="12"/>
        <v>4.2703506076277667E-2</v>
      </c>
      <c r="G56" s="2">
        <f t="shared" si="12"/>
        <v>7.645975624855611E-3</v>
      </c>
    </row>
    <row r="57" spans="1:7" x14ac:dyDescent="0.25">
      <c r="C57" s="7" t="s">
        <v>16</v>
      </c>
      <c r="D57" s="7" t="s">
        <v>3</v>
      </c>
      <c r="E57" s="1" t="s">
        <v>4</v>
      </c>
      <c r="F57" s="1" t="s">
        <v>5</v>
      </c>
      <c r="G57" s="1" t="s">
        <v>6</v>
      </c>
    </row>
    <row r="58" spans="1:7" x14ac:dyDescent="0.25">
      <c r="C58" s="2">
        <f>C46/C$56</f>
        <v>0.25</v>
      </c>
      <c r="D58" s="2">
        <f>D46/D$56</f>
        <v>1</v>
      </c>
      <c r="E58" s="2">
        <f>E46/E$56</f>
        <v>1</v>
      </c>
      <c r="F58" s="2">
        <f>F46/F$56</f>
        <v>6.4040106003615581E-3</v>
      </c>
      <c r="G58" s="2">
        <f>G46/G$56</f>
        <v>0.11460367065763803</v>
      </c>
    </row>
    <row r="59" spans="1:7" x14ac:dyDescent="0.25">
      <c r="C59" s="2">
        <f t="shared" ref="C59:C61" si="13">C47/C$56</f>
        <v>0.5</v>
      </c>
      <c r="D59" s="2">
        <f t="shared" ref="D59:G61" si="14">D47/D$56</f>
        <v>0.84363984930998226</v>
      </c>
      <c r="E59" s="2">
        <f t="shared" si="14"/>
        <v>0.90671933182361841</v>
      </c>
      <c r="F59" s="2">
        <f t="shared" si="14"/>
        <v>0.22280018724681394</v>
      </c>
      <c r="G59" s="2">
        <f t="shared" si="14"/>
        <v>0.11320385208744876</v>
      </c>
    </row>
    <row r="60" spans="1:7" x14ac:dyDescent="0.25">
      <c r="C60" s="2">
        <f t="shared" si="13"/>
        <v>1</v>
      </c>
      <c r="D60" s="2">
        <f t="shared" si="14"/>
        <v>0.69534444026312525</v>
      </c>
      <c r="E60" s="2">
        <f t="shared" si="14"/>
        <v>0.52902112565978732</v>
      </c>
      <c r="F60" s="2">
        <f t="shared" si="14"/>
        <v>3.8493475551092914E-2</v>
      </c>
      <c r="G60" s="2">
        <f t="shared" si="14"/>
        <v>0.64910428735409798</v>
      </c>
    </row>
    <row r="61" spans="1:7" x14ac:dyDescent="0.25">
      <c r="C61" s="2">
        <f t="shared" si="13"/>
        <v>0.75</v>
      </c>
      <c r="D61" s="2">
        <f t="shared" si="14"/>
        <v>0.66852955180892759</v>
      </c>
      <c r="E61" s="2">
        <f t="shared" si="14"/>
        <v>0.4402945925625405</v>
      </c>
      <c r="F61" s="2">
        <f t="shared" si="14"/>
        <v>1</v>
      </c>
      <c r="G61" s="2">
        <f t="shared" si="14"/>
        <v>1</v>
      </c>
    </row>
    <row r="63" spans="1:7" x14ac:dyDescent="0.25">
      <c r="C63" s="7" t="s">
        <v>3</v>
      </c>
      <c r="D63" s="7" t="s">
        <v>16</v>
      </c>
      <c r="E63" s="7" t="s">
        <v>4</v>
      </c>
      <c r="F63" s="7" t="s">
        <v>5</v>
      </c>
      <c r="G63" s="7" t="s">
        <v>6</v>
      </c>
    </row>
    <row r="64" spans="1:7" x14ac:dyDescent="0.25">
      <c r="C64" s="3">
        <v>0.66852955180892759</v>
      </c>
      <c r="D64" s="2">
        <v>0.75</v>
      </c>
      <c r="E64" s="2">
        <v>0.4402945925625405</v>
      </c>
      <c r="F64" s="2">
        <v>1</v>
      </c>
      <c r="G64" s="2">
        <v>1</v>
      </c>
    </row>
    <row r="65" spans="1:7" x14ac:dyDescent="0.25">
      <c r="C65" s="3">
        <v>0.69534444026312525</v>
      </c>
      <c r="D65" s="2">
        <v>1</v>
      </c>
      <c r="E65" s="2">
        <v>0.52902112565978732</v>
      </c>
      <c r="F65" s="2">
        <v>3.8493475551092914E-2</v>
      </c>
      <c r="G65" s="2">
        <v>0.64910428735409798</v>
      </c>
    </row>
    <row r="66" spans="1:7" x14ac:dyDescent="0.25">
      <c r="C66" s="3">
        <v>0.84363984930998226</v>
      </c>
      <c r="D66" s="2">
        <v>0.5</v>
      </c>
      <c r="E66" s="2">
        <v>0.90671933182361841</v>
      </c>
      <c r="F66" s="2">
        <v>0.22280018724681394</v>
      </c>
      <c r="G66" s="2">
        <v>0.11320385208744876</v>
      </c>
    </row>
    <row r="67" spans="1:7" x14ac:dyDescent="0.25">
      <c r="C67" s="3">
        <v>1</v>
      </c>
      <c r="D67" s="2">
        <v>0.25</v>
      </c>
      <c r="E67" s="2">
        <v>1</v>
      </c>
      <c r="F67" s="2">
        <v>6.4040106003615581E-3</v>
      </c>
      <c r="G67" s="2">
        <v>0.11460367065763803</v>
      </c>
    </row>
    <row r="72" spans="1:7" x14ac:dyDescent="0.25">
      <c r="A72" s="2" t="s">
        <v>11</v>
      </c>
      <c r="B72" s="2" t="s">
        <v>12</v>
      </c>
      <c r="C72" s="2">
        <v>1</v>
      </c>
      <c r="D72" s="3">
        <v>331647.0310656284</v>
      </c>
      <c r="E72" s="3">
        <v>964.84556195999994</v>
      </c>
      <c r="F72" s="4">
        <v>7.4163848413873461E-4</v>
      </c>
      <c r="G72" s="4">
        <v>3.6380912535570372E-4</v>
      </c>
    </row>
    <row r="73" spans="1:7" x14ac:dyDescent="0.25">
      <c r="A73" s="2" t="s">
        <v>11</v>
      </c>
      <c r="B73" s="2" t="s">
        <v>12</v>
      </c>
      <c r="C73" s="2">
        <v>3</v>
      </c>
      <c r="D73" s="3">
        <v>255261.79722573471</v>
      </c>
      <c r="E73" s="3">
        <v>888.20773440000005</v>
      </c>
      <c r="F73" s="4">
        <v>1.2066660967819649E-3</v>
      </c>
      <c r="G73" s="4">
        <v>2.863735386990569E-3</v>
      </c>
    </row>
    <row r="74" spans="1:7" x14ac:dyDescent="0.25">
      <c r="A74" s="2" t="s">
        <v>11</v>
      </c>
      <c r="B74" s="2" t="s">
        <v>12</v>
      </c>
      <c r="C74" s="2">
        <v>2</v>
      </c>
      <c r="D74" s="3">
        <v>238996.75153477999</v>
      </c>
      <c r="E74" s="3">
        <v>863.40619829999991</v>
      </c>
      <c r="F74" s="4">
        <v>7.0023981897559661E-4</v>
      </c>
      <c r="G74" s="4">
        <v>9.1753228267274999E-4</v>
      </c>
    </row>
    <row r="75" spans="1:7" x14ac:dyDescent="0.25">
      <c r="A75" s="2" t="s">
        <v>11</v>
      </c>
      <c r="B75" s="2" t="s">
        <v>12</v>
      </c>
      <c r="C75" s="2">
        <v>4</v>
      </c>
      <c r="D75" s="3">
        <v>218314.63160777459</v>
      </c>
      <c r="E75" s="3">
        <v>897.65553599999998</v>
      </c>
      <c r="F75" s="4">
        <v>4.6312642581418888E-4</v>
      </c>
      <c r="G75" s="4">
        <v>5.3328786021100191E-3</v>
      </c>
    </row>
    <row r="78" spans="1:7" x14ac:dyDescent="0.25">
      <c r="B78" s="6" t="s">
        <v>14</v>
      </c>
      <c r="D78" s="3">
        <f>AVERAGE(D72:D73)</f>
        <v>293454.41414568154</v>
      </c>
      <c r="E78" s="3">
        <f t="shared" ref="E78:G78" si="15">AVERAGE(E72:E73)</f>
        <v>926.52664817999994</v>
      </c>
      <c r="F78" s="4">
        <f t="shared" si="15"/>
        <v>9.7415229046034983E-4</v>
      </c>
      <c r="G78" s="4">
        <f t="shared" si="15"/>
        <v>1.6137722561731364E-3</v>
      </c>
    </row>
    <row r="79" spans="1:7" x14ac:dyDescent="0.25">
      <c r="B79" s="6" t="s">
        <v>15</v>
      </c>
      <c r="D79" s="3">
        <f>AVERAGE(D74:D75)</f>
        <v>228655.69157127728</v>
      </c>
      <c r="E79" s="3">
        <f t="shared" ref="E79:G79" si="16">AVERAGE(E74:E75)</f>
        <v>880.53086714999995</v>
      </c>
      <c r="F79" s="4">
        <f t="shared" si="16"/>
        <v>5.8168312239489277E-4</v>
      </c>
      <c r="G79" s="4">
        <f t="shared" si="16"/>
        <v>3.1252054423913846E-3</v>
      </c>
    </row>
    <row r="80" spans="1:7" x14ac:dyDescent="0.25">
      <c r="B80" s="6" t="s">
        <v>17</v>
      </c>
      <c r="D80" s="3">
        <f>D78/D79</f>
        <v>1.2833899393849333</v>
      </c>
      <c r="E80" s="3">
        <f t="shared" ref="E80" si="17">E78/E79</f>
        <v>1.0522364209432813</v>
      </c>
      <c r="F80" s="3">
        <f t="shared" ref="F80" si="18">F78/F79</f>
        <v>1.6747130060256721</v>
      </c>
      <c r="G80" s="3">
        <f t="shared" ref="G80" si="19">G78/G79</f>
        <v>0.51637317479464306</v>
      </c>
    </row>
    <row r="82" spans="3:7" x14ac:dyDescent="0.25">
      <c r="C82" s="2">
        <f>MAX(C72:C75)</f>
        <v>4</v>
      </c>
      <c r="D82" s="2">
        <f t="shared" ref="D82:G82" si="20">MAX(D72:D75)</f>
        <v>331647.0310656284</v>
      </c>
      <c r="E82" s="2">
        <f t="shared" si="20"/>
        <v>964.84556195999994</v>
      </c>
      <c r="F82" s="2">
        <f t="shared" si="20"/>
        <v>1.2066660967819649E-3</v>
      </c>
      <c r="G82" s="2">
        <f t="shared" si="20"/>
        <v>5.3328786021100191E-3</v>
      </c>
    </row>
    <row r="83" spans="3:7" x14ac:dyDescent="0.25">
      <c r="C83" s="7" t="s">
        <v>16</v>
      </c>
      <c r="D83" s="7" t="s">
        <v>3</v>
      </c>
      <c r="E83" s="1" t="s">
        <v>4</v>
      </c>
      <c r="F83" s="1" t="s">
        <v>5</v>
      </c>
      <c r="G83" s="1" t="s">
        <v>6</v>
      </c>
    </row>
    <row r="84" spans="3:7" x14ac:dyDescent="0.25">
      <c r="C84" s="2">
        <f>C72/C$56</f>
        <v>0.25</v>
      </c>
      <c r="D84" s="2">
        <f>D72/D$82</f>
        <v>1</v>
      </c>
      <c r="E84" s="2">
        <f>E72/E$82</f>
        <v>1</v>
      </c>
      <c r="F84" s="2">
        <f>F72/F$82</f>
        <v>0.61461781856355813</v>
      </c>
      <c r="G84" s="2">
        <f>G72/G$82</f>
        <v>6.8220027587306817E-2</v>
      </c>
    </row>
    <row r="85" spans="3:7" x14ac:dyDescent="0.25">
      <c r="C85" s="2">
        <f t="shared" ref="C85:C87" si="21">C73/C$56</f>
        <v>0.75</v>
      </c>
      <c r="D85" s="2">
        <f t="shared" ref="D85:G87" si="22">D73/D$82</f>
        <v>0.76967912664721516</v>
      </c>
      <c r="E85" s="2">
        <f t="shared" si="22"/>
        <v>0.92056985015890336</v>
      </c>
      <c r="F85" s="2">
        <f t="shared" si="22"/>
        <v>1</v>
      </c>
      <c r="G85" s="2">
        <f t="shared" si="22"/>
        <v>0.53699617048426662</v>
      </c>
    </row>
    <row r="86" spans="3:7" x14ac:dyDescent="0.25">
      <c r="C86" s="2">
        <f t="shared" si="21"/>
        <v>0.5</v>
      </c>
      <c r="D86" s="2">
        <f t="shared" si="22"/>
        <v>0.72063588438241077</v>
      </c>
      <c r="E86" s="2">
        <f t="shared" si="22"/>
        <v>0.89486466263685271</v>
      </c>
      <c r="F86" s="2">
        <f t="shared" si="22"/>
        <v>0.58030951631362893</v>
      </c>
      <c r="G86" s="2">
        <f t="shared" si="22"/>
        <v>0.17205197251437845</v>
      </c>
    </row>
    <row r="87" spans="3:7" x14ac:dyDescent="0.25">
      <c r="C87" s="2">
        <f t="shared" si="21"/>
        <v>1</v>
      </c>
      <c r="D87" s="2">
        <f t="shared" si="22"/>
        <v>0.65827404185196259</v>
      </c>
      <c r="E87" s="2">
        <f t="shared" si="22"/>
        <v>0.93036188524979146</v>
      </c>
      <c r="F87" s="2">
        <f t="shared" si="22"/>
        <v>0.38380661149699324</v>
      </c>
      <c r="G87" s="2">
        <f t="shared" si="22"/>
        <v>1</v>
      </c>
    </row>
    <row r="89" spans="3:7" x14ac:dyDescent="0.25">
      <c r="C89" s="7" t="s">
        <v>3</v>
      </c>
      <c r="D89" s="7" t="s">
        <v>16</v>
      </c>
      <c r="E89" s="7" t="s">
        <v>4</v>
      </c>
      <c r="F89" s="7" t="s">
        <v>5</v>
      </c>
      <c r="G89" s="7" t="s">
        <v>6</v>
      </c>
    </row>
    <row r="90" spans="3:7" x14ac:dyDescent="0.25">
      <c r="C90" s="3">
        <v>0.65827404185196259</v>
      </c>
      <c r="D90" s="2">
        <v>1</v>
      </c>
      <c r="E90" s="2">
        <v>0.93036188524979146</v>
      </c>
      <c r="F90" s="2">
        <v>0.38380661149699324</v>
      </c>
      <c r="G90" s="2">
        <v>1</v>
      </c>
    </row>
    <row r="91" spans="3:7" x14ac:dyDescent="0.25">
      <c r="C91" s="3">
        <v>0.72063588438241077</v>
      </c>
      <c r="D91" s="2">
        <v>0.5</v>
      </c>
      <c r="E91" s="2">
        <v>0.89486466263685271</v>
      </c>
      <c r="F91" s="2">
        <v>0.58030951631362893</v>
      </c>
      <c r="G91" s="2">
        <v>0.17205197251437845</v>
      </c>
    </row>
    <row r="92" spans="3:7" x14ac:dyDescent="0.25">
      <c r="C92" s="3">
        <v>0.76967912664721516</v>
      </c>
      <c r="D92" s="2">
        <v>0.75</v>
      </c>
      <c r="E92" s="2">
        <v>0.92056985015890336</v>
      </c>
      <c r="F92" s="2">
        <v>1</v>
      </c>
      <c r="G92" s="2">
        <v>0.53699617048426662</v>
      </c>
    </row>
    <row r="93" spans="3:7" x14ac:dyDescent="0.25">
      <c r="C93" s="3">
        <v>1</v>
      </c>
      <c r="D93" s="2">
        <v>0.25</v>
      </c>
      <c r="E93" s="2">
        <v>1</v>
      </c>
      <c r="F93" s="2">
        <v>0.61461781856355813</v>
      </c>
      <c r="G93" s="2">
        <v>6.8220027587306817E-2</v>
      </c>
    </row>
  </sheetData>
  <sortState ref="C90:G93">
    <sortCondition ref="C90:C93"/>
  </sortState>
  <conditionalFormatting sqref="D2:D13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3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3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3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7:D1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7:E1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7:F18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1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2:D25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2:E25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2:F25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2:G25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8:D29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8:E29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8:F29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6:D49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6:E49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6:F49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6:G49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2:D5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2:E53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2:F5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2:G5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2:D75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2:E75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2:F75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2:G75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8:D7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8:E79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8:F7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8:G7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inf16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2026-05-13T08:41:56Z</dcterms:created>
  <dcterms:modified xsi:type="dcterms:W3CDTF">2026-06-02T10:55:09Z</dcterms:modified>
</cp:coreProperties>
</file>