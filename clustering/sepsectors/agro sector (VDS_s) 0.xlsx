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minimized="1" xWindow="0" yWindow="0" windowWidth="28800" windowHeight="12885"/>
  </bookViews>
  <sheets>
    <sheet name="inf16" sheetId="1" r:id="rId1"/>
  </sheets>
  <calcPr calcId="162913"/>
</workbook>
</file>

<file path=xl/calcChain.xml><?xml version="1.0" encoding="utf-8"?>
<calcChain xmlns="http://schemas.openxmlformats.org/spreadsheetml/2006/main">
  <c r="K27" i="1" l="1"/>
  <c r="J27" i="1"/>
  <c r="L106" i="1"/>
  <c r="K106" i="1"/>
  <c r="L82" i="1"/>
  <c r="K82" i="1"/>
  <c r="L58" i="1"/>
  <c r="K58" i="1"/>
  <c r="F83" i="1" l="1"/>
  <c r="F82" i="1"/>
  <c r="E83" i="1"/>
  <c r="E84" i="1"/>
  <c r="E82" i="1"/>
  <c r="D83" i="1"/>
  <c r="C85" i="1"/>
  <c r="C84" i="1"/>
  <c r="C83" i="1"/>
  <c r="C82" i="1"/>
  <c r="G80" i="1"/>
  <c r="G85" i="1" s="1"/>
  <c r="F80" i="1"/>
  <c r="F84" i="1" s="1"/>
  <c r="E80" i="1"/>
  <c r="E85" i="1" s="1"/>
  <c r="D80" i="1"/>
  <c r="D84" i="1" s="1"/>
  <c r="C80" i="1"/>
  <c r="G59" i="1"/>
  <c r="G60" i="1"/>
  <c r="G61" i="1"/>
  <c r="G58" i="1"/>
  <c r="F59" i="1"/>
  <c r="F60" i="1"/>
  <c r="F61" i="1"/>
  <c r="F58" i="1"/>
  <c r="C59" i="1"/>
  <c r="C60" i="1"/>
  <c r="C61" i="1"/>
  <c r="C58" i="1"/>
  <c r="E59" i="1"/>
  <c r="E60" i="1"/>
  <c r="E61" i="1"/>
  <c r="E58" i="1"/>
  <c r="D59" i="1"/>
  <c r="D60" i="1"/>
  <c r="D61" i="1"/>
  <c r="D58" i="1"/>
  <c r="G56" i="1"/>
  <c r="F56" i="1"/>
  <c r="E56" i="1"/>
  <c r="D56" i="1"/>
  <c r="C56" i="1"/>
  <c r="G77" i="1"/>
  <c r="F77" i="1"/>
  <c r="E77" i="1"/>
  <c r="D77" i="1"/>
  <c r="G76" i="1"/>
  <c r="G78" i="1" s="1"/>
  <c r="F76" i="1"/>
  <c r="E76" i="1"/>
  <c r="D76" i="1"/>
  <c r="G53" i="1"/>
  <c r="F53" i="1"/>
  <c r="E53" i="1"/>
  <c r="D53" i="1"/>
  <c r="G52" i="1"/>
  <c r="G54" i="1" s="1"/>
  <c r="F52" i="1"/>
  <c r="F54" i="1" s="1"/>
  <c r="E52" i="1"/>
  <c r="E54" i="1" s="1"/>
  <c r="D52" i="1"/>
  <c r="D54" i="1" s="1"/>
  <c r="E30" i="1"/>
  <c r="F30" i="1"/>
  <c r="G30" i="1"/>
  <c r="D30" i="1"/>
  <c r="G84" i="1" l="1"/>
  <c r="G83" i="1"/>
  <c r="D82" i="1"/>
  <c r="D85" i="1"/>
  <c r="F85" i="1"/>
  <c r="G82" i="1"/>
  <c r="D78" i="1"/>
  <c r="E78" i="1"/>
  <c r="F78" i="1"/>
  <c r="C32" i="1"/>
  <c r="C37" i="1" s="1"/>
  <c r="G37" i="1"/>
  <c r="G34" i="1"/>
  <c r="D32" i="1"/>
  <c r="D37" i="1" s="1"/>
  <c r="E32" i="1"/>
  <c r="E37" i="1" s="1"/>
  <c r="F32" i="1"/>
  <c r="F35" i="1" s="1"/>
  <c r="G32" i="1"/>
  <c r="G35" i="1" s="1"/>
  <c r="E29" i="1"/>
  <c r="F29" i="1"/>
  <c r="G29" i="1"/>
  <c r="D29" i="1"/>
  <c r="E28" i="1"/>
  <c r="F28" i="1"/>
  <c r="G28" i="1"/>
  <c r="D28" i="1"/>
  <c r="E34" i="1" l="1"/>
  <c r="D36" i="1"/>
  <c r="D35" i="1"/>
  <c r="E36" i="1"/>
  <c r="F37" i="1"/>
  <c r="D34" i="1"/>
  <c r="F36" i="1"/>
  <c r="F34" i="1"/>
  <c r="G36" i="1"/>
  <c r="E35" i="1"/>
  <c r="C34" i="1"/>
  <c r="C35" i="1"/>
  <c r="C36" i="1"/>
  <c r="E18" i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<sst xmlns="http://schemas.openxmlformats.org/spreadsheetml/2006/main" count="109" uniqueCount="21">
  <si>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</si>
  <si>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</si>
  <si>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</si>
  <si>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</si>
  <si>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</si>
  <si>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</si>
  <si>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</si>
  <si>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</si>
  <si>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</si>
  <si>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</si>
  <si>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</si>
  <si>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</si>
  <si>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</si>
  <si>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</si>
  <si>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</si>
  <si>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</si>
  <si>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Year</t>
  </si>
  <si>
    <t>разница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</si>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</sst>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D-4A6F-B1D6-3B18BEC02549}"/>
            </c:ext>
          </c:extLst>
        </c:ser>
        <c:ser>
          <c:idx val="3"/>
          <c:order val="1"/>
          <c:tx>
            <c:strRef>
              <c:f>'inf16'!$C$43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FD-4A6F-B1D6-3B18BEC02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'inf16'!$C$64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0-4EC4-B01C-907EDE755F4C}"/>
            </c:ext>
          </c:extLst>
        </c:ser>
        <c:ser>
          <c:idx val="3"/>
          <c:order val="1"/>
          <c:tx>
            <c:strRef>
              <c:f>'inf16'!$C$67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0-4EC4-B01C-907EDE755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'inf16'!$C$88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D-47D1-AE0F-426145B94BD5}"/>
            </c:ext>
          </c:extLst>
        </c:ser>
        <c:ser>
          <c:idx val="3"/>
          <c:order val="1"/>
          <c:tx>
            <c:strRef>
              <c:f>'inf16'!$C$91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8D-47D1-AE0F-426145B94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369794</xdr:colOff>
      <xdr:row>5</xdr:row>
      <xdr:rowOff>158920</xdr:rowOff>
    </xdr:from>
    <xdr:to>
      <xdr:col>20</xdr:col>
      <xdr:colOff>488438</xdr:colOff>
      <xdr:row>28</xdr:row>
      <xdr:rowOff>104199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21029</xdr:colOff>
      <xdr:row>5</xdr:row>
      <xdr:rowOff>181841</xdr:rowOff>
    </xdr:from>
    <xdr:to>
      <xdr:col>30</xdr:col>
      <xdr:colOff>145859</xdr:colOff>
      <xdr:row>28</xdr:row>
      <xdr:rowOff>127120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377289</xdr:colOff>
      <xdr:row>29</xdr:row>
      <xdr:rowOff>43295</xdr:rowOff>
    </xdr:from>
    <xdr:to>
      <xdr:col>20</xdr:col>
      <xdr:colOff>502119</xdr:colOff>
      <xdr:row>51</xdr:row>
      <xdr:rowOff>179074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tabSelected="1" topLeftCell="A4" zoomScale="70" zoomScaleNormal="70" workbookViewId="0">
      <selection activeCell="J33" sqref="J33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11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11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11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  <c r="I22" s="2"/>
      <c r="J22" s="7" t="s">
        <v>18</v>
      </c>
      <c r="K22" s="7" t="s">
        <v>19</v>
      </c>
    </row>
    <row r="23" spans="1:11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  <c r="I23" s="8" t="s">
        <v>8</v>
      </c>
      <c r="J23" s="3">
        <v>0.92014669347994649</v>
      </c>
      <c r="K23" s="3">
        <v>0.63822884618079689</v>
      </c>
    </row>
    <row r="24" spans="1:11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  <c r="I24" s="8" t="s">
        <v>10</v>
      </c>
      <c r="J24" s="9">
        <v>0.14289442569325148</v>
      </c>
      <c r="K24" s="9">
        <v>1.2602577684922229</v>
      </c>
    </row>
    <row r="25" spans="1:11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  <c r="I25" s="8" t="s">
        <v>12</v>
      </c>
      <c r="J25" s="3">
        <v>0.46180103499922054</v>
      </c>
      <c r="K25" s="3">
        <v>1.3356237696952309</v>
      </c>
    </row>
    <row r="27" spans="1:11" x14ac:dyDescent="0.25">
      <c r="I27" s="8" t="s">
        <v>20</v>
      </c>
      <c r="J27" s="10">
        <f>AVERAGE(J23:J25)</f>
        <v>0.50828071805747277</v>
      </c>
      <c r="K27" s="10">
        <f>AVERAGE(K23:K25)</f>
        <v>1.0780367947894167</v>
      </c>
    </row>
    <row r="28" spans="1:11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11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0" spans="1:11" x14ac:dyDescent="0.25">
      <c r="B30" s="6" t="s">
        <v>17</v>
      </c>
      <c r="D30" s="3">
        <f>D28/D29</f>
        <v>1.2449132022244318</v>
      </c>
      <c r="E30" s="3">
        <f t="shared" ref="E30:G30" si="4">E28/E29</f>
        <v>1.0750082283809359</v>
      </c>
      <c r="F30" s="3">
        <f t="shared" si="4"/>
        <v>3.092669028896593</v>
      </c>
      <c r="G30" s="3">
        <f t="shared" si="4"/>
        <v>1.9048189470819483</v>
      </c>
    </row>
    <row r="32" spans="1:11" x14ac:dyDescent="0.25">
      <c r="C32" s="2">
        <f>MAX(C22:C25)</f>
        <v>4</v>
      </c>
      <c r="D32" s="2">
        <f t="shared" ref="D32:G32" si="5">MAX(D22:D25)</f>
        <v>3292837.3871137551</v>
      </c>
      <c r="E32" s="2">
        <f t="shared" si="5"/>
        <v>5258.5701260400001</v>
      </c>
      <c r="F32" s="2">
        <f t="shared" si="5"/>
        <v>1.0604360748915839E-2</v>
      </c>
      <c r="G32" s="2">
        <f t="shared" si="5"/>
        <v>3.9573959548935052E-3</v>
      </c>
    </row>
    <row r="33" spans="1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 t="shared" ref="C34:G37" si="6">C22/C$32</f>
        <v>0.25</v>
      </c>
      <c r="D34" s="2">
        <f t="shared" si="6"/>
        <v>1</v>
      </c>
      <c r="E34" s="2">
        <f t="shared" si="6"/>
        <v>1</v>
      </c>
      <c r="F34" s="2">
        <f t="shared" si="6"/>
        <v>1</v>
      </c>
      <c r="G34" s="2">
        <f t="shared" si="6"/>
        <v>0.47223470956791447</v>
      </c>
    </row>
    <row r="35" spans="1:7" x14ac:dyDescent="0.25">
      <c r="C35" s="2">
        <f t="shared" si="6"/>
        <v>0.5</v>
      </c>
      <c r="D35" s="2">
        <f t="shared" si="6"/>
        <v>0.94055185443048506</v>
      </c>
      <c r="E35" s="2">
        <f t="shared" si="6"/>
        <v>0.79155969555065653</v>
      </c>
      <c r="F35" s="2">
        <f t="shared" si="6"/>
        <v>0.13278607396570202</v>
      </c>
      <c r="G35" s="2">
        <f t="shared" si="6"/>
        <v>1</v>
      </c>
    </row>
    <row r="36" spans="1:7" x14ac:dyDescent="0.25">
      <c r="C36" s="2">
        <f t="shared" si="6"/>
        <v>0.75</v>
      </c>
      <c r="D36" s="2">
        <f t="shared" si="6"/>
        <v>0.80558451044020529</v>
      </c>
      <c r="E36" s="2">
        <f t="shared" si="6"/>
        <v>0.80890079918421609</v>
      </c>
      <c r="F36" s="2">
        <f t="shared" si="6"/>
        <v>0.27164901806536035</v>
      </c>
      <c r="G36" s="2">
        <f t="shared" si="6"/>
        <v>0.46444703398099701</v>
      </c>
    </row>
    <row r="37" spans="1:7" x14ac:dyDescent="0.25">
      <c r="C37" s="2">
        <f t="shared" si="6"/>
        <v>1</v>
      </c>
      <c r="D37" s="2">
        <f t="shared" si="6"/>
        <v>0.75320035180004941</v>
      </c>
      <c r="E37" s="2">
        <f t="shared" si="6"/>
        <v>0.8576536031471178</v>
      </c>
      <c r="F37" s="2">
        <f t="shared" si="6"/>
        <v>9.4632036706885733E-2</v>
      </c>
      <c r="G37" s="2">
        <f t="shared" si="6"/>
        <v>0.30845304233506288</v>
      </c>
    </row>
    <row r="39" spans="1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1:7" x14ac:dyDescent="0.25">
      <c r="C40" s="3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1:7" x14ac:dyDescent="0.25">
      <c r="C41" s="3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1:7" x14ac:dyDescent="0.25">
      <c r="C42" s="3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1:7" x14ac:dyDescent="0.25">
      <c r="C43" s="3">
        <v>1</v>
      </c>
      <c r="D43" s="2">
        <v>0.25</v>
      </c>
      <c r="E43" s="2">
        <v>1</v>
      </c>
      <c r="F43" s="2">
        <v>1</v>
      </c>
      <c r="G43" s="2">
        <v>0.47223470956791447</v>
      </c>
    </row>
    <row r="46" spans="1:7" x14ac:dyDescent="0.25">
      <c r="A46" s="2" t="s">
        <v>9</v>
      </c>
      <c r="B46" s="2" t="s">
        <v>10</v>
      </c>
      <c r="C46" s="2">
        <v>1</v>
      </c>
      <c r="D46" s="3">
        <v>177476.11420904889</v>
      </c>
      <c r="E46" s="3">
        <v>1454.99992092</v>
      </c>
      <c r="F46" s="4">
        <v>2.7347370558508639E-4</v>
      </c>
      <c r="G46" s="4">
        <v>8.7625687236728058E-4</v>
      </c>
    </row>
    <row r="47" spans="1:7" x14ac:dyDescent="0.25">
      <c r="A47" s="2" t="s">
        <v>9</v>
      </c>
      <c r="B47" s="2" t="s">
        <v>10</v>
      </c>
      <c r="C47" s="2">
        <v>2</v>
      </c>
      <c r="D47" s="3">
        <v>149725.9222474432</v>
      </c>
      <c r="E47" s="3">
        <v>1319.2765561000001</v>
      </c>
      <c r="F47" s="4">
        <v>9.5143491498901212E-3</v>
      </c>
      <c r="G47" s="4">
        <v>8.6555389370039323E-4</v>
      </c>
    </row>
    <row r="48" spans="1:7" x14ac:dyDescent="0.25">
      <c r="A48" s="2" t="s">
        <v>9</v>
      </c>
      <c r="B48" s="2" t="s">
        <v>10</v>
      </c>
      <c r="C48" s="2">
        <v>4</v>
      </c>
      <c r="D48" s="3">
        <v>123407.0292947656</v>
      </c>
      <c r="E48" s="3">
        <v>769.72569599999997</v>
      </c>
      <c r="F48" s="4">
        <v>1.643806367093142E-3</v>
      </c>
      <c r="G48" s="4">
        <v>4.963035559098705E-3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118648.02708896549</v>
      </c>
      <c r="E49" s="3">
        <v>640.62859736000007</v>
      </c>
      <c r="F49" s="4">
        <v>4.2703506076277667E-2</v>
      </c>
      <c r="G49" s="4">
        <v>7.645975624855611E-3</v>
      </c>
    </row>
    <row r="52" spans="1:12" x14ac:dyDescent="0.25">
      <c r="B52" s="6" t="s">
        <v>14</v>
      </c>
      <c r="D52" s="3">
        <f>AVERAGE(D46:D47)</f>
        <v>163601.01822824604</v>
      </c>
      <c r="E52" s="3">
        <f t="shared" ref="E52:G52" si="7">AVERAGE(E46:E47)</f>
        <v>1387.1382385100001</v>
      </c>
      <c r="F52" s="4">
        <f t="shared" si="7"/>
        <v>4.8939114277376039E-3</v>
      </c>
      <c r="G52" s="4">
        <f t="shared" si="7"/>
        <v>8.709053830338369E-4</v>
      </c>
    </row>
    <row r="53" spans="1:12" x14ac:dyDescent="0.25">
      <c r="B53" s="6" t="s">
        <v>15</v>
      </c>
      <c r="D53" s="3">
        <f>AVERAGE(D48:D49)</f>
        <v>121027.52819186554</v>
      </c>
      <c r="E53" s="3">
        <f t="shared" ref="E53:G53" si="8">AVERAGE(E48:E49)</f>
        <v>705.17714668000008</v>
      </c>
      <c r="F53" s="4">
        <f t="shared" si="8"/>
        <v>2.2173656221685406E-2</v>
      </c>
      <c r="G53" s="4">
        <f t="shared" si="8"/>
        <v>6.3045055919771584E-3</v>
      </c>
    </row>
    <row r="54" spans="1:12" x14ac:dyDescent="0.25">
      <c r="B54" s="6" t="s">
        <v>17</v>
      </c>
      <c r="D54" s="3">
        <f>D52/D53</f>
        <v>1.3517669960910756</v>
      </c>
      <c r="E54" s="3">
        <f t="shared" ref="E54" si="9">E52/E53</f>
        <v>1.9670776981935643</v>
      </c>
      <c r="F54" s="3">
        <f t="shared" ref="F54" si="10">F52/F53</f>
        <v>0.22070836576565364</v>
      </c>
      <c r="G54" s="3">
        <f t="shared" ref="G54" si="11">G52/G53</f>
        <v>0.13814015553291181</v>
      </c>
    </row>
    <row r="56" spans="1:12" x14ac:dyDescent="0.25">
      <c r="C56" s="2">
        <f>MAX(C46:C49)</f>
        <v>4</v>
      </c>
      <c r="D56" s="2">
        <f t="shared" ref="D56:G56" si="12">MAX(D46:D49)</f>
        <v>177476.11420904889</v>
      </c>
      <c r="E56" s="2">
        <f t="shared" si="12"/>
        <v>1454.99992092</v>
      </c>
      <c r="F56" s="2">
        <f t="shared" si="12"/>
        <v>4.2703506076277667E-2</v>
      </c>
      <c r="G56" s="2">
        <f t="shared" si="12"/>
        <v>7.645975624855611E-3</v>
      </c>
    </row>
    <row r="57" spans="1:12" x14ac:dyDescent="0.25">
      <c r="C57" s="7" t="s">
        <v>16</v>
      </c>
      <c r="D57" s="7" t="s">
        <v>3</v>
      </c>
      <c r="E57" s="1" t="s">
        <v>4</v>
      </c>
      <c r="F57" s="1" t="s">
        <v>5</v>
      </c>
      <c r="G57" s="1" t="s">
        <v>6</v>
      </c>
      <c r="J57" s="2"/>
      <c r="K57" s="7" t="s">
        <v>18</v>
      </c>
      <c r="L57" s="7" t="s">
        <v>19</v>
      </c>
    </row>
    <row r="58" spans="1:12" x14ac:dyDescent="0.25">
      <c r="C58" s="2">
        <f>C46/C$56</f>
        <v>0.25</v>
      </c>
      <c r="D58" s="2">
        <f>D46/D$56</f>
        <v>1</v>
      </c>
      <c r="E58" s="2">
        <f>E46/E$56</f>
        <v>1</v>
      </c>
      <c r="F58" s="2">
        <f>F46/F$56</f>
        <v>6.4040106003615581E-3</v>
      </c>
      <c r="G58" s="2">
        <f>G46/G$56</f>
        <v>0.11460367065763803</v>
      </c>
      <c r="J58" s="7">
        <v>1</v>
      </c>
      <c r="K58" s="3">
        <f>0.5*(D43*E43+E43*F43+F43*G43+G43*D43)</f>
        <v>0.92014669347994649</v>
      </c>
      <c r="L58" s="3">
        <f>0.5*(D40*E40+E40*F40+F40*G40+G40*D40)</f>
        <v>0.63822884618079689</v>
      </c>
    </row>
    <row r="59" spans="1:12" x14ac:dyDescent="0.25">
      <c r="C59" s="2">
        <f t="shared" ref="C59:C61" si="13">C47/C$56</f>
        <v>0.5</v>
      </c>
      <c r="D59" s="2">
        <f t="shared" ref="D59:G61" si="14">D47/D$56</f>
        <v>0.84363984930998226</v>
      </c>
      <c r="E59" s="2">
        <f t="shared" si="14"/>
        <v>0.90671933182361841</v>
      </c>
      <c r="F59" s="2">
        <f t="shared" si="14"/>
        <v>0.22280018724681394</v>
      </c>
      <c r="G59" s="2">
        <f t="shared" si="14"/>
        <v>0.11320385208744876</v>
      </c>
    </row>
    <row r="60" spans="1:12" x14ac:dyDescent="0.25">
      <c r="C60" s="2">
        <f t="shared" si="13"/>
        <v>1</v>
      </c>
      <c r="D60" s="2">
        <f t="shared" si="14"/>
        <v>0.69534444026312525</v>
      </c>
      <c r="E60" s="2">
        <f t="shared" si="14"/>
        <v>0.52902112565978732</v>
      </c>
      <c r="F60" s="2">
        <f t="shared" si="14"/>
        <v>3.8493475551092914E-2</v>
      </c>
      <c r="G60" s="2">
        <f t="shared" si="14"/>
        <v>0.64910428735409798</v>
      </c>
    </row>
    <row r="61" spans="1:12" x14ac:dyDescent="0.25">
      <c r="C61" s="2">
        <f t="shared" si="13"/>
        <v>0.75</v>
      </c>
      <c r="D61" s="2">
        <f t="shared" si="14"/>
        <v>0.66852955180892759</v>
      </c>
      <c r="E61" s="2">
        <f t="shared" si="14"/>
        <v>0.4402945925625405</v>
      </c>
      <c r="F61" s="2">
        <f t="shared" si="14"/>
        <v>1</v>
      </c>
      <c r="G61" s="2">
        <f t="shared" si="14"/>
        <v>1</v>
      </c>
    </row>
    <row r="63" spans="1:12" x14ac:dyDescent="0.25">
      <c r="C63" s="7" t="s">
        <v>3</v>
      </c>
      <c r="D63" s="7" t="s">
        <v>16</v>
      </c>
      <c r="E63" s="7" t="s">
        <v>4</v>
      </c>
      <c r="F63" s="7" t="s">
        <v>5</v>
      </c>
      <c r="G63" s="7" t="s">
        <v>6</v>
      </c>
    </row>
    <row r="64" spans="1:12" x14ac:dyDescent="0.25">
      <c r="C64" s="3">
        <v>0.66852955180892759</v>
      </c>
      <c r="D64" s="2">
        <v>0.75</v>
      </c>
      <c r="E64" s="2">
        <v>0.4402945925625405</v>
      </c>
      <c r="F64" s="2">
        <v>1</v>
      </c>
      <c r="G64" s="2">
        <v>1</v>
      </c>
    </row>
    <row r="65" spans="1:7" x14ac:dyDescent="0.25">
      <c r="C65" s="3">
        <v>0.69534444026312525</v>
      </c>
      <c r="D65" s="2">
        <v>1</v>
      </c>
      <c r="E65" s="2">
        <v>0.52902112565978732</v>
      </c>
      <c r="F65" s="2">
        <v>3.8493475551092914E-2</v>
      </c>
      <c r="G65" s="2">
        <v>0.64910428735409798</v>
      </c>
    </row>
    <row r="66" spans="1:7" x14ac:dyDescent="0.25">
      <c r="C66" s="3">
        <v>0.84363984930998226</v>
      </c>
      <c r="D66" s="2">
        <v>0.5</v>
      </c>
      <c r="E66" s="2">
        <v>0.90671933182361841</v>
      </c>
      <c r="F66" s="2">
        <v>0.22280018724681394</v>
      </c>
      <c r="G66" s="2">
        <v>0.11320385208744876</v>
      </c>
    </row>
    <row r="67" spans="1:7" x14ac:dyDescent="0.25">
      <c r="C67" s="3">
        <v>1</v>
      </c>
      <c r="D67" s="2">
        <v>0.25</v>
      </c>
      <c r="E67" s="2">
        <v>1</v>
      </c>
      <c r="F67" s="2">
        <v>6.4040106003615581E-3</v>
      </c>
      <c r="G67" s="2">
        <v>0.11460367065763803</v>
      </c>
    </row>
    <row r="70" spans="1:7" x14ac:dyDescent="0.25">
      <c r="A70" s="2" t="s">
        <v>11</v>
      </c>
      <c r="B70" s="2" t="s">
        <v>12</v>
      </c>
      <c r="C70" s="2">
        <v>1</v>
      </c>
      <c r="D70" s="3">
        <v>331647.0310656284</v>
      </c>
      <c r="E70" s="3">
        <v>964.84556195999994</v>
      </c>
      <c r="F70" s="4">
        <v>7.4163848413873461E-4</v>
      </c>
      <c r="G70" s="4">
        <v>3.6380912535570372E-4</v>
      </c>
    </row>
    <row r="71" spans="1:7" x14ac:dyDescent="0.25">
      <c r="A71" s="2" t="s">
        <v>11</v>
      </c>
      <c r="B71" s="2" t="s">
        <v>12</v>
      </c>
      <c r="C71" s="2">
        <v>3</v>
      </c>
      <c r="D71" s="3">
        <v>255261.79722573471</v>
      </c>
      <c r="E71" s="3">
        <v>888.20773440000005</v>
      </c>
      <c r="F71" s="4">
        <v>1.2066660967819649E-3</v>
      </c>
      <c r="G71" s="4">
        <v>2.863735386990569E-3</v>
      </c>
    </row>
    <row r="72" spans="1:7" x14ac:dyDescent="0.25">
      <c r="A72" s="2" t="s">
        <v>11</v>
      </c>
      <c r="B72" s="2" t="s">
        <v>12</v>
      </c>
      <c r="C72" s="2">
        <v>2</v>
      </c>
      <c r="D72" s="3">
        <v>238996.75153477999</v>
      </c>
      <c r="E72" s="3">
        <v>863.40619829999991</v>
      </c>
      <c r="F72" s="4">
        <v>7.0023981897559661E-4</v>
      </c>
      <c r="G72" s="4">
        <v>9.1753228267274999E-4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218314.63160777459</v>
      </c>
      <c r="E73" s="3">
        <v>897.65553599999998</v>
      </c>
      <c r="F73" s="4">
        <v>4.6312642581418888E-4</v>
      </c>
      <c r="G73" s="4">
        <v>5.3328786021100191E-3</v>
      </c>
    </row>
    <row r="76" spans="1:7" x14ac:dyDescent="0.25">
      <c r="B76" s="6" t="s">
        <v>14</v>
      </c>
      <c r="D76" s="3">
        <f>AVERAGE(D70:D71)</f>
        <v>293454.41414568154</v>
      </c>
      <c r="E76" s="3">
        <f t="shared" ref="E76:G76" si="15">AVERAGE(E70:E71)</f>
        <v>926.52664817999994</v>
      </c>
      <c r="F76" s="4">
        <f t="shared" si="15"/>
        <v>9.7415229046034983E-4</v>
      </c>
      <c r="G76" s="4">
        <f t="shared" si="15"/>
        <v>1.6137722561731364E-3</v>
      </c>
    </row>
    <row r="77" spans="1:7" x14ac:dyDescent="0.25">
      <c r="B77" s="6" t="s">
        <v>15</v>
      </c>
      <c r="D77" s="3">
        <f>AVERAGE(D72:D73)</f>
        <v>228655.69157127728</v>
      </c>
      <c r="E77" s="3">
        <f t="shared" ref="E77:G77" si="16">AVERAGE(E72:E73)</f>
        <v>880.53086714999995</v>
      </c>
      <c r="F77" s="4">
        <f t="shared" si="16"/>
        <v>5.8168312239489277E-4</v>
      </c>
      <c r="G77" s="4">
        <f t="shared" si="16"/>
        <v>3.1252054423913846E-3</v>
      </c>
    </row>
    <row r="78" spans="1:7" x14ac:dyDescent="0.25">
      <c r="B78" s="6" t="s">
        <v>17</v>
      </c>
      <c r="D78" s="3">
        <f>D76/D77</f>
        <v>1.2833899393849333</v>
      </c>
      <c r="E78" s="3">
        <f t="shared" ref="E78" si="17">E76/E77</f>
        <v>1.0522364209432813</v>
      </c>
      <c r="F78" s="3">
        <f t="shared" ref="F78" si="18">F76/F77</f>
        <v>1.6747130060256721</v>
      </c>
      <c r="G78" s="3">
        <f t="shared" ref="G78" si="19">G76/G77</f>
        <v>0.51637317479464306</v>
      </c>
    </row>
    <row r="80" spans="1:7" x14ac:dyDescent="0.25">
      <c r="C80" s="2">
        <f>MAX(C70:C73)</f>
        <v>4</v>
      </c>
      <c r="D80" s="2">
        <f t="shared" ref="D80:G80" si="20">MAX(D70:D73)</f>
        <v>331647.0310656284</v>
      </c>
      <c r="E80" s="2">
        <f t="shared" si="20"/>
        <v>964.84556195999994</v>
      </c>
      <c r="F80" s="2">
        <f t="shared" si="20"/>
        <v>1.2066660967819649E-3</v>
      </c>
      <c r="G80" s="2">
        <f t="shared" si="20"/>
        <v>5.3328786021100191E-3</v>
      </c>
    </row>
    <row r="81" spans="3:12" x14ac:dyDescent="0.25">
      <c r="C81" s="7" t="s">
        <v>16</v>
      </c>
      <c r="D81" s="7" t="s">
        <v>3</v>
      </c>
      <c r="E81" s="1" t="s">
        <v>4</v>
      </c>
      <c r="F81" s="1" t="s">
        <v>5</v>
      </c>
      <c r="G81" s="1" t="s">
        <v>6</v>
      </c>
      <c r="J81" s="2"/>
      <c r="K81" s="7" t="s">
        <v>18</v>
      </c>
      <c r="L81" s="7" t="s">
        <v>19</v>
      </c>
    </row>
    <row r="82" spans="3:12" x14ac:dyDescent="0.25">
      <c r="C82" s="2">
        <f>C70/C$56</f>
        <v>0.25</v>
      </c>
      <c r="D82" s="2">
        <f t="shared" ref="D82:G85" si="21">D70/D$80</f>
        <v>1</v>
      </c>
      <c r="E82" s="2">
        <f t="shared" si="21"/>
        <v>1</v>
      </c>
      <c r="F82" s="2">
        <f t="shared" si="21"/>
        <v>0.61461781856355813</v>
      </c>
      <c r="G82" s="2">
        <f t="shared" si="21"/>
        <v>6.8220027587306817E-2</v>
      </c>
      <c r="J82" s="7">
        <v>2</v>
      </c>
      <c r="K82" s="3">
        <f>0.5*(D67*E67+E67*F67+F67*G67+G67*D67)</f>
        <v>0.14289442569325148</v>
      </c>
      <c r="L82" s="3">
        <f>0.5*(D64*E64+E64*F64+F64*G64+G64*D64)</f>
        <v>1.2602577684922229</v>
      </c>
    </row>
    <row r="83" spans="3:12" x14ac:dyDescent="0.25">
      <c r="C83" s="2">
        <f>C71/C$56</f>
        <v>0.75</v>
      </c>
      <c r="D83" s="2">
        <f t="shared" si="21"/>
        <v>0.76967912664721516</v>
      </c>
      <c r="E83" s="2">
        <f t="shared" si="21"/>
        <v>0.92056985015890336</v>
      </c>
      <c r="F83" s="2">
        <f t="shared" si="21"/>
        <v>1</v>
      </c>
      <c r="G83" s="2">
        <f t="shared" si="21"/>
        <v>0.53699617048426662</v>
      </c>
    </row>
    <row r="84" spans="3:12" x14ac:dyDescent="0.25">
      <c r="C84" s="2">
        <f>C72/C$56</f>
        <v>0.5</v>
      </c>
      <c r="D84" s="2">
        <f t="shared" si="21"/>
        <v>0.72063588438241077</v>
      </c>
      <c r="E84" s="2">
        <f t="shared" si="21"/>
        <v>0.89486466263685271</v>
      </c>
      <c r="F84" s="2">
        <f t="shared" si="21"/>
        <v>0.58030951631362893</v>
      </c>
      <c r="G84" s="2">
        <f t="shared" si="21"/>
        <v>0.17205197251437845</v>
      </c>
    </row>
    <row r="85" spans="3:12" x14ac:dyDescent="0.25">
      <c r="C85" s="2">
        <f>C73/C$56</f>
        <v>1</v>
      </c>
      <c r="D85" s="2">
        <f t="shared" si="21"/>
        <v>0.65827404185196259</v>
      </c>
      <c r="E85" s="2">
        <f t="shared" si="21"/>
        <v>0.93036188524979146</v>
      </c>
      <c r="F85" s="2">
        <f t="shared" si="21"/>
        <v>0.38380661149699324</v>
      </c>
      <c r="G85" s="2">
        <f t="shared" si="21"/>
        <v>1</v>
      </c>
    </row>
    <row r="87" spans="3:12" x14ac:dyDescent="0.25">
      <c r="C87" s="7" t="s">
        <v>3</v>
      </c>
      <c r="D87" s="7" t="s">
        <v>16</v>
      </c>
      <c r="E87" s="7" t="s">
        <v>4</v>
      </c>
      <c r="F87" s="7" t="s">
        <v>5</v>
      </c>
      <c r="G87" s="7" t="s">
        <v>6</v>
      </c>
    </row>
    <row r="88" spans="3:12" x14ac:dyDescent="0.25">
      <c r="C88" s="3">
        <v>0.65827404185196259</v>
      </c>
      <c r="D88" s="2">
        <v>1</v>
      </c>
      <c r="E88" s="2">
        <v>0.93036188524979146</v>
      </c>
      <c r="F88" s="2">
        <v>0.38380661149699324</v>
      </c>
      <c r="G88" s="2">
        <v>1</v>
      </c>
    </row>
    <row r="89" spans="3:12" x14ac:dyDescent="0.25">
      <c r="C89" s="3">
        <v>0.72063588438241077</v>
      </c>
      <c r="D89" s="2">
        <v>0.5</v>
      </c>
      <c r="E89" s="2">
        <v>0.89486466263685271</v>
      </c>
      <c r="F89" s="2">
        <v>0.58030951631362893</v>
      </c>
      <c r="G89" s="2">
        <v>0.17205197251437845</v>
      </c>
    </row>
    <row r="90" spans="3:12" x14ac:dyDescent="0.25">
      <c r="C90" s="3">
        <v>0.76967912664721516</v>
      </c>
      <c r="D90" s="2">
        <v>0.75</v>
      </c>
      <c r="E90" s="2">
        <v>0.92056985015890336</v>
      </c>
      <c r="F90" s="2">
        <v>1</v>
      </c>
      <c r="G90" s="2">
        <v>0.53699617048426662</v>
      </c>
    </row>
    <row r="91" spans="3:12" x14ac:dyDescent="0.25">
      <c r="C91" s="3">
        <v>1</v>
      </c>
      <c r="D91" s="2">
        <v>0.25</v>
      </c>
      <c r="E91" s="2">
        <v>1</v>
      </c>
      <c r="F91" s="2">
        <v>0.61461781856355813</v>
      </c>
      <c r="G91" s="2">
        <v>6.8220027587306817E-2</v>
      </c>
    </row>
    <row r="105" spans="10:12" x14ac:dyDescent="0.25">
      <c r="J105" s="2"/>
      <c r="K105" s="7" t="s">
        <v>18</v>
      </c>
      <c r="L105" s="7" t="s">
        <v>19</v>
      </c>
    </row>
    <row r="106" spans="10:12" x14ac:dyDescent="0.25">
      <c r="J106" s="7">
        <v>2</v>
      </c>
      <c r="K106" s="3">
        <f>0.5*(D91*E91+E91*F91+F91*G91+G91*D91)</f>
        <v>0.46180103499922054</v>
      </c>
      <c r="L106" s="3">
        <f>0.5*(D88*E88+E88*F88+F88*G88+G88*D88)</f>
        <v>1.3356237696952309</v>
      </c>
    </row>
  </sheetData>
  <sortState ref="C88:G91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0:D7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0:E7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0:F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0:G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6:D7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6:E7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6:F7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6:G7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inf16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2026-06-09T05:45:42Z</dcterms:modified>
</cp:coreProperties>
</file>