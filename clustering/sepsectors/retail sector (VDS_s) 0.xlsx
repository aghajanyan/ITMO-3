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sepsectors\"/>
    </mc:Choice>
  </mc:AlternateContent>
  <bookViews>
    <workbookView xWindow="0" yWindow="0" windowWidth="28800" windowHeight="12885" activeTab="1"/>
  </bookViews>
  <sheets>
    <sheet name="Sheet1" sheetId="1" r:id="rId1"/>
    <sheet name="Sheet1 (2)" sheetId="2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L106" i="2" l="1"/>
  <c r="K106" i="2"/>
  <c r="G85" i="2"/>
  <c r="F85" i="2"/>
  <c r="C84" i="2"/>
  <c r="G83" i="2"/>
  <c r="L82" i="2"/>
  <c r="K82" i="2"/>
  <c r="G82" i="2"/>
  <c r="F82" i="2"/>
  <c r="G80" i="2"/>
  <c r="G84" i="2" s="1"/>
  <c r="F80" i="2"/>
  <c r="F84" i="2" s="1"/>
  <c r="E80" i="2"/>
  <c r="E84" i="2" s="1"/>
  <c r="D80" i="2"/>
  <c r="D84" i="2" s="1"/>
  <c r="C80" i="2"/>
  <c r="C83" i="2" s="1"/>
  <c r="G76" i="2"/>
  <c r="F76" i="2"/>
  <c r="E76" i="2"/>
  <c r="D76" i="2"/>
  <c r="G75" i="2"/>
  <c r="G78" i="2" s="1"/>
  <c r="F75" i="2"/>
  <c r="F78" i="2" s="1"/>
  <c r="E75" i="2"/>
  <c r="E78" i="2" s="1"/>
  <c r="D75" i="2"/>
  <c r="D78" i="2" s="1"/>
  <c r="F61" i="2"/>
  <c r="E61" i="2"/>
  <c r="G59" i="2"/>
  <c r="F59" i="2"/>
  <c r="L58" i="2"/>
  <c r="K58" i="2"/>
  <c r="G58" i="2"/>
  <c r="F58" i="2"/>
  <c r="E58" i="2"/>
  <c r="G56" i="2"/>
  <c r="G61" i="2" s="1"/>
  <c r="F56" i="2"/>
  <c r="F60" i="2" s="1"/>
  <c r="E56" i="2"/>
  <c r="E60" i="2" s="1"/>
  <c r="D56" i="2"/>
  <c r="D60" i="2" s="1"/>
  <c r="C56" i="2"/>
  <c r="C61" i="2" s="1"/>
  <c r="G52" i="2"/>
  <c r="F52" i="2"/>
  <c r="E52" i="2"/>
  <c r="D52" i="2"/>
  <c r="G51" i="2"/>
  <c r="G54" i="2" s="1"/>
  <c r="F51" i="2"/>
  <c r="F54" i="2" s="1"/>
  <c r="E51" i="2"/>
  <c r="E54" i="2" s="1"/>
  <c r="D51" i="2"/>
  <c r="D54" i="2" s="1"/>
  <c r="E37" i="2"/>
  <c r="D37" i="2"/>
  <c r="C37" i="2"/>
  <c r="F35" i="2"/>
  <c r="E35" i="2"/>
  <c r="D34" i="2"/>
  <c r="C34" i="2"/>
  <c r="G32" i="2"/>
  <c r="G37" i="2" s="1"/>
  <c r="F32" i="2"/>
  <c r="F34" i="2" s="1"/>
  <c r="E32" i="2"/>
  <c r="E34" i="2" s="1"/>
  <c r="D32" i="2"/>
  <c r="D36" i="2" s="1"/>
  <c r="C32" i="2"/>
  <c r="C36" i="2" s="1"/>
  <c r="G28" i="2"/>
  <c r="F28" i="2"/>
  <c r="E28" i="2"/>
  <c r="D28" i="2"/>
  <c r="G27" i="2"/>
  <c r="G30" i="2" s="1"/>
  <c r="F27" i="2"/>
  <c r="F30" i="2" s="1"/>
  <c r="E27" i="2"/>
  <c r="E30" i="2" s="1"/>
  <c r="D27" i="2"/>
  <c r="D30" i="2" s="1"/>
  <c r="K26" i="2"/>
  <c r="J26" i="2"/>
  <c r="G18" i="2"/>
  <c r="F18" i="2"/>
  <c r="E18" i="2"/>
  <c r="D18" i="2"/>
  <c r="G17" i="2"/>
  <c r="F17" i="2"/>
  <c r="E17" i="2"/>
  <c r="D17" i="2"/>
  <c r="D15" i="2"/>
  <c r="G34" i="2" l="1"/>
  <c r="E36" i="2"/>
  <c r="C59" i="2"/>
  <c r="C82" i="2"/>
  <c r="D83" i="2"/>
  <c r="G35" i="2"/>
  <c r="C35" i="2"/>
  <c r="F36" i="2"/>
  <c r="C58" i="2"/>
  <c r="D59" i="2"/>
  <c r="G60" i="2"/>
  <c r="D82" i="2"/>
  <c r="E83" i="2"/>
  <c r="C85" i="2"/>
  <c r="C60" i="2"/>
  <c r="D35" i="2"/>
  <c r="G36" i="2"/>
  <c r="D58" i="2"/>
  <c r="E59" i="2"/>
  <c r="E82" i="2"/>
  <c r="F83" i="2"/>
  <c r="D85" i="2"/>
  <c r="D61" i="2"/>
  <c r="E85" i="2"/>
  <c r="F37" i="2"/>
  <c r="K26" i="1"/>
  <c r="J26" i="1"/>
  <c r="L106" i="1"/>
  <c r="K106" i="1"/>
  <c r="L82" i="1"/>
  <c r="K82" i="1"/>
  <c r="L58" i="1"/>
  <c r="K58" i="1"/>
  <c r="E82" i="1" l="1"/>
  <c r="E84" i="1"/>
  <c r="C84" i="1"/>
  <c r="G80" i="1"/>
  <c r="G82" i="1" s="1"/>
  <c r="F80" i="1"/>
  <c r="F82" i="1" s="1"/>
  <c r="E80" i="1"/>
  <c r="E83" i="1" s="1"/>
  <c r="D80" i="1"/>
  <c r="D83" i="1" s="1"/>
  <c r="C80" i="1"/>
  <c r="C85" i="1" s="1"/>
  <c r="G56" i="1"/>
  <c r="G59" i="1" s="1"/>
  <c r="F56" i="1"/>
  <c r="F60" i="1" s="1"/>
  <c r="E56" i="1"/>
  <c r="E58" i="1" s="1"/>
  <c r="D56" i="1"/>
  <c r="D58" i="1" s="1"/>
  <c r="C56" i="1"/>
  <c r="C59" i="1" s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G32" i="1"/>
  <c r="F32" i="1"/>
  <c r="E32" i="1"/>
  <c r="D32" i="1"/>
  <c r="C32" i="1"/>
  <c r="C37" i="1" s="1"/>
  <c r="C83" i="1" l="1"/>
  <c r="D84" i="1"/>
  <c r="D82" i="1"/>
  <c r="G83" i="1"/>
  <c r="F85" i="1"/>
  <c r="F83" i="1"/>
  <c r="G85" i="1"/>
  <c r="E85" i="1"/>
  <c r="D85" i="1"/>
  <c r="C82" i="1"/>
  <c r="G84" i="1"/>
  <c r="F84" i="1"/>
  <c r="C58" i="1"/>
  <c r="G58" i="1"/>
  <c r="F61" i="1"/>
  <c r="E59" i="1"/>
  <c r="D59" i="1"/>
  <c r="C61" i="1"/>
  <c r="F58" i="1"/>
  <c r="F59" i="1"/>
  <c r="E61" i="1"/>
  <c r="D61" i="1"/>
  <c r="G60" i="1"/>
  <c r="C60" i="1"/>
  <c r="E60" i="1"/>
  <c r="D60" i="1"/>
  <c r="G61" i="1"/>
  <c r="C36" i="1"/>
  <c r="C35" i="1"/>
  <c r="C34" i="1"/>
  <c r="G76" i="1" l="1"/>
  <c r="F76" i="1"/>
  <c r="E76" i="1"/>
  <c r="D76" i="1"/>
  <c r="G75" i="1"/>
  <c r="F75" i="1"/>
  <c r="E75" i="1"/>
  <c r="E78" i="1" s="1"/>
  <c r="D75" i="1"/>
  <c r="D78" i="1" s="1"/>
  <c r="G52" i="1"/>
  <c r="G54" i="1" s="1"/>
  <c r="F52" i="1"/>
  <c r="E52" i="1"/>
  <c r="D52" i="1"/>
  <c r="G51" i="1"/>
  <c r="F51" i="1"/>
  <c r="E51" i="1"/>
  <c r="D51" i="1"/>
  <c r="D54" i="1" s="1"/>
  <c r="G28" i="1"/>
  <c r="G30" i="1" s="1"/>
  <c r="F28" i="1"/>
  <c r="E28" i="1"/>
  <c r="D28" i="1"/>
  <c r="G27" i="1"/>
  <c r="F27" i="1"/>
  <c r="F30" i="1" s="1"/>
  <c r="E27" i="1"/>
  <c r="D27" i="1"/>
  <c r="D30" i="1" s="1"/>
  <c r="E54" i="1" l="1"/>
  <c r="F54" i="1"/>
  <c r="E30" i="1"/>
  <c r="F78" i="1"/>
  <c r="G78" i="1"/>
  <c r="G18" i="1"/>
  <c r="F18" i="1"/>
  <c r="E18" i="1"/>
  <c r="D18" i="1"/>
  <c r="G17" i="1"/>
  <c r="F17" i="1"/>
  <c r="E17" i="1"/>
  <c r="D17" i="1"/>
  <c r="D15" i="1"/>
</calcChain>
</file>

<file path=xl/sharedStrings.xml><?xml version="1.0" encoding="utf-8"?>
<sst xmlns="http://schemas.openxmlformats.org/spreadsheetml/2006/main" count="254" uniqueCount="21">
  <si>
    <t>sector</t>
  </si>
  <si>
    <t>okved2</t>
  </si>
  <si>
    <t>year</t>
  </si>
  <si>
    <t>VDS_s</t>
  </si>
  <si>
    <t>ITcosts_s</t>
  </si>
  <si>
    <t>skvozcosts_s</t>
  </si>
  <si>
    <t>trainingcosts_s</t>
  </si>
  <si>
    <t>Торговля оптовая и розничная автотранспортными средствами и мотоциклами и их ремонт</t>
  </si>
  <si>
    <t>45</t>
  </si>
  <si>
    <t>Торговля оптовая,  кроме оптовой торговли автотранспортными средствами и мотоциклами</t>
  </si>
  <si>
    <t>46</t>
  </si>
  <si>
    <t>Торговля розничная, кроме торговли автотранспортными средствами и мотоциклами</t>
  </si>
  <si>
    <t>47</t>
  </si>
  <si>
    <t>медиана ВДС:</t>
  </si>
  <si>
    <t>верхний кластер:</t>
  </si>
  <si>
    <t>нижний кластер:</t>
  </si>
  <si>
    <t>разница</t>
  </si>
  <si>
    <t>Year</t>
  </si>
  <si>
    <t>best</t>
  </si>
  <si>
    <t>worst</t>
  </si>
  <si>
    <t>сред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</si>
</sst>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Sheet1!$C$40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Sheet1!$D$40:$G$40</c:f>
              <c:numCache>
                <c:formatCode>General</c:formatCode>
                <c:ptCount val="4"/>
                <c:pt idx="0">
                  <c:v>0.5</c:v>
                </c:pt>
                <c:pt idx="1">
                  <c:v>0.42536572944710072</c:v>
                </c:pt>
                <c:pt idx="2">
                  <c:v>0.12558758459002764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1-4755-BA51-C1DB21D4CD23}"/>
            </c:ext>
          </c:extLst>
        </c:ser>
        <c:ser>
          <c:idx val="3"/>
          <c:order val="1"/>
          <c:tx>
            <c:strRef>
              <c:f>Sheet1!$C$43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Sheet1!$D$43:$G$43</c:f>
              <c:numCache>
                <c:formatCode>General</c:formatCode>
                <c:ptCount val="4"/>
                <c:pt idx="0">
                  <c:v>0.75</c:v>
                </c:pt>
                <c:pt idx="1">
                  <c:v>0.50939923098586959</c:v>
                </c:pt>
                <c:pt idx="2">
                  <c:v>1</c:v>
                </c:pt>
                <c:pt idx="3">
                  <c:v>0.82696058644524917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71-4755-BA51-C1DB21D4C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Sheet1!$C$64</c:f>
              <c:strCache>
                <c:ptCount val="1"/>
                <c:pt idx="0">
                  <c:v>0,77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Sheet1!$D$64:$G$64</c:f>
              <c:numCache>
                <c:formatCode>General</c:formatCode>
                <c:ptCount val="4"/>
                <c:pt idx="0">
                  <c:v>1</c:v>
                </c:pt>
                <c:pt idx="1">
                  <c:v>0.54308286187976496</c:v>
                </c:pt>
                <c:pt idx="2">
                  <c:v>0.85187803685561247</c:v>
                </c:pt>
                <c:pt idx="3">
                  <c:v>0.4598477890669449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7-4C2A-B4AA-DFB826FDC685}"/>
            </c:ext>
          </c:extLst>
        </c:ser>
        <c:ser>
          <c:idx val="3"/>
          <c:order val="1"/>
          <c:tx>
            <c:strRef>
              <c:f>Sheet1!$C$67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Sheet1!$D$67:$G$67</c:f>
              <c:numCache>
                <c:formatCode>General</c:formatCode>
                <c:ptCount val="4"/>
                <c:pt idx="0">
                  <c:v>0.5</c:v>
                </c:pt>
                <c:pt idx="1">
                  <c:v>0.86683026972860167</c:v>
                </c:pt>
                <c:pt idx="2">
                  <c:v>0.72212245059815838</c:v>
                </c:pt>
                <c:pt idx="3">
                  <c:v>0.31702150197089779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57-4C2A-B4AA-DFB826FDC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Sheet1!$C$88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Sheet1!$D$88:$G$88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0.10170195406656198</c:v>
                </c:pt>
                <c:pt idx="3">
                  <c:v>0.36473888253774922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A-4588-9C3E-F6A565202494}"/>
            </c:ext>
          </c:extLst>
        </c:ser>
        <c:ser>
          <c:idx val="3"/>
          <c:order val="1"/>
          <c:tx>
            <c:strRef>
              <c:f>Sheet1!$C$91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Sheet1!$D$91:$G$91</c:f>
              <c:numCache>
                <c:formatCode>General</c:formatCode>
                <c:ptCount val="4"/>
                <c:pt idx="0">
                  <c:v>1</c:v>
                </c:pt>
                <c:pt idx="1">
                  <c:v>0.68281070033420188</c:v>
                </c:pt>
                <c:pt idx="2">
                  <c:v>0.67618318135157551</c:v>
                </c:pt>
                <c:pt idx="3">
                  <c:v>0.59090610893852613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EA-4588-9C3E-F6A565202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45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'Sheet1 (2)'!$C$40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'Sheet1 (2)'!$E$39:$G$39</c:f>
              <c:strCache>
                <c:ptCount val="3"/>
                <c:pt idx="0">
                  <c:v>ITcosts_s</c:v>
                </c:pt>
                <c:pt idx="1">
                  <c:v>skvozcosts_s</c:v>
                </c:pt>
                <c:pt idx="2">
                  <c:v>trainingcosts_s</c:v>
                </c:pt>
              </c:strCache>
            </c:strRef>
          </c:cat>
          <c:val>
            <c:numRef>
              <c:f>'Sheet1 (2)'!$E$40:$G$40</c:f>
              <c:numCache>
                <c:formatCode>General</c:formatCode>
                <c:ptCount val="3"/>
                <c:pt idx="0">
                  <c:v>0.42536572944710072</c:v>
                </c:pt>
                <c:pt idx="1">
                  <c:v>0.12558758459002764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F-4029-98BE-98FB948B274B}"/>
            </c:ext>
          </c:extLst>
        </c:ser>
        <c:ser>
          <c:idx val="3"/>
          <c:order val="1"/>
          <c:tx>
            <c:strRef>
              <c:f>'Sheet1 (2)'!$C$43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'Sheet1 (2)'!$E$39:$G$39</c:f>
              <c:strCache>
                <c:ptCount val="3"/>
                <c:pt idx="0">
                  <c:v>ITcosts_s</c:v>
                </c:pt>
                <c:pt idx="1">
                  <c:v>skvozcosts_s</c:v>
                </c:pt>
                <c:pt idx="2">
                  <c:v>trainingcosts_s</c:v>
                </c:pt>
              </c:strCache>
            </c:strRef>
          </c:cat>
          <c:val>
            <c:numRef>
              <c:f>'Sheet1 (2)'!$E$43:$G$43</c:f>
              <c:numCache>
                <c:formatCode>General</c:formatCode>
                <c:ptCount val="3"/>
                <c:pt idx="0">
                  <c:v>0.50939923098586959</c:v>
                </c:pt>
                <c:pt idx="1">
                  <c:v>1</c:v>
                </c:pt>
                <c:pt idx="2">
                  <c:v>0.82696058644524917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8F-4029-98BE-98FB948B2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497360"/>
        <c:axId val="285495696"/>
      </c:radarChart>
      <c:catAx>
        <c:axId val="28549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495696"/>
        <c:crosses val="autoZero"/>
        <c:auto val="1"/>
        <c:lblAlgn val="ctr"/>
        <c:lblOffset val="100"/>
        <c:noMultiLvlLbl val="0"/>
      </c:catAx>
      <c:valAx>
        <c:axId val="2854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4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46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'Sheet1 (2)'!$C$64</c:f>
              <c:strCache>
                <c:ptCount val="1"/>
                <c:pt idx="0">
                  <c:v>0,77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'Sheet1 (2)'!$E$39:$G$39</c:f>
              <c:strCache>
                <c:ptCount val="3"/>
                <c:pt idx="0">
                  <c:v>ITcosts_s</c:v>
                </c:pt>
                <c:pt idx="1">
                  <c:v>skvozcosts_s</c:v>
                </c:pt>
                <c:pt idx="2">
                  <c:v>trainingcosts_s</c:v>
                </c:pt>
              </c:strCache>
            </c:strRef>
          </c:cat>
          <c:val>
            <c:numRef>
              <c:f>'Sheet1 (2)'!$E$64:$G$64</c:f>
              <c:numCache>
                <c:formatCode>General</c:formatCode>
                <c:ptCount val="3"/>
                <c:pt idx="0">
                  <c:v>0.54308286187976496</c:v>
                </c:pt>
                <c:pt idx="1">
                  <c:v>0.85187803685561247</c:v>
                </c:pt>
                <c:pt idx="2">
                  <c:v>0.4598477890669449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8-446A-A3CB-A5AE88A83FBC}"/>
            </c:ext>
          </c:extLst>
        </c:ser>
        <c:ser>
          <c:idx val="3"/>
          <c:order val="1"/>
          <c:tx>
            <c:strRef>
              <c:f>'Sheet1 (2)'!$C$67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'Sheet1 (2)'!$E$39:$G$39</c:f>
              <c:strCache>
                <c:ptCount val="3"/>
                <c:pt idx="0">
                  <c:v>ITcosts_s</c:v>
                </c:pt>
                <c:pt idx="1">
                  <c:v>skvozcosts_s</c:v>
                </c:pt>
                <c:pt idx="2">
                  <c:v>trainingcosts_s</c:v>
                </c:pt>
              </c:strCache>
            </c:strRef>
          </c:cat>
          <c:val>
            <c:numRef>
              <c:f>'Sheet1 (2)'!$E$67:$G$67</c:f>
              <c:numCache>
                <c:formatCode>General</c:formatCode>
                <c:ptCount val="3"/>
                <c:pt idx="0">
                  <c:v>0.86683026972860167</c:v>
                </c:pt>
                <c:pt idx="1">
                  <c:v>0.72212245059815838</c:v>
                </c:pt>
                <c:pt idx="2">
                  <c:v>0.31702150197089779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88-446A-A3CB-A5AE88A83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497360"/>
        <c:axId val="285495696"/>
      </c:radarChart>
      <c:catAx>
        <c:axId val="28549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495696"/>
        <c:crosses val="autoZero"/>
        <c:auto val="1"/>
        <c:lblAlgn val="ctr"/>
        <c:lblOffset val="100"/>
        <c:noMultiLvlLbl val="0"/>
      </c:catAx>
      <c:valAx>
        <c:axId val="2854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4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47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'Sheet1 (2)'!$C$88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'Sheet1 (2)'!$E$39:$G$39</c:f>
              <c:strCache>
                <c:ptCount val="3"/>
                <c:pt idx="0">
                  <c:v>ITcosts_s</c:v>
                </c:pt>
                <c:pt idx="1">
                  <c:v>skvozcosts_s</c:v>
                </c:pt>
                <c:pt idx="2">
                  <c:v>trainingcosts_s</c:v>
                </c:pt>
              </c:strCache>
            </c:strRef>
          </c:cat>
          <c:val>
            <c:numRef>
              <c:f>'Sheet1 (2)'!$E$88:$G$88</c:f>
              <c:numCache>
                <c:formatCode>General</c:formatCode>
                <c:ptCount val="3"/>
                <c:pt idx="0">
                  <c:v>1</c:v>
                </c:pt>
                <c:pt idx="1">
                  <c:v>0.10170195406656198</c:v>
                </c:pt>
                <c:pt idx="2">
                  <c:v>0.36473888253774922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3-4DAD-A337-39FDFDAAD406}"/>
            </c:ext>
          </c:extLst>
        </c:ser>
        <c:ser>
          <c:idx val="3"/>
          <c:order val="1"/>
          <c:tx>
            <c:strRef>
              <c:f>'Sheet1 (2)'!$C$91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'Sheet1 (2)'!$E$39:$G$39</c:f>
              <c:strCache>
                <c:ptCount val="3"/>
                <c:pt idx="0">
                  <c:v>ITcosts_s</c:v>
                </c:pt>
                <c:pt idx="1">
                  <c:v>skvozcosts_s</c:v>
                </c:pt>
                <c:pt idx="2">
                  <c:v>trainingcosts_s</c:v>
                </c:pt>
              </c:strCache>
            </c:strRef>
          </c:cat>
          <c:val>
            <c:numRef>
              <c:f>'Sheet1 (2)'!$E$91:$G$91</c:f>
              <c:numCache>
                <c:formatCode>General</c:formatCode>
                <c:ptCount val="3"/>
                <c:pt idx="0">
                  <c:v>0.68281070033420188</c:v>
                </c:pt>
                <c:pt idx="1">
                  <c:v>0.67618318135157551</c:v>
                </c:pt>
                <c:pt idx="2">
                  <c:v>0.59090610893852613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3-4DAD-A337-39FDFDAAD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497360"/>
        <c:axId val="285495696"/>
      </c:radarChart>
      <c:catAx>
        <c:axId val="28549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495696"/>
        <c:crosses val="autoZero"/>
        <c:auto val="1"/>
        <c:lblAlgn val="ctr"/>
        <c:lblOffset val="100"/>
        <c:noMultiLvlLbl val="0"/>
      </c:catAx>
      <c:valAx>
        <c:axId val="2854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4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329044</xdr:colOff>
      <xdr:row>13</xdr:row>
      <xdr:rowOff>38348</xdr:rowOff>
    </xdr:from>
    <xdr:to>
      <xdr:col>21</xdr:col>
      <xdr:colOff>302296</xdr:colOff>
      <xdr:row>35</xdr:row>
      <xdr:rowOff>174127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434191</xdr:colOff>
      <xdr:row>13</xdr:row>
      <xdr:rowOff>0</xdr:rowOff>
    </xdr:from>
    <xdr:to>
      <xdr:col>30</xdr:col>
      <xdr:colOff>401258</xdr:colOff>
      <xdr:row>35</xdr:row>
      <xdr:rowOff>135779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564077</xdr:colOff>
      <xdr:row>36</xdr:row>
      <xdr:rowOff>153390</xdr:rowOff>
    </xdr:from>
    <xdr:to>
      <xdr:col>21</xdr:col>
      <xdr:colOff>537329</xdr:colOff>
      <xdr:row>59</xdr:row>
      <xdr:rowOff>98669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207818</xdr:colOff>
      <xdr:row>11</xdr:row>
      <xdr:rowOff>121227</xdr:rowOff>
    </xdr:from>
    <xdr:to>
      <xdr:col>21</xdr:col>
      <xdr:colOff>152153</xdr:colOff>
      <xdr:row>35</xdr:row>
      <xdr:rowOff>167987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380999</xdr:colOff>
      <xdr:row>11</xdr:row>
      <xdr:rowOff>155864</xdr:rowOff>
    </xdr:from>
    <xdr:to>
      <xdr:col>30</xdr:col>
      <xdr:colOff>325334</xdr:colOff>
      <xdr:row>36</xdr:row>
      <xdr:rowOff>12124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242453</xdr:colOff>
      <xdr:row>37</xdr:row>
      <xdr:rowOff>0</xdr:rowOff>
    </xdr:from>
    <xdr:to>
      <xdr:col>21</xdr:col>
      <xdr:colOff>186788</xdr:colOff>
      <xdr:row>61</xdr:row>
      <xdr:rowOff>46760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earch%20sector%20(VDS_s)%2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1 (2)"/>
    </sheetNames>
    <sheetDataSet>
      <sheetData sheetId="0"/>
      <sheetData sheetId="1">
        <row r="42">
          <cell r="E42" t="str">
            <v>ITcosts_s</v>
          </cell>
          <cell r="F42" t="str">
            <v>skvozcosts_s</v>
          </cell>
          <cell r="G42" t="str">
            <v>trainingcosts_s</v>
          </cell>
        </row>
        <row r="43">
          <cell r="C43">
            <v>0.53195397442833625</v>
          </cell>
          <cell r="E43">
            <v>1</v>
          </cell>
          <cell r="F43">
            <v>0.4341128768543896</v>
          </cell>
          <cell r="G43">
            <v>0.96268324181002174</v>
          </cell>
        </row>
        <row r="44">
          <cell r="C44">
            <v>0.74071957251902487</v>
          </cell>
          <cell r="E44">
            <v>0.81436789578742097</v>
          </cell>
          <cell r="F44">
            <v>1</v>
          </cell>
          <cell r="G44">
            <v>1</v>
          </cell>
        </row>
        <row r="45">
          <cell r="C45">
            <v>0.88899585107146872</v>
          </cell>
          <cell r="E45">
            <v>0.3732928962109599</v>
          </cell>
          <cell r="F45">
            <v>0.78623653793827153</v>
          </cell>
          <cell r="G45">
            <v>0.50683853134311552</v>
          </cell>
        </row>
        <row r="46">
          <cell r="C46">
            <v>1</v>
          </cell>
          <cell r="E46">
            <v>0.37449706271284755</v>
          </cell>
          <cell r="F46">
            <v>0.59247665944601891</v>
          </cell>
          <cell r="G46">
            <v>0.50683853134311552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topLeftCell="A7" zoomScale="55" zoomScaleNormal="55" workbookViewId="0">
      <selection activeCell="P7" sqref="P7"/>
    </sheetView>
  </sheetViews>
  <sheetFormatPr defaultRowHeight="15" x14ac:dyDescent="0.25"/>
  <cols>
    <col min="1" max="1" width="93" customWidth="1"/>
    <col min="4" max="4" width="14.85546875" customWidth="1"/>
    <col min="5" max="5" width="13" customWidth="1"/>
    <col min="6" max="6" width="13.5703125" customWidth="1"/>
    <col min="7" max="7" width="1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</v>
      </c>
      <c r="B2" s="2" t="s">
        <v>10</v>
      </c>
      <c r="C2" s="2">
        <v>2022</v>
      </c>
      <c r="D2" s="4">
        <v>9937990.5894197039</v>
      </c>
      <c r="E2" s="4">
        <v>137654.50809200999</v>
      </c>
      <c r="F2" s="3">
        <v>2.451646095414645E-3</v>
      </c>
      <c r="G2" s="3">
        <v>7.6188786690442915E-4</v>
      </c>
    </row>
    <row r="3" spans="1:7" x14ac:dyDescent="0.25">
      <c r="A3" s="2" t="s">
        <v>9</v>
      </c>
      <c r="B3" s="2" t="s">
        <v>10</v>
      </c>
      <c r="C3" s="2">
        <v>2021</v>
      </c>
      <c r="D3" s="4">
        <v>9153211.3096406423</v>
      </c>
      <c r="E3" s="4">
        <v>158802.14720132999</v>
      </c>
      <c r="F3" s="3">
        <v>2.8137256066412789E-3</v>
      </c>
      <c r="G3" s="3">
        <v>2.4032687441319662E-3</v>
      </c>
    </row>
    <row r="4" spans="1:7" x14ac:dyDescent="0.25">
      <c r="A4" s="2" t="s">
        <v>9</v>
      </c>
      <c r="B4" s="2" t="s">
        <v>10</v>
      </c>
      <c r="C4" s="2">
        <v>2023</v>
      </c>
      <c r="D4" s="4">
        <v>8323850.3002414759</v>
      </c>
      <c r="E4" s="4">
        <v>69747.682037220002</v>
      </c>
      <c r="F4" s="3">
        <v>3.3950559124479012E-3</v>
      </c>
      <c r="G4" s="3">
        <v>9.6936097165093425E-4</v>
      </c>
    </row>
    <row r="5" spans="1:7" x14ac:dyDescent="0.25">
      <c r="A5" s="2" t="s">
        <v>9</v>
      </c>
      <c r="B5" s="2" t="s">
        <v>10</v>
      </c>
      <c r="C5" s="2">
        <v>2024</v>
      </c>
      <c r="D5" s="4">
        <v>7695797.0900557945</v>
      </c>
      <c r="E5" s="4">
        <v>86242.724574749998</v>
      </c>
      <c r="F5" s="3">
        <v>2.8921735657111581E-3</v>
      </c>
      <c r="G5" s="3">
        <v>1.1051378185227779E-3</v>
      </c>
    </row>
    <row r="6" spans="1:7" x14ac:dyDescent="0.25">
      <c r="A6" s="2" t="s">
        <v>11</v>
      </c>
      <c r="B6" s="2" t="s">
        <v>12</v>
      </c>
      <c r="C6" s="2">
        <v>2024</v>
      </c>
      <c r="D6" s="4">
        <v>5034263.5495518269</v>
      </c>
      <c r="E6" s="4">
        <v>65873.429441999993</v>
      </c>
      <c r="F6" s="3">
        <v>2.9423350149191101E-3</v>
      </c>
      <c r="G6" s="3">
        <v>3.4897071466789652E-4</v>
      </c>
    </row>
    <row r="7" spans="1:7" x14ac:dyDescent="0.25">
      <c r="A7" s="2" t="s">
        <v>11</v>
      </c>
      <c r="B7" s="2" t="s">
        <v>12</v>
      </c>
      <c r="C7" s="2">
        <v>2023</v>
      </c>
      <c r="D7" s="4">
        <v>4961117.4365704898</v>
      </c>
      <c r="E7" s="4">
        <v>63209.692581750001</v>
      </c>
      <c r="F7" s="3">
        <v>4.351387458407175E-3</v>
      </c>
      <c r="G7" s="3">
        <v>5.6592795928781631E-4</v>
      </c>
    </row>
    <row r="8" spans="1:7" x14ac:dyDescent="0.25">
      <c r="A8" s="2" t="s">
        <v>11</v>
      </c>
      <c r="B8" s="2" t="s">
        <v>12</v>
      </c>
      <c r="C8" s="2">
        <v>2022</v>
      </c>
      <c r="D8" s="4">
        <v>4783385.1798815951</v>
      </c>
      <c r="E8" s="4">
        <v>64669.840333150009</v>
      </c>
      <c r="F8" s="3">
        <v>2.0954023999737231E-3</v>
      </c>
      <c r="G8" s="3">
        <v>5.9056880507593645E-4</v>
      </c>
    </row>
    <row r="9" spans="1:7" x14ac:dyDescent="0.25">
      <c r="A9" s="2" t="s">
        <v>11</v>
      </c>
      <c r="B9" s="2" t="s">
        <v>12</v>
      </c>
      <c r="C9" s="2">
        <v>2021</v>
      </c>
      <c r="D9" s="4">
        <v>4448196.0441567702</v>
      </c>
      <c r="E9" s="4">
        <v>96473.926682400008</v>
      </c>
      <c r="F9" s="3">
        <v>4.425446074207404E-4</v>
      </c>
      <c r="G9" s="3">
        <v>2.154034060250509E-4</v>
      </c>
    </row>
    <row r="10" spans="1:7" x14ac:dyDescent="0.25">
      <c r="A10" s="2" t="s">
        <v>7</v>
      </c>
      <c r="B10" s="2" t="s">
        <v>8</v>
      </c>
      <c r="C10" s="2">
        <v>2023</v>
      </c>
      <c r="D10" s="4">
        <v>1252686.154182706</v>
      </c>
      <c r="E10" s="4">
        <v>9796.3168782600005</v>
      </c>
      <c r="F10" s="3">
        <v>0.13430184443805829</v>
      </c>
      <c r="G10" s="3">
        <v>5.218380319387952E-4</v>
      </c>
    </row>
    <row r="11" spans="1:7" x14ac:dyDescent="0.25">
      <c r="A11" s="2" t="s">
        <v>7</v>
      </c>
      <c r="B11" s="2" t="s">
        <v>8</v>
      </c>
      <c r="C11" s="2">
        <v>2021</v>
      </c>
      <c r="D11" s="4">
        <v>1194490.274669243</v>
      </c>
      <c r="E11" s="4">
        <v>19231.118310289999</v>
      </c>
      <c r="F11" s="3">
        <v>5.2147019888250969E-3</v>
      </c>
      <c r="G11" s="3">
        <v>4.9058279907476332E-4</v>
      </c>
    </row>
    <row r="12" spans="1:7" x14ac:dyDescent="0.25">
      <c r="A12" s="2" t="s">
        <v>7</v>
      </c>
      <c r="B12" s="2" t="s">
        <v>8</v>
      </c>
      <c r="C12" s="2">
        <v>2024</v>
      </c>
      <c r="D12" s="4">
        <v>1165717.934645507</v>
      </c>
      <c r="E12" s="4">
        <v>8785.8682089999984</v>
      </c>
      <c r="F12" s="3">
        <v>1.025148686019859E-2</v>
      </c>
      <c r="G12" s="3">
        <v>1.7444704536200269E-4</v>
      </c>
    </row>
    <row r="13" spans="1:7" x14ac:dyDescent="0.25">
      <c r="A13" s="2" t="s">
        <v>7</v>
      </c>
      <c r="B13" s="2" t="s">
        <v>8</v>
      </c>
      <c r="C13" s="2">
        <v>2022</v>
      </c>
      <c r="D13" s="4">
        <v>1063712.5319653209</v>
      </c>
      <c r="E13" s="4">
        <v>8180.2586681400007</v>
      </c>
      <c r="F13" s="3">
        <v>1.6866644248961379E-2</v>
      </c>
      <c r="G13" s="3">
        <v>6.3103132179727491E-4</v>
      </c>
    </row>
    <row r="15" spans="1:7" x14ac:dyDescent="0.25">
      <c r="B15" s="5" t="s">
        <v>13</v>
      </c>
      <c r="D15" s="4">
        <f>MEDIAN(D2:D13)</f>
        <v>4872251.3082260424</v>
      </c>
    </row>
    <row r="17" spans="1:11" x14ac:dyDescent="0.25">
      <c r="B17" t="s">
        <v>14</v>
      </c>
      <c r="D17" s="4">
        <f>AVERAGE(D2:D7)</f>
        <v>7517705.0459133228</v>
      </c>
      <c r="E17" s="4">
        <f t="shared" ref="E17:G17" si="0">AVERAGE(E2:E7)</f>
        <v>96921.697321510001</v>
      </c>
      <c r="F17" s="3">
        <f t="shared" si="0"/>
        <v>3.141053942256878E-3</v>
      </c>
      <c r="G17" s="3">
        <f t="shared" si="0"/>
        <v>1.0257590125276369E-3</v>
      </c>
    </row>
    <row r="18" spans="1:11" x14ac:dyDescent="0.25">
      <c r="B18" t="s">
        <v>15</v>
      </c>
      <c r="D18" s="4">
        <f>AVERAGE(D8:D13)</f>
        <v>2318031.3532501906</v>
      </c>
      <c r="E18" s="4">
        <f t="shared" ref="E18:G18" si="1">AVERAGE(E8:E13)</f>
        <v>34522.888180206675</v>
      </c>
      <c r="F18" s="3">
        <f t="shared" si="1"/>
        <v>2.8195437423906299E-2</v>
      </c>
      <c r="G18" s="3">
        <f t="shared" si="1"/>
        <v>4.3731190154563726E-4</v>
      </c>
    </row>
    <row r="21" spans="1:11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I21" s="2"/>
      <c r="J21" s="7" t="s">
        <v>18</v>
      </c>
      <c r="K21" s="7" t="s">
        <v>19</v>
      </c>
    </row>
    <row r="22" spans="1:11" x14ac:dyDescent="0.25">
      <c r="A22" s="2" t="s">
        <v>7</v>
      </c>
      <c r="B22" s="2" t="s">
        <v>8</v>
      </c>
      <c r="C22" s="2">
        <v>3</v>
      </c>
      <c r="D22" s="4">
        <v>1252686.154182706</v>
      </c>
      <c r="E22" s="4">
        <v>9796.3168782600005</v>
      </c>
      <c r="F22" s="3">
        <v>0.13430184443805829</v>
      </c>
      <c r="G22" s="3">
        <v>5.218380319387952E-4</v>
      </c>
      <c r="I22" s="7">
        <v>45</v>
      </c>
      <c r="J22" s="4">
        <v>1.1693148402522289</v>
      </c>
      <c r="K22" s="4">
        <v>0.44584555192110731</v>
      </c>
    </row>
    <row r="23" spans="1:11" x14ac:dyDescent="0.25">
      <c r="A23" s="2" t="s">
        <v>7</v>
      </c>
      <c r="B23" s="2" t="s">
        <v>8</v>
      </c>
      <c r="C23" s="2">
        <v>1</v>
      </c>
      <c r="D23" s="4">
        <v>1194490.274669243</v>
      </c>
      <c r="E23" s="4">
        <v>19231.118310289999</v>
      </c>
      <c r="F23" s="3">
        <v>5.2147019888250969E-3</v>
      </c>
      <c r="G23" s="3">
        <v>4.9058279907476332E-4</v>
      </c>
      <c r="I23" s="7">
        <v>46</v>
      </c>
      <c r="J23" s="4">
        <v>0.72340591418718192</v>
      </c>
      <c r="K23" s="4">
        <v>0.92865262248875724</v>
      </c>
    </row>
    <row r="24" spans="1:11" x14ac:dyDescent="0.25">
      <c r="A24" s="2" t="s">
        <v>7</v>
      </c>
      <c r="B24" s="2" t="s">
        <v>8</v>
      </c>
      <c r="C24" s="2">
        <v>4</v>
      </c>
      <c r="D24" s="4">
        <v>1165717.934645507</v>
      </c>
      <c r="E24" s="4">
        <v>8785.8682089999984</v>
      </c>
      <c r="F24" s="3">
        <v>1.025148686019859E-2</v>
      </c>
      <c r="G24" s="3">
        <v>1.7444704536200269E-4</v>
      </c>
      <c r="I24" s="7">
        <v>47</v>
      </c>
      <c r="J24" s="4">
        <v>1.0674913467538696</v>
      </c>
      <c r="K24" s="4">
        <v>0.2399906658895713</v>
      </c>
    </row>
    <row r="25" spans="1:11" x14ac:dyDescent="0.25">
      <c r="A25" s="2" t="s">
        <v>7</v>
      </c>
      <c r="B25" s="2" t="s">
        <v>8</v>
      </c>
      <c r="C25" s="2">
        <v>2</v>
      </c>
      <c r="D25" s="4">
        <v>1063712.5319653209</v>
      </c>
      <c r="E25" s="4">
        <v>8180.2586681400007</v>
      </c>
      <c r="F25" s="3">
        <v>1.6866644248961379E-2</v>
      </c>
      <c r="G25" s="3">
        <v>6.3103132179727491E-4</v>
      </c>
      <c r="I25" s="6"/>
    </row>
    <row r="26" spans="1:11" x14ac:dyDescent="0.25">
      <c r="I26" s="6" t="s">
        <v>20</v>
      </c>
      <c r="J26" s="8">
        <f>AVERAGE(J22:J24)</f>
        <v>0.98673736706442672</v>
      </c>
      <c r="K26" s="8">
        <f>AVERAGE(K22:K24)</f>
        <v>0.53816294676647869</v>
      </c>
    </row>
    <row r="27" spans="1:11" x14ac:dyDescent="0.25">
      <c r="B27" s="6" t="s">
        <v>14</v>
      </c>
      <c r="D27" s="4">
        <f>AVERAGE(D22:D23)</f>
        <v>1223588.2144259745</v>
      </c>
      <c r="E27" s="4">
        <f t="shared" ref="E27:G27" si="2">AVERAGE(E22:E23)</f>
        <v>14513.717594275</v>
      </c>
      <c r="F27" s="3">
        <f t="shared" si="2"/>
        <v>6.9758273213441691E-2</v>
      </c>
      <c r="G27" s="3">
        <f t="shared" si="2"/>
        <v>5.0621041550677926E-4</v>
      </c>
      <c r="I27" s="6"/>
    </row>
    <row r="28" spans="1:11" x14ac:dyDescent="0.25">
      <c r="B28" s="6" t="s">
        <v>15</v>
      </c>
      <c r="D28" s="4">
        <f>AVERAGE(D24:D25)</f>
        <v>1114715.233305414</v>
      </c>
      <c r="E28" s="4">
        <f t="shared" ref="E28:G28" si="3">AVERAGE(E24:E25)</f>
        <v>8483.0634385699996</v>
      </c>
      <c r="F28" s="3">
        <f t="shared" si="3"/>
        <v>1.3559065554579985E-2</v>
      </c>
      <c r="G28" s="3">
        <f t="shared" si="3"/>
        <v>4.0273918357963879E-4</v>
      </c>
      <c r="I28" s="6"/>
    </row>
    <row r="30" spans="1:11" x14ac:dyDescent="0.25">
      <c r="C30" s="6" t="s">
        <v>16</v>
      </c>
      <c r="D30" s="4">
        <f>D27/D28</f>
        <v>1.0976688735092679</v>
      </c>
      <c r="E30" s="4">
        <f t="shared" ref="E30:G30" si="4">E27/E28</f>
        <v>1.7109052289159346</v>
      </c>
      <c r="F30" s="4">
        <f t="shared" si="4"/>
        <v>5.1447699646144658</v>
      </c>
      <c r="G30" s="4">
        <f t="shared" si="4"/>
        <v>1.2569187110314528</v>
      </c>
    </row>
    <row r="32" spans="1:11" x14ac:dyDescent="0.25">
      <c r="C32" s="2">
        <f>MAX(C22:C25)</f>
        <v>4</v>
      </c>
      <c r="D32" s="2">
        <f t="shared" ref="D32:G32" si="5">MAX(D22:D25)</f>
        <v>1252686.154182706</v>
      </c>
      <c r="E32" s="2">
        <f t="shared" si="5"/>
        <v>19231.118310289999</v>
      </c>
      <c r="F32" s="2">
        <f t="shared" si="5"/>
        <v>0.13430184443805829</v>
      </c>
      <c r="G32" s="2">
        <f t="shared" si="5"/>
        <v>6.3103132179727491E-4</v>
      </c>
    </row>
    <row r="33" spans="1:7" x14ac:dyDescent="0.25">
      <c r="C33" s="7" t="s">
        <v>17</v>
      </c>
      <c r="D33" s="7" t="s">
        <v>3</v>
      </c>
      <c r="E33" s="1" t="s">
        <v>4</v>
      </c>
      <c r="F33" s="1" t="s">
        <v>5</v>
      </c>
      <c r="G33" s="1" t="s">
        <v>6</v>
      </c>
    </row>
    <row r="34" spans="1:7" x14ac:dyDescent="0.25">
      <c r="C34" s="2">
        <f>C22/C$32</f>
        <v>0.75</v>
      </c>
      <c r="D34" s="2">
        <f t="shared" ref="D34:G34" si="6">D22/D$32</f>
        <v>1</v>
      </c>
      <c r="E34" s="2">
        <f t="shared" si="6"/>
        <v>0.50939923098586959</v>
      </c>
      <c r="F34" s="2">
        <f t="shared" si="6"/>
        <v>1</v>
      </c>
      <c r="G34" s="2">
        <f t="shared" si="6"/>
        <v>0.82696058644524917</v>
      </c>
    </row>
    <row r="35" spans="1:7" x14ac:dyDescent="0.25">
      <c r="C35" s="2">
        <f t="shared" ref="C35:G37" si="7">C23/C$32</f>
        <v>0.25</v>
      </c>
      <c r="D35" s="2">
        <f t="shared" si="7"/>
        <v>0.95354312864467483</v>
      </c>
      <c r="E35" s="2">
        <f t="shared" si="7"/>
        <v>1</v>
      </c>
      <c r="F35" s="2">
        <f t="shared" si="7"/>
        <v>3.882822317626608E-2</v>
      </c>
      <c r="G35" s="2">
        <f t="shared" si="7"/>
        <v>0.7774301878986094</v>
      </c>
    </row>
    <row r="36" spans="1:7" x14ac:dyDescent="0.25">
      <c r="C36" s="2">
        <f t="shared" si="7"/>
        <v>1</v>
      </c>
      <c r="D36" s="2">
        <f t="shared" si="7"/>
        <v>0.93057461420259735</v>
      </c>
      <c r="E36" s="2">
        <f t="shared" si="7"/>
        <v>0.45685685394067499</v>
      </c>
      <c r="F36" s="2">
        <f t="shared" si="7"/>
        <v>7.6331690775302094E-2</v>
      </c>
      <c r="G36" s="2">
        <f t="shared" si="7"/>
        <v>0.27644752223257396</v>
      </c>
    </row>
    <row r="37" spans="1:7" x14ac:dyDescent="0.25">
      <c r="C37" s="2">
        <f t="shared" si="7"/>
        <v>0.5</v>
      </c>
      <c r="D37" s="2">
        <f t="shared" si="7"/>
        <v>0.84914527746123469</v>
      </c>
      <c r="E37" s="2">
        <f t="shared" si="7"/>
        <v>0.42536572944710072</v>
      </c>
      <c r="F37" s="2">
        <f t="shared" si="7"/>
        <v>0.12558758459002764</v>
      </c>
      <c r="G37" s="2">
        <f t="shared" si="7"/>
        <v>1</v>
      </c>
    </row>
    <row r="39" spans="1:7" x14ac:dyDescent="0.25">
      <c r="C39" s="7" t="s">
        <v>3</v>
      </c>
      <c r="D39" s="7" t="s">
        <v>17</v>
      </c>
      <c r="E39" s="7" t="s">
        <v>4</v>
      </c>
      <c r="F39" s="7" t="s">
        <v>5</v>
      </c>
      <c r="G39" s="7" t="s">
        <v>6</v>
      </c>
    </row>
    <row r="40" spans="1:7" x14ac:dyDescent="0.25">
      <c r="C40" s="4">
        <v>0.84914527746123469</v>
      </c>
      <c r="D40" s="2">
        <v>0.5</v>
      </c>
      <c r="E40" s="2">
        <v>0.42536572944710072</v>
      </c>
      <c r="F40" s="2">
        <v>0.12558758459002764</v>
      </c>
      <c r="G40" s="2">
        <v>1</v>
      </c>
    </row>
    <row r="41" spans="1:7" x14ac:dyDescent="0.25">
      <c r="C41" s="4">
        <v>0.93057461420259735</v>
      </c>
      <c r="D41" s="2">
        <v>1</v>
      </c>
      <c r="E41" s="2">
        <v>0.45685685394067499</v>
      </c>
      <c r="F41" s="2">
        <v>7.6331690775302094E-2</v>
      </c>
      <c r="G41" s="2">
        <v>0.27644752223257396</v>
      </c>
    </row>
    <row r="42" spans="1:7" x14ac:dyDescent="0.25">
      <c r="C42" s="4">
        <v>0.95354312864467483</v>
      </c>
      <c r="D42" s="2">
        <v>0.25</v>
      </c>
      <c r="E42" s="2">
        <v>1</v>
      </c>
      <c r="F42" s="2">
        <v>3.882822317626608E-2</v>
      </c>
      <c r="G42" s="2">
        <v>0.7774301878986094</v>
      </c>
    </row>
    <row r="43" spans="1:7" x14ac:dyDescent="0.25">
      <c r="C43" s="4">
        <v>1</v>
      </c>
      <c r="D43" s="2">
        <v>0.75</v>
      </c>
      <c r="E43" s="2">
        <v>0.50939923098586959</v>
      </c>
      <c r="F43" s="2">
        <v>1</v>
      </c>
      <c r="G43" s="2">
        <v>0.82696058644524917</v>
      </c>
    </row>
    <row r="45" spans="1:7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</row>
    <row r="46" spans="1:7" x14ac:dyDescent="0.25">
      <c r="A46" s="2" t="s">
        <v>9</v>
      </c>
      <c r="B46" s="2" t="s">
        <v>10</v>
      </c>
      <c r="C46" s="2">
        <v>2</v>
      </c>
      <c r="D46" s="4">
        <v>9937990.5894197039</v>
      </c>
      <c r="E46" s="4">
        <v>137654.50809200999</v>
      </c>
      <c r="F46" s="3">
        <v>2.451646095414645E-3</v>
      </c>
      <c r="G46" s="3">
        <v>7.6188786690442915E-4</v>
      </c>
    </row>
    <row r="47" spans="1:7" x14ac:dyDescent="0.25">
      <c r="A47" s="2" t="s">
        <v>9</v>
      </c>
      <c r="B47" s="2" t="s">
        <v>10</v>
      </c>
      <c r="C47" s="2">
        <v>1</v>
      </c>
      <c r="D47" s="4">
        <v>9153211.3096406423</v>
      </c>
      <c r="E47" s="4">
        <v>158802.14720132999</v>
      </c>
      <c r="F47" s="3">
        <v>2.8137256066412789E-3</v>
      </c>
      <c r="G47" s="3">
        <v>2.4032687441319662E-3</v>
      </c>
    </row>
    <row r="48" spans="1:7" x14ac:dyDescent="0.25">
      <c r="A48" s="2" t="s">
        <v>9</v>
      </c>
      <c r="B48" s="2" t="s">
        <v>10</v>
      </c>
      <c r="C48" s="2">
        <v>3</v>
      </c>
      <c r="D48" s="4">
        <v>8323850.3002414759</v>
      </c>
      <c r="E48" s="4">
        <v>69747.682037220002</v>
      </c>
      <c r="F48" s="3">
        <v>3.3950559124479012E-3</v>
      </c>
      <c r="G48" s="3">
        <v>9.6936097165093425E-4</v>
      </c>
    </row>
    <row r="49" spans="1:12" x14ac:dyDescent="0.25">
      <c r="A49" s="2" t="s">
        <v>9</v>
      </c>
      <c r="B49" s="2" t="s">
        <v>10</v>
      </c>
      <c r="C49" s="2">
        <v>4</v>
      </c>
      <c r="D49" s="4">
        <v>7695797.0900557945</v>
      </c>
      <c r="E49" s="4">
        <v>86242.724574749998</v>
      </c>
      <c r="F49" s="3">
        <v>2.8921735657111581E-3</v>
      </c>
      <c r="G49" s="3">
        <v>1.1051378185227779E-3</v>
      </c>
    </row>
    <row r="51" spans="1:12" x14ac:dyDescent="0.25">
      <c r="B51" s="6" t="s">
        <v>14</v>
      </c>
      <c r="D51" s="4">
        <f>AVERAGE(D46:D47)</f>
        <v>9545600.9495301731</v>
      </c>
      <c r="E51" s="4">
        <f t="shared" ref="E51:G51" si="8">AVERAGE(E46:E47)</f>
        <v>148228.32764666999</v>
      </c>
      <c r="F51" s="3">
        <f t="shared" si="8"/>
        <v>2.6326858510279617E-3</v>
      </c>
      <c r="G51" s="3">
        <f t="shared" si="8"/>
        <v>1.5825783055181976E-3</v>
      </c>
    </row>
    <row r="52" spans="1:12" x14ac:dyDescent="0.25">
      <c r="B52" s="6" t="s">
        <v>15</v>
      </c>
      <c r="D52" s="4">
        <f>AVERAGE(D48:D49)</f>
        <v>8009823.6951486357</v>
      </c>
      <c r="E52" s="4">
        <f t="shared" ref="E52:G52" si="9">AVERAGE(E48:E49)</f>
        <v>77995.203305984993</v>
      </c>
      <c r="F52" s="3">
        <f t="shared" si="9"/>
        <v>3.1436147390795297E-3</v>
      </c>
      <c r="G52" s="3">
        <f t="shared" si="9"/>
        <v>1.0372493950868561E-3</v>
      </c>
    </row>
    <row r="54" spans="1:12" x14ac:dyDescent="0.25">
      <c r="C54" s="6" t="s">
        <v>16</v>
      </c>
      <c r="D54" s="4">
        <f>D51/D52</f>
        <v>1.1917367114224651</v>
      </c>
      <c r="E54" s="4">
        <f t="shared" ref="E54:G54" si="10">E51/E52</f>
        <v>1.9004800470248358</v>
      </c>
      <c r="F54" s="4">
        <f t="shared" si="10"/>
        <v>0.8374708956221617</v>
      </c>
      <c r="G54" s="4">
        <f t="shared" si="10"/>
        <v>1.5257452190518532</v>
      </c>
    </row>
    <row r="56" spans="1:12" x14ac:dyDescent="0.25">
      <c r="C56" s="2">
        <f>MAX(C46:C49)</f>
        <v>4</v>
      </c>
      <c r="D56" s="2">
        <f t="shared" ref="D56:G56" si="11">MAX(D46:D49)</f>
        <v>9937990.5894197039</v>
      </c>
      <c r="E56" s="2">
        <f t="shared" si="11"/>
        <v>158802.14720132999</v>
      </c>
      <c r="F56" s="2">
        <f t="shared" si="11"/>
        <v>3.3950559124479012E-3</v>
      </c>
      <c r="G56" s="2">
        <f t="shared" si="11"/>
        <v>2.4032687441319662E-3</v>
      </c>
    </row>
    <row r="57" spans="1:12" x14ac:dyDescent="0.25">
      <c r="C57" s="7" t="s">
        <v>17</v>
      </c>
      <c r="D57" s="7" t="s">
        <v>3</v>
      </c>
      <c r="E57" s="1" t="s">
        <v>4</v>
      </c>
      <c r="F57" s="1" t="s">
        <v>5</v>
      </c>
      <c r="G57" s="1" t="s">
        <v>6</v>
      </c>
      <c r="J57" s="2"/>
      <c r="K57" s="7" t="s">
        <v>18</v>
      </c>
      <c r="L57" s="7" t="s">
        <v>19</v>
      </c>
    </row>
    <row r="58" spans="1:12" x14ac:dyDescent="0.25">
      <c r="C58" s="2">
        <f t="shared" ref="C58:G61" si="12">C46/C$56</f>
        <v>0.5</v>
      </c>
      <c r="D58" s="2">
        <f t="shared" si="12"/>
        <v>1</v>
      </c>
      <c r="E58" s="2">
        <f t="shared" si="12"/>
        <v>0.86683026972860167</v>
      </c>
      <c r="F58" s="2">
        <f t="shared" si="12"/>
        <v>0.72212245059815838</v>
      </c>
      <c r="G58" s="2">
        <f t="shared" si="12"/>
        <v>0.31702150197089779</v>
      </c>
      <c r="J58" s="7">
        <v>45</v>
      </c>
      <c r="K58" s="4">
        <f>0.5*(D43*E43+E43*F43+F43*G43+G43*D43)</f>
        <v>1.1693148402522289</v>
      </c>
      <c r="L58" s="4">
        <f>0.5*(D40*E40+E40*F40+F40*G40+G40*D40)</f>
        <v>0.44584555192110731</v>
      </c>
    </row>
    <row r="59" spans="1:12" x14ac:dyDescent="0.25">
      <c r="C59" s="2">
        <f t="shared" si="12"/>
        <v>0.25</v>
      </c>
      <c r="D59" s="2">
        <f t="shared" si="12"/>
        <v>0.9210323985801957</v>
      </c>
      <c r="E59" s="2">
        <f t="shared" si="12"/>
        <v>1</v>
      </c>
      <c r="F59" s="2">
        <f t="shared" si="12"/>
        <v>0.82877150751032203</v>
      </c>
      <c r="G59" s="2">
        <f t="shared" si="12"/>
        <v>1</v>
      </c>
    </row>
    <row r="60" spans="1:12" x14ac:dyDescent="0.25">
      <c r="C60" s="2">
        <f t="shared" si="12"/>
        <v>0.75</v>
      </c>
      <c r="D60" s="2">
        <f t="shared" si="12"/>
        <v>0.83757880683679731</v>
      </c>
      <c r="E60" s="2">
        <f t="shared" si="12"/>
        <v>0.43921120253363838</v>
      </c>
      <c r="F60" s="2">
        <f t="shared" si="12"/>
        <v>1</v>
      </c>
      <c r="G60" s="2">
        <f t="shared" si="12"/>
        <v>0.40335105011364702</v>
      </c>
    </row>
    <row r="61" spans="1:12" x14ac:dyDescent="0.25">
      <c r="C61" s="2">
        <f t="shared" si="12"/>
        <v>1</v>
      </c>
      <c r="D61" s="2">
        <f t="shared" si="12"/>
        <v>0.77438160368646158</v>
      </c>
      <c r="E61" s="2">
        <f t="shared" si="12"/>
        <v>0.54308286187976496</v>
      </c>
      <c r="F61" s="2">
        <f t="shared" si="12"/>
        <v>0.85187803685561247</v>
      </c>
      <c r="G61" s="2">
        <f t="shared" si="12"/>
        <v>0.4598477890669449</v>
      </c>
    </row>
    <row r="63" spans="1:12" x14ac:dyDescent="0.25">
      <c r="C63" s="7" t="s">
        <v>3</v>
      </c>
      <c r="D63" s="7" t="s">
        <v>17</v>
      </c>
      <c r="E63" s="7" t="s">
        <v>4</v>
      </c>
      <c r="F63" s="7" t="s">
        <v>5</v>
      </c>
      <c r="G63" s="7" t="s">
        <v>6</v>
      </c>
    </row>
    <row r="64" spans="1:12" x14ac:dyDescent="0.25">
      <c r="C64" s="4">
        <v>0.77438160368646158</v>
      </c>
      <c r="D64" s="2">
        <v>1</v>
      </c>
      <c r="E64" s="2">
        <v>0.54308286187976496</v>
      </c>
      <c r="F64" s="2">
        <v>0.85187803685561247</v>
      </c>
      <c r="G64" s="2">
        <v>0.4598477890669449</v>
      </c>
    </row>
    <row r="65" spans="1:7" x14ac:dyDescent="0.25">
      <c r="C65" s="4">
        <v>0.83757880683679731</v>
      </c>
      <c r="D65" s="2">
        <v>0.75</v>
      </c>
      <c r="E65" s="2">
        <v>0.43921120253363838</v>
      </c>
      <c r="F65" s="2">
        <v>1</v>
      </c>
      <c r="G65" s="2">
        <v>0.40335105011364702</v>
      </c>
    </row>
    <row r="66" spans="1:7" x14ac:dyDescent="0.25">
      <c r="C66" s="4">
        <v>0.9210323985801957</v>
      </c>
      <c r="D66" s="2">
        <v>0.25</v>
      </c>
      <c r="E66" s="2">
        <v>1</v>
      </c>
      <c r="F66" s="2">
        <v>0.82877150751032203</v>
      </c>
      <c r="G66" s="2">
        <v>1</v>
      </c>
    </row>
    <row r="67" spans="1:7" x14ac:dyDescent="0.25">
      <c r="C67" s="4">
        <v>1</v>
      </c>
      <c r="D67" s="2">
        <v>0.5</v>
      </c>
      <c r="E67" s="2">
        <v>0.86683026972860167</v>
      </c>
      <c r="F67" s="2">
        <v>0.72212245059815838</v>
      </c>
      <c r="G67" s="2">
        <v>0.31702150197089779</v>
      </c>
    </row>
    <row r="69" spans="1:7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</row>
    <row r="70" spans="1:7" x14ac:dyDescent="0.25">
      <c r="A70" s="2" t="s">
        <v>11</v>
      </c>
      <c r="B70" s="2" t="s">
        <v>12</v>
      </c>
      <c r="C70" s="2">
        <v>4</v>
      </c>
      <c r="D70" s="4">
        <v>5034263.5495518269</v>
      </c>
      <c r="E70" s="4">
        <v>65873.429441999993</v>
      </c>
      <c r="F70" s="3">
        <v>2.9423350149191101E-3</v>
      </c>
      <c r="G70" s="3">
        <v>3.4897071466789652E-4</v>
      </c>
    </row>
    <row r="71" spans="1:7" x14ac:dyDescent="0.25">
      <c r="A71" s="2" t="s">
        <v>11</v>
      </c>
      <c r="B71" s="2" t="s">
        <v>12</v>
      </c>
      <c r="C71" s="2">
        <v>3</v>
      </c>
      <c r="D71" s="4">
        <v>4961117.4365704898</v>
      </c>
      <c r="E71" s="4">
        <v>63209.692581750001</v>
      </c>
      <c r="F71" s="3">
        <v>4.351387458407175E-3</v>
      </c>
      <c r="G71" s="3">
        <v>5.6592795928781631E-4</v>
      </c>
    </row>
    <row r="72" spans="1:7" x14ac:dyDescent="0.25">
      <c r="A72" s="2" t="s">
        <v>11</v>
      </c>
      <c r="B72" s="2" t="s">
        <v>12</v>
      </c>
      <c r="C72" s="2">
        <v>2</v>
      </c>
      <c r="D72" s="4">
        <v>4783385.1798815951</v>
      </c>
      <c r="E72" s="4">
        <v>64669.840333150009</v>
      </c>
      <c r="F72" s="3">
        <v>2.0954023999737231E-3</v>
      </c>
      <c r="G72" s="3">
        <v>5.9056880507593645E-4</v>
      </c>
    </row>
    <row r="73" spans="1:7" x14ac:dyDescent="0.25">
      <c r="A73" s="2" t="s">
        <v>11</v>
      </c>
      <c r="B73" s="2" t="s">
        <v>12</v>
      </c>
      <c r="C73" s="2">
        <v>1</v>
      </c>
      <c r="D73" s="4">
        <v>4448196.0441567702</v>
      </c>
      <c r="E73" s="4">
        <v>96473.926682400008</v>
      </c>
      <c r="F73" s="3">
        <v>4.425446074207404E-4</v>
      </c>
      <c r="G73" s="3">
        <v>2.154034060250509E-4</v>
      </c>
    </row>
    <row r="75" spans="1:7" x14ac:dyDescent="0.25">
      <c r="B75" s="6" t="s">
        <v>14</v>
      </c>
      <c r="D75" s="4">
        <f>AVERAGE(D70:D71)</f>
        <v>4997690.4930611588</v>
      </c>
      <c r="E75" s="4">
        <f t="shared" ref="E75:G75" si="13">AVERAGE(E70:E71)</f>
        <v>64541.561011874997</v>
      </c>
      <c r="F75" s="3">
        <f t="shared" si="13"/>
        <v>3.6468612366631426E-3</v>
      </c>
      <c r="G75" s="3">
        <f t="shared" si="13"/>
        <v>4.5744933697785639E-4</v>
      </c>
    </row>
    <row r="76" spans="1:7" x14ac:dyDescent="0.25">
      <c r="B76" s="6" t="s">
        <v>15</v>
      </c>
      <c r="D76" s="4">
        <f>AVERAGE(D72:D73)</f>
        <v>4615790.6120191831</v>
      </c>
      <c r="E76" s="4">
        <f t="shared" ref="E76:G76" si="14">AVERAGE(E72:E73)</f>
        <v>80571.883507775012</v>
      </c>
      <c r="F76" s="3">
        <f t="shared" si="14"/>
        <v>1.2689735036972318E-3</v>
      </c>
      <c r="G76" s="3">
        <f t="shared" si="14"/>
        <v>4.0298610555049367E-4</v>
      </c>
    </row>
    <row r="78" spans="1:7" x14ac:dyDescent="0.25">
      <c r="C78" s="6" t="s">
        <v>16</v>
      </c>
      <c r="D78" s="4">
        <f>D75/D76</f>
        <v>1.0827376961267559</v>
      </c>
      <c r="E78" s="4">
        <f t="shared" ref="E78:G78" si="15">E75/E76</f>
        <v>0.80104322006630113</v>
      </c>
      <c r="F78" s="4">
        <f t="shared" si="15"/>
        <v>2.8738671264906555</v>
      </c>
      <c r="G78" s="4">
        <f t="shared" si="15"/>
        <v>1.1351491544676557</v>
      </c>
    </row>
    <row r="80" spans="1:7" x14ac:dyDescent="0.25">
      <c r="C80" s="2">
        <f>MAX(C70:C73)</f>
        <v>4</v>
      </c>
      <c r="D80" s="2">
        <f t="shared" ref="D80:G80" si="16">MAX(D70:D73)</f>
        <v>5034263.5495518269</v>
      </c>
      <c r="E80" s="2">
        <f t="shared" si="16"/>
        <v>96473.926682400008</v>
      </c>
      <c r="F80" s="2">
        <f t="shared" si="16"/>
        <v>4.351387458407175E-3</v>
      </c>
      <c r="G80" s="2">
        <f t="shared" si="16"/>
        <v>5.9056880507593645E-4</v>
      </c>
    </row>
    <row r="81" spans="3:12" x14ac:dyDescent="0.25">
      <c r="C81" s="7" t="s">
        <v>17</v>
      </c>
      <c r="D81" s="7" t="s">
        <v>3</v>
      </c>
      <c r="E81" s="1" t="s">
        <v>4</v>
      </c>
      <c r="F81" s="1" t="s">
        <v>5</v>
      </c>
      <c r="G81" s="1" t="s">
        <v>6</v>
      </c>
      <c r="J81" s="2"/>
      <c r="K81" s="7" t="s">
        <v>18</v>
      </c>
      <c r="L81" s="7" t="s">
        <v>19</v>
      </c>
    </row>
    <row r="82" spans="3:12" x14ac:dyDescent="0.25">
      <c r="C82" s="2">
        <f t="shared" ref="C82:G85" si="17">C70/C$80</f>
        <v>1</v>
      </c>
      <c r="D82" s="2">
        <f t="shared" si="17"/>
        <v>1</v>
      </c>
      <c r="E82" s="2">
        <f t="shared" si="17"/>
        <v>0.68281070033420188</v>
      </c>
      <c r="F82" s="2">
        <f t="shared" si="17"/>
        <v>0.67618318135157551</v>
      </c>
      <c r="G82" s="2">
        <f t="shared" si="17"/>
        <v>0.59090610893852613</v>
      </c>
      <c r="J82" s="7">
        <v>46</v>
      </c>
      <c r="K82" s="4">
        <f>0.5*(D67*E67+E67*F67+F67*G67+G67*D67)</f>
        <v>0.72340591418718192</v>
      </c>
      <c r="L82" s="4">
        <f>0.5*(D64*E64+E64*F64+F64*G64+G64*D64)</f>
        <v>0.92865262248875724</v>
      </c>
    </row>
    <row r="83" spans="3:12" x14ac:dyDescent="0.25">
      <c r="C83" s="2">
        <f t="shared" si="17"/>
        <v>0.75</v>
      </c>
      <c r="D83" s="2">
        <f t="shared" si="17"/>
        <v>0.98547034491512686</v>
      </c>
      <c r="E83" s="2">
        <f t="shared" si="17"/>
        <v>0.65519974935654313</v>
      </c>
      <c r="F83" s="2">
        <f t="shared" si="17"/>
        <v>1</v>
      </c>
      <c r="G83" s="2">
        <f t="shared" si="17"/>
        <v>0.95827607964333339</v>
      </c>
    </row>
    <row r="84" spans="3:12" x14ac:dyDescent="0.25">
      <c r="C84" s="2">
        <f t="shared" si="17"/>
        <v>0.5</v>
      </c>
      <c r="D84" s="2">
        <f t="shared" si="17"/>
        <v>0.95016582520941595</v>
      </c>
      <c r="E84" s="2">
        <f t="shared" si="17"/>
        <v>0.67033490350245994</v>
      </c>
      <c r="F84" s="2">
        <f t="shared" si="17"/>
        <v>0.48154810850623375</v>
      </c>
      <c r="G84" s="2">
        <f t="shared" si="17"/>
        <v>1</v>
      </c>
    </row>
    <row r="85" spans="3:12" x14ac:dyDescent="0.25">
      <c r="C85" s="2">
        <f t="shared" si="17"/>
        <v>0.25</v>
      </c>
      <c r="D85" s="2">
        <f t="shared" si="17"/>
        <v>0.88358426220112551</v>
      </c>
      <c r="E85" s="2">
        <f t="shared" si="17"/>
        <v>1</v>
      </c>
      <c r="F85" s="2">
        <f t="shared" si="17"/>
        <v>0.10170195406656198</v>
      </c>
      <c r="G85" s="2">
        <f t="shared" si="17"/>
        <v>0.36473888253774922</v>
      </c>
    </row>
    <row r="87" spans="3:12" x14ac:dyDescent="0.25">
      <c r="C87" s="7" t="s">
        <v>3</v>
      </c>
      <c r="D87" s="7" t="s">
        <v>17</v>
      </c>
      <c r="E87" s="7" t="s">
        <v>4</v>
      </c>
      <c r="F87" s="7" t="s">
        <v>5</v>
      </c>
      <c r="G87" s="7" t="s">
        <v>6</v>
      </c>
    </row>
    <row r="88" spans="3:12" x14ac:dyDescent="0.25">
      <c r="C88" s="4">
        <v>0.88358426220112551</v>
      </c>
      <c r="D88" s="2">
        <v>0.25</v>
      </c>
      <c r="E88" s="2">
        <v>1</v>
      </c>
      <c r="F88" s="2">
        <v>0.10170195406656198</v>
      </c>
      <c r="G88" s="2">
        <v>0.36473888253774922</v>
      </c>
    </row>
    <row r="89" spans="3:12" x14ac:dyDescent="0.25">
      <c r="C89" s="4">
        <v>0.95016582520941595</v>
      </c>
      <c r="D89" s="2">
        <v>0.5</v>
      </c>
      <c r="E89" s="2">
        <v>0.67033490350245994</v>
      </c>
      <c r="F89" s="2">
        <v>0.48154810850623375</v>
      </c>
      <c r="G89" s="2">
        <v>1</v>
      </c>
    </row>
    <row r="90" spans="3:12" x14ac:dyDescent="0.25">
      <c r="C90" s="4">
        <v>0.98547034491512686</v>
      </c>
      <c r="D90" s="2">
        <v>0.75</v>
      </c>
      <c r="E90" s="2">
        <v>0.65519974935654313</v>
      </c>
      <c r="F90" s="2">
        <v>1</v>
      </c>
      <c r="G90" s="2">
        <v>0.95827607964333339</v>
      </c>
    </row>
    <row r="91" spans="3:12" x14ac:dyDescent="0.25">
      <c r="C91" s="4">
        <v>1</v>
      </c>
      <c r="D91" s="2">
        <v>1</v>
      </c>
      <c r="E91" s="2">
        <v>0.68281070033420188</v>
      </c>
      <c r="F91" s="2">
        <v>0.67618318135157551</v>
      </c>
      <c r="G91" s="2">
        <v>0.59090610893852613</v>
      </c>
    </row>
    <row r="105" spans="10:12" x14ac:dyDescent="0.25">
      <c r="J105" s="2"/>
      <c r="K105" s="7" t="s">
        <v>18</v>
      </c>
      <c r="L105" s="7" t="s">
        <v>19</v>
      </c>
    </row>
    <row r="106" spans="10:12" x14ac:dyDescent="0.25">
      <c r="J106" s="7">
        <v>47</v>
      </c>
      <c r="K106" s="4">
        <f>0.5*(D91*E91+E91*F91+F91*G91+G91*D91)</f>
        <v>1.0674913467538696</v>
      </c>
      <c r="L106" s="4">
        <f>0.5*(D88*E88+E88*F88+F88*G88+G88*D88)</f>
        <v>0.2399906658895713</v>
      </c>
    </row>
    <row r="107" spans="10:12" x14ac:dyDescent="0.25">
      <c r="J107" s="7"/>
      <c r="K107" s="4"/>
      <c r="L107" s="4"/>
    </row>
    <row r="108" spans="10:12" x14ac:dyDescent="0.25">
      <c r="J108" s="2"/>
      <c r="K108" s="7"/>
      <c r="L108" s="7"/>
    </row>
    <row r="109" spans="10:12" x14ac:dyDescent="0.25">
      <c r="J109" s="7"/>
      <c r="K109" s="4"/>
      <c r="L109" s="4"/>
    </row>
  </sheetData>
  <sortState ref="C88:G91">
    <sortCondition ref="C90:C93"/>
  </sortState>
  <conditionalFormatting sqref="D2:D13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3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3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D1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:E1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:F18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1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:D25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2:E25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2:F2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2:G25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7:D2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7:E2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7:F2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7:G2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D49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6:E4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6:F4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6:G49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1:D52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1:E5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1:F5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1:G5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0:D7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0:E7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0:F7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0:G7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5:D7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5:E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5:F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5:G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tabSelected="1" topLeftCell="A7" zoomScale="55" zoomScaleNormal="55" workbookViewId="0">
      <selection activeCell="AD48" sqref="AD48"/>
    </sheetView>
  </sheetViews>
  <sheetFormatPr defaultRowHeight="15" x14ac:dyDescent="0.25"/>
  <cols>
    <col min="1" max="1" width="93" customWidth="1"/>
    <col min="4" max="4" width="14.85546875" customWidth="1"/>
    <col min="5" max="5" width="13" customWidth="1"/>
    <col min="6" max="6" width="13.5703125" customWidth="1"/>
    <col min="7" max="7" width="1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</v>
      </c>
      <c r="B2" s="2" t="s">
        <v>10</v>
      </c>
      <c r="C2" s="2">
        <v>2022</v>
      </c>
      <c r="D2" s="4">
        <v>9937990.5894197039</v>
      </c>
      <c r="E2" s="4">
        <v>137654.50809200999</v>
      </c>
      <c r="F2" s="3">
        <v>2.451646095414645E-3</v>
      </c>
      <c r="G2" s="3">
        <v>7.6188786690442915E-4</v>
      </c>
    </row>
    <row r="3" spans="1:7" x14ac:dyDescent="0.25">
      <c r="A3" s="2" t="s">
        <v>9</v>
      </c>
      <c r="B3" s="2" t="s">
        <v>10</v>
      </c>
      <c r="C3" s="2">
        <v>2021</v>
      </c>
      <c r="D3" s="4">
        <v>9153211.3096406423</v>
      </c>
      <c r="E3" s="4">
        <v>158802.14720132999</v>
      </c>
      <c r="F3" s="3">
        <v>2.8137256066412789E-3</v>
      </c>
      <c r="G3" s="3">
        <v>2.4032687441319662E-3</v>
      </c>
    </row>
    <row r="4" spans="1:7" x14ac:dyDescent="0.25">
      <c r="A4" s="2" t="s">
        <v>9</v>
      </c>
      <c r="B4" s="2" t="s">
        <v>10</v>
      </c>
      <c r="C4" s="2">
        <v>2023</v>
      </c>
      <c r="D4" s="4">
        <v>8323850.3002414759</v>
      </c>
      <c r="E4" s="4">
        <v>69747.682037220002</v>
      </c>
      <c r="F4" s="3">
        <v>3.3950559124479012E-3</v>
      </c>
      <c r="G4" s="3">
        <v>9.6936097165093425E-4</v>
      </c>
    </row>
    <row r="5" spans="1:7" x14ac:dyDescent="0.25">
      <c r="A5" s="2" t="s">
        <v>9</v>
      </c>
      <c r="B5" s="2" t="s">
        <v>10</v>
      </c>
      <c r="C5" s="2">
        <v>2024</v>
      </c>
      <c r="D5" s="4">
        <v>7695797.0900557945</v>
      </c>
      <c r="E5" s="4">
        <v>86242.724574749998</v>
      </c>
      <c r="F5" s="3">
        <v>2.8921735657111581E-3</v>
      </c>
      <c r="G5" s="3">
        <v>1.1051378185227779E-3</v>
      </c>
    </row>
    <row r="6" spans="1:7" x14ac:dyDescent="0.25">
      <c r="A6" s="2" t="s">
        <v>11</v>
      </c>
      <c r="B6" s="2" t="s">
        <v>12</v>
      </c>
      <c r="C6" s="2">
        <v>2024</v>
      </c>
      <c r="D6" s="4">
        <v>5034263.5495518269</v>
      </c>
      <c r="E6" s="4">
        <v>65873.429441999993</v>
      </c>
      <c r="F6" s="3">
        <v>2.9423350149191101E-3</v>
      </c>
      <c r="G6" s="3">
        <v>3.4897071466789652E-4</v>
      </c>
    </row>
    <row r="7" spans="1:7" x14ac:dyDescent="0.25">
      <c r="A7" s="2" t="s">
        <v>11</v>
      </c>
      <c r="B7" s="2" t="s">
        <v>12</v>
      </c>
      <c r="C7" s="2">
        <v>2023</v>
      </c>
      <c r="D7" s="4">
        <v>4961117.4365704898</v>
      </c>
      <c r="E7" s="4">
        <v>63209.692581750001</v>
      </c>
      <c r="F7" s="3">
        <v>4.351387458407175E-3</v>
      </c>
      <c r="G7" s="3">
        <v>5.6592795928781631E-4</v>
      </c>
    </row>
    <row r="8" spans="1:7" x14ac:dyDescent="0.25">
      <c r="A8" s="2" t="s">
        <v>11</v>
      </c>
      <c r="B8" s="2" t="s">
        <v>12</v>
      </c>
      <c r="C8" s="2">
        <v>2022</v>
      </c>
      <c r="D8" s="4">
        <v>4783385.1798815951</v>
      </c>
      <c r="E8" s="4">
        <v>64669.840333150009</v>
      </c>
      <c r="F8" s="3">
        <v>2.0954023999737231E-3</v>
      </c>
      <c r="G8" s="3">
        <v>5.9056880507593645E-4</v>
      </c>
    </row>
    <row r="9" spans="1:7" x14ac:dyDescent="0.25">
      <c r="A9" s="2" t="s">
        <v>11</v>
      </c>
      <c r="B9" s="2" t="s">
        <v>12</v>
      </c>
      <c r="C9" s="2">
        <v>2021</v>
      </c>
      <c r="D9" s="4">
        <v>4448196.0441567702</v>
      </c>
      <c r="E9" s="4">
        <v>96473.926682400008</v>
      </c>
      <c r="F9" s="3">
        <v>4.425446074207404E-4</v>
      </c>
      <c r="G9" s="3">
        <v>2.154034060250509E-4</v>
      </c>
    </row>
    <row r="10" spans="1:7" x14ac:dyDescent="0.25">
      <c r="A10" s="2" t="s">
        <v>7</v>
      </c>
      <c r="B10" s="2" t="s">
        <v>8</v>
      </c>
      <c r="C10" s="2">
        <v>2023</v>
      </c>
      <c r="D10" s="4">
        <v>1252686.154182706</v>
      </c>
      <c r="E10" s="4">
        <v>9796.3168782600005</v>
      </c>
      <c r="F10" s="3">
        <v>0.13430184443805829</v>
      </c>
      <c r="G10" s="3">
        <v>5.218380319387952E-4</v>
      </c>
    </row>
    <row r="11" spans="1:7" x14ac:dyDescent="0.25">
      <c r="A11" s="2" t="s">
        <v>7</v>
      </c>
      <c r="B11" s="2" t="s">
        <v>8</v>
      </c>
      <c r="C11" s="2">
        <v>2021</v>
      </c>
      <c r="D11" s="4">
        <v>1194490.274669243</v>
      </c>
      <c r="E11" s="4">
        <v>19231.118310289999</v>
      </c>
      <c r="F11" s="3">
        <v>5.2147019888250969E-3</v>
      </c>
      <c r="G11" s="3">
        <v>4.9058279907476332E-4</v>
      </c>
    </row>
    <row r="12" spans="1:7" x14ac:dyDescent="0.25">
      <c r="A12" s="2" t="s">
        <v>7</v>
      </c>
      <c r="B12" s="2" t="s">
        <v>8</v>
      </c>
      <c r="C12" s="2">
        <v>2024</v>
      </c>
      <c r="D12" s="4">
        <v>1165717.934645507</v>
      </c>
      <c r="E12" s="4">
        <v>8785.8682089999984</v>
      </c>
      <c r="F12" s="3">
        <v>1.025148686019859E-2</v>
      </c>
      <c r="G12" s="3">
        <v>1.7444704536200269E-4</v>
      </c>
    </row>
    <row r="13" spans="1:7" x14ac:dyDescent="0.25">
      <c r="A13" s="2" t="s">
        <v>7</v>
      </c>
      <c r="B13" s="2" t="s">
        <v>8</v>
      </c>
      <c r="C13" s="2">
        <v>2022</v>
      </c>
      <c r="D13" s="4">
        <v>1063712.5319653209</v>
      </c>
      <c r="E13" s="4">
        <v>8180.2586681400007</v>
      </c>
      <c r="F13" s="3">
        <v>1.6866644248961379E-2</v>
      </c>
      <c r="G13" s="3">
        <v>6.3103132179727491E-4</v>
      </c>
    </row>
    <row r="15" spans="1:7" x14ac:dyDescent="0.25">
      <c r="B15" s="5" t="s">
        <v>13</v>
      </c>
      <c r="D15" s="4">
        <f>MEDIAN(D2:D13)</f>
        <v>4872251.3082260424</v>
      </c>
    </row>
    <row r="17" spans="1:11" x14ac:dyDescent="0.25">
      <c r="B17" t="s">
        <v>14</v>
      </c>
      <c r="D17" s="4">
        <f>AVERAGE(D2:D7)</f>
        <v>7517705.0459133228</v>
      </c>
      <c r="E17" s="4">
        <f t="shared" ref="E17:G17" si="0">AVERAGE(E2:E7)</f>
        <v>96921.697321510001</v>
      </c>
      <c r="F17" s="3">
        <f t="shared" si="0"/>
        <v>3.141053942256878E-3</v>
      </c>
      <c r="G17" s="3">
        <f t="shared" si="0"/>
        <v>1.0257590125276369E-3</v>
      </c>
    </row>
    <row r="18" spans="1:11" x14ac:dyDescent="0.25">
      <c r="B18" t="s">
        <v>15</v>
      </c>
      <c r="D18" s="4">
        <f>AVERAGE(D8:D13)</f>
        <v>2318031.3532501906</v>
      </c>
      <c r="E18" s="4">
        <f t="shared" ref="E18:G18" si="1">AVERAGE(E8:E13)</f>
        <v>34522.888180206675</v>
      </c>
      <c r="F18" s="3">
        <f t="shared" si="1"/>
        <v>2.8195437423906299E-2</v>
      </c>
      <c r="G18" s="3">
        <f t="shared" si="1"/>
        <v>4.3731190154563726E-4</v>
      </c>
    </row>
    <row r="21" spans="1:11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I21" s="2"/>
      <c r="J21" s="7" t="s">
        <v>18</v>
      </c>
      <c r="K21" s="7" t="s">
        <v>19</v>
      </c>
    </row>
    <row r="22" spans="1:11" x14ac:dyDescent="0.25">
      <c r="A22" s="2" t="s">
        <v>7</v>
      </c>
      <c r="B22" s="2" t="s">
        <v>8</v>
      </c>
      <c r="C22" s="2">
        <v>3</v>
      </c>
      <c r="D22" s="4">
        <v>1252686.154182706</v>
      </c>
      <c r="E22" s="4">
        <v>9796.3168782600005</v>
      </c>
      <c r="F22" s="3">
        <v>0.13430184443805829</v>
      </c>
      <c r="G22" s="3">
        <v>5.218380319387952E-4</v>
      </c>
      <c r="I22" s="7">
        <v>45</v>
      </c>
      <c r="J22" s="4">
        <v>1.1693148402522289</v>
      </c>
      <c r="K22" s="4">
        <v>0.44584555192110731</v>
      </c>
    </row>
    <row r="23" spans="1:11" x14ac:dyDescent="0.25">
      <c r="A23" s="2" t="s">
        <v>7</v>
      </c>
      <c r="B23" s="2" t="s">
        <v>8</v>
      </c>
      <c r="C23" s="2">
        <v>1</v>
      </c>
      <c r="D23" s="4">
        <v>1194490.274669243</v>
      </c>
      <c r="E23" s="4">
        <v>19231.118310289999</v>
      </c>
      <c r="F23" s="3">
        <v>5.2147019888250969E-3</v>
      </c>
      <c r="G23" s="3">
        <v>4.9058279907476332E-4</v>
      </c>
      <c r="I23" s="7">
        <v>46</v>
      </c>
      <c r="J23" s="4">
        <v>0.72340591418718192</v>
      </c>
      <c r="K23" s="4">
        <v>0.92865262248875724</v>
      </c>
    </row>
    <row r="24" spans="1:11" x14ac:dyDescent="0.25">
      <c r="A24" s="2" t="s">
        <v>7</v>
      </c>
      <c r="B24" s="2" t="s">
        <v>8</v>
      </c>
      <c r="C24" s="2">
        <v>4</v>
      </c>
      <c r="D24" s="4">
        <v>1165717.934645507</v>
      </c>
      <c r="E24" s="4">
        <v>8785.8682089999984</v>
      </c>
      <c r="F24" s="3">
        <v>1.025148686019859E-2</v>
      </c>
      <c r="G24" s="3">
        <v>1.7444704536200269E-4</v>
      </c>
      <c r="I24" s="7">
        <v>47</v>
      </c>
      <c r="J24" s="4">
        <v>1.0674913467538696</v>
      </c>
      <c r="K24" s="4">
        <v>0.2399906658895713</v>
      </c>
    </row>
    <row r="25" spans="1:11" x14ac:dyDescent="0.25">
      <c r="A25" s="2" t="s">
        <v>7</v>
      </c>
      <c r="B25" s="2" t="s">
        <v>8</v>
      </c>
      <c r="C25" s="2">
        <v>2</v>
      </c>
      <c r="D25" s="4">
        <v>1063712.5319653209</v>
      </c>
      <c r="E25" s="4">
        <v>8180.2586681400007</v>
      </c>
      <c r="F25" s="3">
        <v>1.6866644248961379E-2</v>
      </c>
      <c r="G25" s="3">
        <v>6.3103132179727491E-4</v>
      </c>
      <c r="I25" s="6"/>
    </row>
    <row r="26" spans="1:11" x14ac:dyDescent="0.25">
      <c r="I26" s="6" t="s">
        <v>20</v>
      </c>
      <c r="J26" s="8">
        <f>AVERAGE(J22:J24)</f>
        <v>0.98673736706442672</v>
      </c>
      <c r="K26" s="8">
        <f>AVERAGE(K22:K24)</f>
        <v>0.53816294676647869</v>
      </c>
    </row>
    <row r="27" spans="1:11" x14ac:dyDescent="0.25">
      <c r="B27" s="6" t="s">
        <v>14</v>
      </c>
      <c r="D27" s="4">
        <f>AVERAGE(D22:D23)</f>
        <v>1223588.2144259745</v>
      </c>
      <c r="E27" s="4">
        <f t="shared" ref="E27:G27" si="2">AVERAGE(E22:E23)</f>
        <v>14513.717594275</v>
      </c>
      <c r="F27" s="3">
        <f t="shared" si="2"/>
        <v>6.9758273213441691E-2</v>
      </c>
      <c r="G27" s="3">
        <f t="shared" si="2"/>
        <v>5.0621041550677926E-4</v>
      </c>
      <c r="I27" s="6"/>
    </row>
    <row r="28" spans="1:11" x14ac:dyDescent="0.25">
      <c r="B28" s="6" t="s">
        <v>15</v>
      </c>
      <c r="D28" s="4">
        <f>AVERAGE(D24:D25)</f>
        <v>1114715.233305414</v>
      </c>
      <c r="E28" s="4">
        <f t="shared" ref="E28:G28" si="3">AVERAGE(E24:E25)</f>
        <v>8483.0634385699996</v>
      </c>
      <c r="F28" s="3">
        <f t="shared" si="3"/>
        <v>1.3559065554579985E-2</v>
      </c>
      <c r="G28" s="3">
        <f t="shared" si="3"/>
        <v>4.0273918357963879E-4</v>
      </c>
      <c r="I28" s="6"/>
    </row>
    <row r="30" spans="1:11" x14ac:dyDescent="0.25">
      <c r="C30" s="6" t="s">
        <v>16</v>
      </c>
      <c r="D30" s="4">
        <f>D27/D28</f>
        <v>1.0976688735092679</v>
      </c>
      <c r="E30" s="4">
        <f t="shared" ref="E30:G30" si="4">E27/E28</f>
        <v>1.7109052289159346</v>
      </c>
      <c r="F30" s="4">
        <f t="shared" si="4"/>
        <v>5.1447699646144658</v>
      </c>
      <c r="G30" s="4">
        <f t="shared" si="4"/>
        <v>1.2569187110314528</v>
      </c>
    </row>
    <row r="32" spans="1:11" x14ac:dyDescent="0.25">
      <c r="C32" s="2">
        <f>MAX(C22:C25)</f>
        <v>4</v>
      </c>
      <c r="D32" s="2">
        <f t="shared" ref="D32:G32" si="5">MAX(D22:D25)</f>
        <v>1252686.154182706</v>
      </c>
      <c r="E32" s="2">
        <f t="shared" si="5"/>
        <v>19231.118310289999</v>
      </c>
      <c r="F32" s="2">
        <f t="shared" si="5"/>
        <v>0.13430184443805829</v>
      </c>
      <c r="G32" s="2">
        <f t="shared" si="5"/>
        <v>6.3103132179727491E-4</v>
      </c>
    </row>
    <row r="33" spans="1:7" x14ac:dyDescent="0.25">
      <c r="C33" s="7" t="s">
        <v>17</v>
      </c>
      <c r="D33" s="7" t="s">
        <v>3</v>
      </c>
      <c r="E33" s="1" t="s">
        <v>4</v>
      </c>
      <c r="F33" s="1" t="s">
        <v>5</v>
      </c>
      <c r="G33" s="1" t="s">
        <v>6</v>
      </c>
    </row>
    <row r="34" spans="1:7" x14ac:dyDescent="0.25">
      <c r="C34" s="2">
        <f>C22/C$32</f>
        <v>0.75</v>
      </c>
      <c r="D34" s="2">
        <f t="shared" ref="D34:G34" si="6">D22/D$32</f>
        <v>1</v>
      </c>
      <c r="E34" s="2">
        <f t="shared" si="6"/>
        <v>0.50939923098586959</v>
      </c>
      <c r="F34" s="2">
        <f t="shared" si="6"/>
        <v>1</v>
      </c>
      <c r="G34" s="2">
        <f t="shared" si="6"/>
        <v>0.82696058644524917</v>
      </c>
    </row>
    <row r="35" spans="1:7" x14ac:dyDescent="0.25">
      <c r="C35" s="2">
        <f t="shared" ref="C35:G37" si="7">C23/C$32</f>
        <v>0.25</v>
      </c>
      <c r="D35" s="2">
        <f t="shared" si="7"/>
        <v>0.95354312864467483</v>
      </c>
      <c r="E35" s="2">
        <f t="shared" si="7"/>
        <v>1</v>
      </c>
      <c r="F35" s="2">
        <f t="shared" si="7"/>
        <v>3.882822317626608E-2</v>
      </c>
      <c r="G35" s="2">
        <f t="shared" si="7"/>
        <v>0.7774301878986094</v>
      </c>
    </row>
    <row r="36" spans="1:7" x14ac:dyDescent="0.25">
      <c r="C36" s="2">
        <f t="shared" si="7"/>
        <v>1</v>
      </c>
      <c r="D36" s="2">
        <f t="shared" si="7"/>
        <v>0.93057461420259735</v>
      </c>
      <c r="E36" s="2">
        <f t="shared" si="7"/>
        <v>0.45685685394067499</v>
      </c>
      <c r="F36" s="2">
        <f t="shared" si="7"/>
        <v>7.6331690775302094E-2</v>
      </c>
      <c r="G36" s="2">
        <f t="shared" si="7"/>
        <v>0.27644752223257396</v>
      </c>
    </row>
    <row r="37" spans="1:7" x14ac:dyDescent="0.25">
      <c r="C37" s="2">
        <f t="shared" si="7"/>
        <v>0.5</v>
      </c>
      <c r="D37" s="2">
        <f t="shared" si="7"/>
        <v>0.84914527746123469</v>
      </c>
      <c r="E37" s="2">
        <f t="shared" si="7"/>
        <v>0.42536572944710072</v>
      </c>
      <c r="F37" s="2">
        <f t="shared" si="7"/>
        <v>0.12558758459002764</v>
      </c>
      <c r="G37" s="2">
        <f t="shared" si="7"/>
        <v>1</v>
      </c>
    </row>
    <row r="39" spans="1:7" x14ac:dyDescent="0.25">
      <c r="C39" s="7" t="s">
        <v>3</v>
      </c>
      <c r="D39" s="7" t="s">
        <v>17</v>
      </c>
      <c r="E39" s="7" t="s">
        <v>4</v>
      </c>
      <c r="F39" s="7" t="s">
        <v>5</v>
      </c>
      <c r="G39" s="7" t="s">
        <v>6</v>
      </c>
    </row>
    <row r="40" spans="1:7" x14ac:dyDescent="0.25">
      <c r="C40" s="4">
        <v>0.84914527746123469</v>
      </c>
      <c r="D40" s="2">
        <v>0.5</v>
      </c>
      <c r="E40" s="2">
        <v>0.42536572944710072</v>
      </c>
      <c r="F40" s="2">
        <v>0.12558758459002764</v>
      </c>
      <c r="G40" s="2">
        <v>1</v>
      </c>
    </row>
    <row r="41" spans="1:7" x14ac:dyDescent="0.25">
      <c r="C41" s="4">
        <v>0.93057461420259735</v>
      </c>
      <c r="D41" s="2">
        <v>1</v>
      </c>
      <c r="E41" s="2">
        <v>0.45685685394067499</v>
      </c>
      <c r="F41" s="2">
        <v>7.6331690775302094E-2</v>
      </c>
      <c r="G41" s="2">
        <v>0.27644752223257396</v>
      </c>
    </row>
    <row r="42" spans="1:7" x14ac:dyDescent="0.25">
      <c r="C42" s="4">
        <v>0.95354312864467483</v>
      </c>
      <c r="D42" s="2">
        <v>0.25</v>
      </c>
      <c r="E42" s="2">
        <v>1</v>
      </c>
      <c r="F42" s="2">
        <v>3.882822317626608E-2</v>
      </c>
      <c r="G42" s="2">
        <v>0.7774301878986094</v>
      </c>
    </row>
    <row r="43" spans="1:7" x14ac:dyDescent="0.25">
      <c r="C43" s="4">
        <v>1</v>
      </c>
      <c r="D43" s="2">
        <v>0.75</v>
      </c>
      <c r="E43" s="2">
        <v>0.50939923098586959</v>
      </c>
      <c r="F43" s="2">
        <v>1</v>
      </c>
      <c r="G43" s="2">
        <v>0.82696058644524917</v>
      </c>
    </row>
    <row r="45" spans="1:7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</row>
    <row r="46" spans="1:7" x14ac:dyDescent="0.25">
      <c r="A46" s="2" t="s">
        <v>9</v>
      </c>
      <c r="B46" s="2" t="s">
        <v>10</v>
      </c>
      <c r="C46" s="2">
        <v>2</v>
      </c>
      <c r="D46" s="4">
        <v>9937990.5894197039</v>
      </c>
      <c r="E46" s="4">
        <v>137654.50809200999</v>
      </c>
      <c r="F46" s="3">
        <v>2.451646095414645E-3</v>
      </c>
      <c r="G46" s="3">
        <v>7.6188786690442915E-4</v>
      </c>
    </row>
    <row r="47" spans="1:7" x14ac:dyDescent="0.25">
      <c r="A47" s="2" t="s">
        <v>9</v>
      </c>
      <c r="B47" s="2" t="s">
        <v>10</v>
      </c>
      <c r="C47" s="2">
        <v>1</v>
      </c>
      <c r="D47" s="4">
        <v>9153211.3096406423</v>
      </c>
      <c r="E47" s="4">
        <v>158802.14720132999</v>
      </c>
      <c r="F47" s="3">
        <v>2.8137256066412789E-3</v>
      </c>
      <c r="G47" s="3">
        <v>2.4032687441319662E-3</v>
      </c>
    </row>
    <row r="48" spans="1:7" x14ac:dyDescent="0.25">
      <c r="A48" s="2" t="s">
        <v>9</v>
      </c>
      <c r="B48" s="2" t="s">
        <v>10</v>
      </c>
      <c r="C48" s="2">
        <v>3</v>
      </c>
      <c r="D48" s="4">
        <v>8323850.3002414759</v>
      </c>
      <c r="E48" s="4">
        <v>69747.682037220002</v>
      </c>
      <c r="F48" s="3">
        <v>3.3950559124479012E-3</v>
      </c>
      <c r="G48" s="3">
        <v>9.6936097165093425E-4</v>
      </c>
    </row>
    <row r="49" spans="1:12" x14ac:dyDescent="0.25">
      <c r="A49" s="2" t="s">
        <v>9</v>
      </c>
      <c r="B49" s="2" t="s">
        <v>10</v>
      </c>
      <c r="C49" s="2">
        <v>4</v>
      </c>
      <c r="D49" s="4">
        <v>7695797.0900557945</v>
      </c>
      <c r="E49" s="4">
        <v>86242.724574749998</v>
      </c>
      <c r="F49" s="3">
        <v>2.8921735657111581E-3</v>
      </c>
      <c r="G49" s="3">
        <v>1.1051378185227779E-3</v>
      </c>
    </row>
    <row r="51" spans="1:12" x14ac:dyDescent="0.25">
      <c r="B51" s="6" t="s">
        <v>14</v>
      </c>
      <c r="D51" s="4">
        <f>AVERAGE(D46:D47)</f>
        <v>9545600.9495301731</v>
      </c>
      <c r="E51" s="4">
        <f t="shared" ref="E51:G51" si="8">AVERAGE(E46:E47)</f>
        <v>148228.32764666999</v>
      </c>
      <c r="F51" s="3">
        <f t="shared" si="8"/>
        <v>2.6326858510279617E-3</v>
      </c>
      <c r="G51" s="3">
        <f t="shared" si="8"/>
        <v>1.5825783055181976E-3</v>
      </c>
    </row>
    <row r="52" spans="1:12" x14ac:dyDescent="0.25">
      <c r="B52" s="6" t="s">
        <v>15</v>
      </c>
      <c r="D52" s="4">
        <f>AVERAGE(D48:D49)</f>
        <v>8009823.6951486357</v>
      </c>
      <c r="E52" s="4">
        <f t="shared" ref="E52:G52" si="9">AVERAGE(E48:E49)</f>
        <v>77995.203305984993</v>
      </c>
      <c r="F52" s="3">
        <f t="shared" si="9"/>
        <v>3.1436147390795297E-3</v>
      </c>
      <c r="G52" s="3">
        <f t="shared" si="9"/>
        <v>1.0372493950868561E-3</v>
      </c>
    </row>
    <row r="54" spans="1:12" x14ac:dyDescent="0.25">
      <c r="C54" s="6" t="s">
        <v>16</v>
      </c>
      <c r="D54" s="4">
        <f>D51/D52</f>
        <v>1.1917367114224651</v>
      </c>
      <c r="E54" s="4">
        <f t="shared" ref="E54:G54" si="10">E51/E52</f>
        <v>1.9004800470248358</v>
      </c>
      <c r="F54" s="4">
        <f t="shared" si="10"/>
        <v>0.8374708956221617</v>
      </c>
      <c r="G54" s="4">
        <f t="shared" si="10"/>
        <v>1.5257452190518532</v>
      </c>
    </row>
    <row r="56" spans="1:12" x14ac:dyDescent="0.25">
      <c r="C56" s="2">
        <f>MAX(C46:C49)</f>
        <v>4</v>
      </c>
      <c r="D56" s="2">
        <f t="shared" ref="D56:G56" si="11">MAX(D46:D49)</f>
        <v>9937990.5894197039</v>
      </c>
      <c r="E56" s="2">
        <f t="shared" si="11"/>
        <v>158802.14720132999</v>
      </c>
      <c r="F56" s="2">
        <f t="shared" si="11"/>
        <v>3.3950559124479012E-3</v>
      </c>
      <c r="G56" s="2">
        <f t="shared" si="11"/>
        <v>2.4032687441319662E-3</v>
      </c>
    </row>
    <row r="57" spans="1:12" x14ac:dyDescent="0.25">
      <c r="C57" s="7" t="s">
        <v>17</v>
      </c>
      <c r="D57" s="7" t="s">
        <v>3</v>
      </c>
      <c r="E57" s="1" t="s">
        <v>4</v>
      </c>
      <c r="F57" s="1" t="s">
        <v>5</v>
      </c>
      <c r="G57" s="1" t="s">
        <v>6</v>
      </c>
      <c r="J57" s="2"/>
      <c r="K57" s="7" t="s">
        <v>18</v>
      </c>
      <c r="L57" s="7" t="s">
        <v>19</v>
      </c>
    </row>
    <row r="58" spans="1:12" x14ac:dyDescent="0.25">
      <c r="C58" s="2">
        <f t="shared" ref="C58:G61" si="12">C46/C$56</f>
        <v>0.5</v>
      </c>
      <c r="D58" s="2">
        <f t="shared" si="12"/>
        <v>1</v>
      </c>
      <c r="E58" s="2">
        <f t="shared" si="12"/>
        <v>0.86683026972860167</v>
      </c>
      <c r="F58" s="2">
        <f t="shared" si="12"/>
        <v>0.72212245059815838</v>
      </c>
      <c r="G58" s="2">
        <f t="shared" si="12"/>
        <v>0.31702150197089779</v>
      </c>
      <c r="J58" s="7">
        <v>45</v>
      </c>
      <c r="K58" s="4">
        <f>0.5*(D43*E43+E43*F43+F43*G43+G43*D43)</f>
        <v>1.1693148402522289</v>
      </c>
      <c r="L58" s="4">
        <f>0.5*(D40*E40+E40*F40+F40*G40+G40*D40)</f>
        <v>0.44584555192110731</v>
      </c>
    </row>
    <row r="59" spans="1:12" x14ac:dyDescent="0.25">
      <c r="C59" s="2">
        <f t="shared" si="12"/>
        <v>0.25</v>
      </c>
      <c r="D59" s="2">
        <f t="shared" si="12"/>
        <v>0.9210323985801957</v>
      </c>
      <c r="E59" s="2">
        <f t="shared" si="12"/>
        <v>1</v>
      </c>
      <c r="F59" s="2">
        <f t="shared" si="12"/>
        <v>0.82877150751032203</v>
      </c>
      <c r="G59" s="2">
        <f t="shared" si="12"/>
        <v>1</v>
      </c>
    </row>
    <row r="60" spans="1:12" x14ac:dyDescent="0.25">
      <c r="C60" s="2">
        <f t="shared" si="12"/>
        <v>0.75</v>
      </c>
      <c r="D60" s="2">
        <f t="shared" si="12"/>
        <v>0.83757880683679731</v>
      </c>
      <c r="E60" s="2">
        <f t="shared" si="12"/>
        <v>0.43921120253363838</v>
      </c>
      <c r="F60" s="2">
        <f t="shared" si="12"/>
        <v>1</v>
      </c>
      <c r="G60" s="2">
        <f t="shared" si="12"/>
        <v>0.40335105011364702</v>
      </c>
    </row>
    <row r="61" spans="1:12" x14ac:dyDescent="0.25">
      <c r="C61" s="2">
        <f t="shared" si="12"/>
        <v>1</v>
      </c>
      <c r="D61" s="2">
        <f t="shared" si="12"/>
        <v>0.77438160368646158</v>
      </c>
      <c r="E61" s="2">
        <f t="shared" si="12"/>
        <v>0.54308286187976496</v>
      </c>
      <c r="F61" s="2">
        <f t="shared" si="12"/>
        <v>0.85187803685561247</v>
      </c>
      <c r="G61" s="2">
        <f t="shared" si="12"/>
        <v>0.4598477890669449</v>
      </c>
    </row>
    <row r="63" spans="1:12" x14ac:dyDescent="0.25">
      <c r="C63" s="7" t="s">
        <v>3</v>
      </c>
      <c r="D63" s="7" t="s">
        <v>17</v>
      </c>
      <c r="E63" s="7" t="s">
        <v>4</v>
      </c>
      <c r="F63" s="7" t="s">
        <v>5</v>
      </c>
      <c r="G63" s="7" t="s">
        <v>6</v>
      </c>
    </row>
    <row r="64" spans="1:12" x14ac:dyDescent="0.25">
      <c r="C64" s="4">
        <v>0.77438160368646158</v>
      </c>
      <c r="D64" s="2">
        <v>1</v>
      </c>
      <c r="E64" s="2">
        <v>0.54308286187976496</v>
      </c>
      <c r="F64" s="2">
        <v>0.85187803685561247</v>
      </c>
      <c r="G64" s="2">
        <v>0.4598477890669449</v>
      </c>
    </row>
    <row r="65" spans="1:7" x14ac:dyDescent="0.25">
      <c r="C65" s="4">
        <v>0.83757880683679731</v>
      </c>
      <c r="D65" s="2">
        <v>0.75</v>
      </c>
      <c r="E65" s="2">
        <v>0.43921120253363838</v>
      </c>
      <c r="F65" s="2">
        <v>1</v>
      </c>
      <c r="G65" s="2">
        <v>0.40335105011364702</v>
      </c>
    </row>
    <row r="66" spans="1:7" x14ac:dyDescent="0.25">
      <c r="C66" s="4">
        <v>0.9210323985801957</v>
      </c>
      <c r="D66" s="2">
        <v>0.25</v>
      </c>
      <c r="E66" s="2">
        <v>1</v>
      </c>
      <c r="F66" s="2">
        <v>0.82877150751032203</v>
      </c>
      <c r="G66" s="2">
        <v>1</v>
      </c>
    </row>
    <row r="67" spans="1:7" x14ac:dyDescent="0.25">
      <c r="C67" s="4">
        <v>1</v>
      </c>
      <c r="D67" s="2">
        <v>0.5</v>
      </c>
      <c r="E67" s="2">
        <v>0.86683026972860167</v>
      </c>
      <c r="F67" s="2">
        <v>0.72212245059815838</v>
      </c>
      <c r="G67" s="2">
        <v>0.31702150197089779</v>
      </c>
    </row>
    <row r="69" spans="1:7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</row>
    <row r="70" spans="1:7" x14ac:dyDescent="0.25">
      <c r="A70" s="2" t="s">
        <v>11</v>
      </c>
      <c r="B70" s="2" t="s">
        <v>12</v>
      </c>
      <c r="C70" s="2">
        <v>4</v>
      </c>
      <c r="D70" s="4">
        <v>5034263.5495518269</v>
      </c>
      <c r="E70" s="4">
        <v>65873.429441999993</v>
      </c>
      <c r="F70" s="3">
        <v>2.9423350149191101E-3</v>
      </c>
      <c r="G70" s="3">
        <v>3.4897071466789652E-4</v>
      </c>
    </row>
    <row r="71" spans="1:7" x14ac:dyDescent="0.25">
      <c r="A71" s="2" t="s">
        <v>11</v>
      </c>
      <c r="B71" s="2" t="s">
        <v>12</v>
      </c>
      <c r="C71" s="2">
        <v>3</v>
      </c>
      <c r="D71" s="4">
        <v>4961117.4365704898</v>
      </c>
      <c r="E71" s="4">
        <v>63209.692581750001</v>
      </c>
      <c r="F71" s="3">
        <v>4.351387458407175E-3</v>
      </c>
      <c r="G71" s="3">
        <v>5.6592795928781631E-4</v>
      </c>
    </row>
    <row r="72" spans="1:7" x14ac:dyDescent="0.25">
      <c r="A72" s="2" t="s">
        <v>11</v>
      </c>
      <c r="B72" s="2" t="s">
        <v>12</v>
      </c>
      <c r="C72" s="2">
        <v>2</v>
      </c>
      <c r="D72" s="4">
        <v>4783385.1798815951</v>
      </c>
      <c r="E72" s="4">
        <v>64669.840333150009</v>
      </c>
      <c r="F72" s="3">
        <v>2.0954023999737231E-3</v>
      </c>
      <c r="G72" s="3">
        <v>5.9056880507593645E-4</v>
      </c>
    </row>
    <row r="73" spans="1:7" x14ac:dyDescent="0.25">
      <c r="A73" s="2" t="s">
        <v>11</v>
      </c>
      <c r="B73" s="2" t="s">
        <v>12</v>
      </c>
      <c r="C73" s="2">
        <v>1</v>
      </c>
      <c r="D73" s="4">
        <v>4448196.0441567702</v>
      </c>
      <c r="E73" s="4">
        <v>96473.926682400008</v>
      </c>
      <c r="F73" s="3">
        <v>4.425446074207404E-4</v>
      </c>
      <c r="G73" s="3">
        <v>2.154034060250509E-4</v>
      </c>
    </row>
    <row r="75" spans="1:7" x14ac:dyDescent="0.25">
      <c r="B75" s="6" t="s">
        <v>14</v>
      </c>
      <c r="D75" s="4">
        <f>AVERAGE(D70:D71)</f>
        <v>4997690.4930611588</v>
      </c>
      <c r="E75" s="4">
        <f t="shared" ref="E75:G75" si="13">AVERAGE(E70:E71)</f>
        <v>64541.561011874997</v>
      </c>
      <c r="F75" s="3">
        <f t="shared" si="13"/>
        <v>3.6468612366631426E-3</v>
      </c>
      <c r="G75" s="3">
        <f t="shared" si="13"/>
        <v>4.5744933697785639E-4</v>
      </c>
    </row>
    <row r="76" spans="1:7" x14ac:dyDescent="0.25">
      <c r="B76" s="6" t="s">
        <v>15</v>
      </c>
      <c r="D76" s="4">
        <f>AVERAGE(D72:D73)</f>
        <v>4615790.6120191831</v>
      </c>
      <c r="E76" s="4">
        <f t="shared" ref="E76:G76" si="14">AVERAGE(E72:E73)</f>
        <v>80571.883507775012</v>
      </c>
      <c r="F76" s="3">
        <f t="shared" si="14"/>
        <v>1.2689735036972318E-3</v>
      </c>
      <c r="G76" s="3">
        <f t="shared" si="14"/>
        <v>4.0298610555049367E-4</v>
      </c>
    </row>
    <row r="78" spans="1:7" x14ac:dyDescent="0.25">
      <c r="C78" s="6" t="s">
        <v>16</v>
      </c>
      <c r="D78" s="4">
        <f>D75/D76</f>
        <v>1.0827376961267559</v>
      </c>
      <c r="E78" s="4">
        <f t="shared" ref="E78:G78" si="15">E75/E76</f>
        <v>0.80104322006630113</v>
      </c>
      <c r="F78" s="4">
        <f t="shared" si="15"/>
        <v>2.8738671264906555</v>
      </c>
      <c r="G78" s="4">
        <f t="shared" si="15"/>
        <v>1.1351491544676557</v>
      </c>
    </row>
    <row r="80" spans="1:7" x14ac:dyDescent="0.25">
      <c r="C80" s="2">
        <f>MAX(C70:C73)</f>
        <v>4</v>
      </c>
      <c r="D80" s="2">
        <f t="shared" ref="D80:G80" si="16">MAX(D70:D73)</f>
        <v>5034263.5495518269</v>
      </c>
      <c r="E80" s="2">
        <f t="shared" si="16"/>
        <v>96473.926682400008</v>
      </c>
      <c r="F80" s="2">
        <f t="shared" si="16"/>
        <v>4.351387458407175E-3</v>
      </c>
      <c r="G80" s="2">
        <f t="shared" si="16"/>
        <v>5.9056880507593645E-4</v>
      </c>
    </row>
    <row r="81" spans="3:12" x14ac:dyDescent="0.25">
      <c r="C81" s="7" t="s">
        <v>17</v>
      </c>
      <c r="D81" s="7" t="s">
        <v>3</v>
      </c>
      <c r="E81" s="1" t="s">
        <v>4</v>
      </c>
      <c r="F81" s="1" t="s">
        <v>5</v>
      </c>
      <c r="G81" s="1" t="s">
        <v>6</v>
      </c>
      <c r="J81" s="2"/>
      <c r="K81" s="7" t="s">
        <v>18</v>
      </c>
      <c r="L81" s="7" t="s">
        <v>19</v>
      </c>
    </row>
    <row r="82" spans="3:12" x14ac:dyDescent="0.25">
      <c r="C82" s="2">
        <f t="shared" ref="C82:G85" si="17">C70/C$80</f>
        <v>1</v>
      </c>
      <c r="D82" s="2">
        <f t="shared" si="17"/>
        <v>1</v>
      </c>
      <c r="E82" s="2">
        <f t="shared" si="17"/>
        <v>0.68281070033420188</v>
      </c>
      <c r="F82" s="2">
        <f t="shared" si="17"/>
        <v>0.67618318135157551</v>
      </c>
      <c r="G82" s="2">
        <f t="shared" si="17"/>
        <v>0.59090610893852613</v>
      </c>
      <c r="J82" s="7">
        <v>46</v>
      </c>
      <c r="K82" s="4">
        <f>0.5*(D67*E67+E67*F67+F67*G67+G67*D67)</f>
        <v>0.72340591418718192</v>
      </c>
      <c r="L82" s="4">
        <f>0.5*(D64*E64+E64*F64+F64*G64+G64*D64)</f>
        <v>0.92865262248875724</v>
      </c>
    </row>
    <row r="83" spans="3:12" x14ac:dyDescent="0.25">
      <c r="C83" s="2">
        <f t="shared" si="17"/>
        <v>0.75</v>
      </c>
      <c r="D83" s="2">
        <f t="shared" si="17"/>
        <v>0.98547034491512686</v>
      </c>
      <c r="E83" s="2">
        <f t="shared" si="17"/>
        <v>0.65519974935654313</v>
      </c>
      <c r="F83" s="2">
        <f t="shared" si="17"/>
        <v>1</v>
      </c>
      <c r="G83" s="2">
        <f t="shared" si="17"/>
        <v>0.95827607964333339</v>
      </c>
    </row>
    <row r="84" spans="3:12" x14ac:dyDescent="0.25">
      <c r="C84" s="2">
        <f t="shared" si="17"/>
        <v>0.5</v>
      </c>
      <c r="D84" s="2">
        <f t="shared" si="17"/>
        <v>0.95016582520941595</v>
      </c>
      <c r="E84" s="2">
        <f t="shared" si="17"/>
        <v>0.67033490350245994</v>
      </c>
      <c r="F84" s="2">
        <f t="shared" si="17"/>
        <v>0.48154810850623375</v>
      </c>
      <c r="G84" s="2">
        <f t="shared" si="17"/>
        <v>1</v>
      </c>
    </row>
    <row r="85" spans="3:12" x14ac:dyDescent="0.25">
      <c r="C85" s="2">
        <f t="shared" si="17"/>
        <v>0.25</v>
      </c>
      <c r="D85" s="2">
        <f t="shared" si="17"/>
        <v>0.88358426220112551</v>
      </c>
      <c r="E85" s="2">
        <f t="shared" si="17"/>
        <v>1</v>
      </c>
      <c r="F85" s="2">
        <f t="shared" si="17"/>
        <v>0.10170195406656198</v>
      </c>
      <c r="G85" s="2">
        <f t="shared" si="17"/>
        <v>0.36473888253774922</v>
      </c>
    </row>
    <row r="87" spans="3:12" x14ac:dyDescent="0.25">
      <c r="C87" s="7" t="s">
        <v>3</v>
      </c>
      <c r="D87" s="7" t="s">
        <v>17</v>
      </c>
      <c r="E87" s="7" t="s">
        <v>4</v>
      </c>
      <c r="F87" s="7" t="s">
        <v>5</v>
      </c>
      <c r="G87" s="7" t="s">
        <v>6</v>
      </c>
    </row>
    <row r="88" spans="3:12" x14ac:dyDescent="0.25">
      <c r="C88" s="4">
        <v>0.88358426220112551</v>
      </c>
      <c r="D88" s="2">
        <v>0.25</v>
      </c>
      <c r="E88" s="2">
        <v>1</v>
      </c>
      <c r="F88" s="2">
        <v>0.10170195406656198</v>
      </c>
      <c r="G88" s="2">
        <v>0.36473888253774922</v>
      </c>
    </row>
    <row r="89" spans="3:12" x14ac:dyDescent="0.25">
      <c r="C89" s="4">
        <v>0.95016582520941595</v>
      </c>
      <c r="D89" s="2">
        <v>0.5</v>
      </c>
      <c r="E89" s="2">
        <v>0.67033490350245994</v>
      </c>
      <c r="F89" s="2">
        <v>0.48154810850623375</v>
      </c>
      <c r="G89" s="2">
        <v>1</v>
      </c>
    </row>
    <row r="90" spans="3:12" x14ac:dyDescent="0.25">
      <c r="C90" s="4">
        <v>0.98547034491512686</v>
      </c>
      <c r="D90" s="2">
        <v>0.75</v>
      </c>
      <c r="E90" s="2">
        <v>0.65519974935654313</v>
      </c>
      <c r="F90" s="2">
        <v>1</v>
      </c>
      <c r="G90" s="2">
        <v>0.95827607964333339</v>
      </c>
    </row>
    <row r="91" spans="3:12" x14ac:dyDescent="0.25">
      <c r="C91" s="4">
        <v>1</v>
      </c>
      <c r="D91" s="2">
        <v>1</v>
      </c>
      <c r="E91" s="2">
        <v>0.68281070033420188</v>
      </c>
      <c r="F91" s="2">
        <v>0.67618318135157551</v>
      </c>
      <c r="G91" s="2">
        <v>0.59090610893852613</v>
      </c>
    </row>
    <row r="105" spans="10:12" x14ac:dyDescent="0.25">
      <c r="J105" s="2"/>
      <c r="K105" s="7" t="s">
        <v>18</v>
      </c>
      <c r="L105" s="7" t="s">
        <v>19</v>
      </c>
    </row>
    <row r="106" spans="10:12" x14ac:dyDescent="0.25">
      <c r="J106" s="7">
        <v>47</v>
      </c>
      <c r="K106" s="4">
        <f>0.5*(D91*E91+E91*F91+F91*G91+G91*D91)</f>
        <v>1.0674913467538696</v>
      </c>
      <c r="L106" s="4">
        <f>0.5*(D88*E88+E88*F88+F88*G88+G88*D88)</f>
        <v>0.2399906658895713</v>
      </c>
    </row>
    <row r="107" spans="10:12" x14ac:dyDescent="0.25">
      <c r="J107" s="7"/>
      <c r="K107" s="4"/>
      <c r="L107" s="4"/>
    </row>
    <row r="108" spans="10:12" x14ac:dyDescent="0.25">
      <c r="J108" s="2"/>
      <c r="K108" s="7"/>
      <c r="L108" s="7"/>
    </row>
    <row r="109" spans="10:12" x14ac:dyDescent="0.25">
      <c r="J109" s="7"/>
      <c r="K109" s="4"/>
      <c r="L109" s="4"/>
    </row>
  </sheetData>
  <conditionalFormatting sqref="D2:D13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3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3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D1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:E1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:F18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1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:D25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2:E25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2:F2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2:G25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7:D2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7:E2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7:F2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7:G2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D49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6:E4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6:F4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6:G49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1:D52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1:E5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1:F5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1:G5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0:D7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0:E7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0:F7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0:G7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5:D7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5:E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5:F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5:G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2026-05-13T10:45:15Z</dcterms:created>
  <dcterms:modified xsi:type="dcterms:W3CDTF">2026-06-10T11:25:58Z</dcterms:modified>
</cp:coreProperties>
</file>