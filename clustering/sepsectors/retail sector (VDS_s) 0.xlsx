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18" i="1" l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<sst xmlns="http://schemas.openxmlformats.org/spreadsheetml/2006/main" count="34" uniqueCount="16">
  <si>
    <t>sector</t>
  </si>
  <si>
    <t>okved2</t>
  </si>
  <si>
    <t>year</t>
  </si>
  <si>
    <t>VDS_s</t>
  </si>
  <si>
    <t>ITcosts_s</t>
  </si>
  <si>
    <t>skvozcosts_s</t>
  </si>
  <si>
    <t>trainingcosts_s</t>
  </si>
  <si>
    <t>Торговля оптовая и розничная автотранспортными средствами и мотоциклами и их ремонт</t>
  </si>
  <si>
    <t>45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</si>
  <si>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</si>
  <si>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</si>
  <si>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</si>
  <si>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</si>
  <si>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медиана ВДС:</t>
  </si>
  <si>
    <t>верхний кластер:</t>
  </si>
  <si>
    <t>нижний кластер: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</si>
</sst>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workbookViewId="0">
      <selection activeCell="I16" sqref="I16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9</v>
      </c>
      <c r="B2" s="2" t="s">
        <v>10</v>
      </c>
      <c r="C2" s="2">
        <v>2022</v>
      </c>
      <c r="D2" s="4">
        <v>9937990.5894197039</v>
      </c>
      <c r="E2" s="4">
        <v>137654.50809200999</v>
      </c>
      <c r="F2" s="3">
        <v>2.451646095414645E-3</v>
      </c>
      <c r="G2" s="3">
        <v>7.6188786690442915E-4</v>
      </c>
    </row>
    <row r="3" spans="1:7" x14ac:dyDescent="0.25">
      <c r="A3" s="2" t="s">
        <v>9</v>
      </c>
      <c r="B3" s="2" t="s">
        <v>10</v>
      </c>
      <c r="C3" s="2">
        <v>2021</v>
      </c>
      <c r="D3" s="4">
        <v>9153211.3096406423</v>
      </c>
      <c r="E3" s="4">
        <v>158802.14720132999</v>
      </c>
      <c r="F3" s="3">
        <v>2.8137256066412789E-3</v>
      </c>
      <c r="G3" s="3">
        <v>2.4032687441319662E-3</v>
      </c>
    </row>
    <row r="4" spans="1:7" x14ac:dyDescent="0.25">
      <c r="A4" s="2" t="s">
        <v>9</v>
      </c>
      <c r="B4" s="2" t="s">
        <v>10</v>
      </c>
      <c r="C4" s="2">
        <v>2023</v>
      </c>
      <c r="D4" s="4">
        <v>8323850.3002414759</v>
      </c>
      <c r="E4" s="4">
        <v>69747.682037220002</v>
      </c>
      <c r="F4" s="3">
        <v>3.3950559124479012E-3</v>
      </c>
      <c r="G4" s="3">
        <v>9.6936097165093425E-4</v>
      </c>
    </row>
    <row r="5" spans="1:7" x14ac:dyDescent="0.25">
      <c r="A5" s="2" t="s">
        <v>9</v>
      </c>
      <c r="B5" s="2" t="s">
        <v>10</v>
      </c>
      <c r="C5" s="2">
        <v>2024</v>
      </c>
      <c r="D5" s="4">
        <v>7695797.0900557945</v>
      </c>
      <c r="E5" s="4">
        <v>86242.724574749998</v>
      </c>
      <c r="F5" s="3">
        <v>2.8921735657111581E-3</v>
      </c>
      <c r="G5" s="3">
        <v>1.1051378185227779E-3</v>
      </c>
    </row>
    <row r="6" spans="1:7" x14ac:dyDescent="0.25">
      <c r="A6" s="2" t="s">
        <v>11</v>
      </c>
      <c r="B6" s="2" t="s">
        <v>12</v>
      </c>
      <c r="C6" s="2">
        <v>2024</v>
      </c>
      <c r="D6" s="4">
        <v>5034263.5495518269</v>
      </c>
      <c r="E6" s="4">
        <v>65873.429441999993</v>
      </c>
      <c r="F6" s="3">
        <v>2.9423350149191101E-3</v>
      </c>
      <c r="G6" s="3">
        <v>3.4897071466789652E-4</v>
      </c>
    </row>
    <row r="7" spans="1:7" x14ac:dyDescent="0.25">
      <c r="A7" s="2" t="s">
        <v>11</v>
      </c>
      <c r="B7" s="2" t="s">
        <v>12</v>
      </c>
      <c r="C7" s="2">
        <v>2023</v>
      </c>
      <c r="D7" s="4">
        <v>4961117.4365704898</v>
      </c>
      <c r="E7" s="4">
        <v>63209.692581750001</v>
      </c>
      <c r="F7" s="3">
        <v>4.351387458407175E-3</v>
      </c>
      <c r="G7" s="3">
        <v>5.6592795928781631E-4</v>
      </c>
    </row>
    <row r="8" spans="1:7" x14ac:dyDescent="0.25">
      <c r="A8" s="2" t="s">
        <v>11</v>
      </c>
      <c r="B8" s="2" t="s">
        <v>12</v>
      </c>
      <c r="C8" s="2">
        <v>2022</v>
      </c>
      <c r="D8" s="4">
        <v>4783385.1798815951</v>
      </c>
      <c r="E8" s="4">
        <v>64669.840333150009</v>
      </c>
      <c r="F8" s="3">
        <v>2.0954023999737231E-3</v>
      </c>
      <c r="G8" s="3">
        <v>5.9056880507593645E-4</v>
      </c>
    </row>
    <row r="9" spans="1:7" x14ac:dyDescent="0.25">
      <c r="A9" s="2" t="s">
        <v>11</v>
      </c>
      <c r="B9" s="2" t="s">
        <v>12</v>
      </c>
      <c r="C9" s="2">
        <v>2021</v>
      </c>
      <c r="D9" s="4">
        <v>4448196.0441567702</v>
      </c>
      <c r="E9" s="4">
        <v>96473.926682400008</v>
      </c>
      <c r="F9" s="3">
        <v>4.425446074207404E-4</v>
      </c>
      <c r="G9" s="3">
        <v>2.154034060250509E-4</v>
      </c>
    </row>
    <row r="10" spans="1:7" x14ac:dyDescent="0.25">
      <c r="A10" s="2" t="s">
        <v>7</v>
      </c>
      <c r="B10" s="2" t="s">
        <v>8</v>
      </c>
      <c r="C10" s="2">
        <v>2023</v>
      </c>
      <c r="D10" s="4">
        <v>1252686.154182706</v>
      </c>
      <c r="E10" s="4">
        <v>9796.3168782600005</v>
      </c>
      <c r="F10" s="3">
        <v>0.13430184443805829</v>
      </c>
      <c r="G10" s="3">
        <v>5.218380319387952E-4</v>
      </c>
    </row>
    <row r="11" spans="1:7" x14ac:dyDescent="0.25">
      <c r="A11" s="2" t="s">
        <v>7</v>
      </c>
      <c r="B11" s="2" t="s">
        <v>8</v>
      </c>
      <c r="C11" s="2">
        <v>2021</v>
      </c>
      <c r="D11" s="4">
        <v>1194490.274669243</v>
      </c>
      <c r="E11" s="4">
        <v>19231.118310289999</v>
      </c>
      <c r="F11" s="3">
        <v>5.2147019888250969E-3</v>
      </c>
      <c r="G11" s="3">
        <v>4.9058279907476332E-4</v>
      </c>
    </row>
    <row r="12" spans="1:7" x14ac:dyDescent="0.25">
      <c r="A12" s="2" t="s">
        <v>7</v>
      </c>
      <c r="B12" s="2" t="s">
        <v>8</v>
      </c>
      <c r="C12" s="2">
        <v>2024</v>
      </c>
      <c r="D12" s="4">
        <v>1165717.934645507</v>
      </c>
      <c r="E12" s="4">
        <v>8785.8682089999984</v>
      </c>
      <c r="F12" s="3">
        <v>1.025148686019859E-2</v>
      </c>
      <c r="G12" s="3">
        <v>1.7444704536200269E-4</v>
      </c>
    </row>
    <row r="13" spans="1:7" x14ac:dyDescent="0.25">
      <c r="A13" s="2" t="s">
        <v>7</v>
      </c>
      <c r="B13" s="2" t="s">
        <v>8</v>
      </c>
      <c r="C13" s="2">
        <v>2022</v>
      </c>
      <c r="D13" s="4">
        <v>1063712.5319653209</v>
      </c>
      <c r="E13" s="4">
        <v>8180.2586681400007</v>
      </c>
      <c r="F13" s="3">
        <v>1.6866644248961379E-2</v>
      </c>
      <c r="G13" s="3">
        <v>6.3103132179727491E-4</v>
      </c>
    </row>
    <row r="15" spans="1:7" x14ac:dyDescent="0.25">
      <c r="B15" s="5" t="s">
        <v>13</v>
      </c>
      <c r="D15" s="4">
        <f>MEDIAN(D2:D13)</f>
        <v>4872251.3082260424</v>
      </c>
    </row>
    <row r="17" spans="2:7" x14ac:dyDescent="0.25">
      <c r="B17" t="s">
        <v>14</v>
      </c>
      <c r="D17" s="4">
        <f>AVERAGE(D2:D7)</f>
        <v>7517705.0459133228</v>
      </c>
      <c r="E17" s="4">
        <f t="shared" ref="E17:G17" si="0">AVERAGE(E2:E7)</f>
        <v>96921.697321510001</v>
      </c>
      <c r="F17" s="3">
        <f t="shared" si="0"/>
        <v>3.141053942256878E-3</v>
      </c>
      <c r="G17" s="3">
        <f t="shared" si="0"/>
        <v>1.0257590125276369E-3</v>
      </c>
    </row>
    <row r="18" spans="2:7" x14ac:dyDescent="0.25">
      <c r="B18" t="s">
        <v>15</v>
      </c>
      <c r="D18" s="4">
        <f>AVERAGE(D8:D13)</f>
        <v>2318031.3532501906</v>
      </c>
      <c r="E18" s="4">
        <f t="shared" ref="E18:G18" si="1">AVERAGE(E8:E13)</f>
        <v>34522.888180206675</v>
      </c>
      <c r="F18" s="3">
        <f t="shared" si="1"/>
        <v>2.8195437423906299E-2</v>
      </c>
      <c r="G18" s="3">
        <f t="shared" si="1"/>
        <v>4.3731190154563726E-4</v>
      </c>
    </row>
  </sheetData>
  <sortState ref="A2:G13">
    <sortCondition descending="1" ref="D2:D13"/>
  </sortState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2026-05-13T10:45:15Z</dcterms:created>
  <dcterms:modified xsi:type="dcterms:W3CDTF">2026-05-13T10:49:58Z</dcterms:modified>
</cp:coreProperties>
</file>