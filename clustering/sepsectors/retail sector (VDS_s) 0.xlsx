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lbert\.spyder-py3\ITMO-3\clustering\sepsectors\"/>
    </mc:Choice>
  </mc:AlternateContent>
  <bookViews>
    <workbookView xWindow="0" yWindow="0" windowWidth="28800" windowHeight="12885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G50" i="1" l="1"/>
  <c r="F50" i="1"/>
  <c r="E50" i="1"/>
  <c r="D50" i="1"/>
  <c r="G49" i="1"/>
  <c r="G52" i="1" s="1"/>
  <c r="F49" i="1"/>
  <c r="F52" i="1" s="1"/>
  <c r="E49" i="1"/>
  <c r="E52" i="1" s="1"/>
  <c r="D49" i="1"/>
  <c r="D52" i="1" s="1"/>
  <c r="G41" i="1"/>
  <c r="G39" i="1"/>
  <c r="F39" i="1"/>
  <c r="E39" i="1"/>
  <c r="D39" i="1"/>
  <c r="G38" i="1"/>
  <c r="F38" i="1"/>
  <c r="F41" i="1" s="1"/>
  <c r="E38" i="1"/>
  <c r="E41" i="1" s="1"/>
  <c r="D38" i="1"/>
  <c r="D41" i="1" s="1"/>
  <c r="G28" i="1"/>
  <c r="G30" i="1" s="1"/>
  <c r="F28" i="1"/>
  <c r="E28" i="1"/>
  <c r="D28" i="1"/>
  <c r="G27" i="1"/>
  <c r="F27" i="1"/>
  <c r="F30" i="1" s="1"/>
  <c r="E27" i="1"/>
  <c r="E30" i="1" s="1"/>
  <c r="D27" i="1"/>
  <c r="D30" i="1" s="1"/>
  <c r="G18" i="1" l="1"/>
  <c r="F18" i="1"/>
  <c r="E18" i="1"/>
  <c r="D18" i="1"/>
  <c r="G17" i="1"/>
  <c r="F17" i="1"/>
  <c r="E17" i="1"/>
  <c r="D17" i="1"/>
  <c r="D15" i="1"/>
</calcChain>
</file>

<file path=xl/sharedStrings.xml><?xml version="1.0" encoding="utf-8"?>
<sst xmlns="http://schemas.openxmlformats.org/spreadsheetml/2006/main" count="88" uniqueCount="17">
  <si>
    <t>sector</t>
  </si>
  <si>
    <t>okved2</t>
  </si>
  <si>
    <t>year</t>
  </si>
  <si>
    <t>VDS_s</t>
  </si>
  <si>
    <t>ITcosts_s</t>
  </si>
  <si>
    <t>skvozcosts_s</t>
  </si>
  <si>
    <t>trainingcosts_s</t>
  </si>
  <si>
    <t>Торговля оптовая и розничная автотранспортными средствами и мотоциклами и их ремонт</t>
  </si>
  <si>
    <t>45</t>
  </si>
  <si>
    <t>Торговля оптовая,  кроме оптовой торговли автотранспортными средствами и мотоциклами</t>
  </si>
  <si>
    <t>46</t>
  </si>
  <si>
    <t>Торговля розничная, кроме торговли автотранспортными средствами и мотоциклами</t>
  </si>
  <si>
    <t>47</t>
  </si>
  <si>
    <t>медиана ВДС:</t>
  </si>
  <si>
    <t>верхний кластер:</t>
  </si>
  <si>
    <t>нижний кластер:</t>
  </si>
  <si>
    <t>разница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</si>
</sst>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00%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  <charset val="204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  <xf numFmtId="164" fontId="0" fillId="0" borderId="0" xfId="1" applyNumberFormat="1" applyFont="1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3" fillId="0" borderId="0" xfId="0" applyFont="1"/>
  </cellXfs>
  <cellStyles count="2">
    <cellStyle name="Обычный" xfId="0" builtinId="0"/>
    <cellStyle name="Процентный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52"/>
  <sheetViews>
    <sheetView tabSelected="1" workbookViewId="0">
      <selection activeCell="J18" sqref="J18"/>
    </sheetView>
  </sheetViews>
  <sheetFormatPr defaultRowHeight="15" x14ac:dyDescent="0.25"/>
  <cols>
    <col min="1" max="1" width="93" customWidth="1"/>
    <col min="4" max="4" width="14.85546875" customWidth="1"/>
    <col min="5" max="5" width="13" customWidth="1"/>
    <col min="6" max="6" width="13.5703125" customWidth="1"/>
    <col min="7" max="7" width="14.42578125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 s="2" t="s">
        <v>9</v>
      </c>
      <c r="B2" s="2" t="s">
        <v>10</v>
      </c>
      <c r="C2" s="2">
        <v>2022</v>
      </c>
      <c r="D2" s="4">
        <v>9937990.5894197039</v>
      </c>
      <c r="E2" s="4">
        <v>137654.50809200999</v>
      </c>
      <c r="F2" s="3">
        <v>2.451646095414645E-3</v>
      </c>
      <c r="G2" s="3">
        <v>7.6188786690442915E-4</v>
      </c>
    </row>
    <row r="3" spans="1:7" x14ac:dyDescent="0.25">
      <c r="A3" s="2" t="s">
        <v>9</v>
      </c>
      <c r="B3" s="2" t="s">
        <v>10</v>
      </c>
      <c r="C3" s="2">
        <v>2021</v>
      </c>
      <c r="D3" s="4">
        <v>9153211.3096406423</v>
      </c>
      <c r="E3" s="4">
        <v>158802.14720132999</v>
      </c>
      <c r="F3" s="3">
        <v>2.8137256066412789E-3</v>
      </c>
      <c r="G3" s="3">
        <v>2.4032687441319662E-3</v>
      </c>
    </row>
    <row r="4" spans="1:7" x14ac:dyDescent="0.25">
      <c r="A4" s="2" t="s">
        <v>9</v>
      </c>
      <c r="B4" s="2" t="s">
        <v>10</v>
      </c>
      <c r="C4" s="2">
        <v>2023</v>
      </c>
      <c r="D4" s="4">
        <v>8323850.3002414759</v>
      </c>
      <c r="E4" s="4">
        <v>69747.682037220002</v>
      </c>
      <c r="F4" s="3">
        <v>3.3950559124479012E-3</v>
      </c>
      <c r="G4" s="3">
        <v>9.6936097165093425E-4</v>
      </c>
    </row>
    <row r="5" spans="1:7" x14ac:dyDescent="0.25">
      <c r="A5" s="2" t="s">
        <v>9</v>
      </c>
      <c r="B5" s="2" t="s">
        <v>10</v>
      </c>
      <c r="C5" s="2">
        <v>2024</v>
      </c>
      <c r="D5" s="4">
        <v>7695797.0900557945</v>
      </c>
      <c r="E5" s="4">
        <v>86242.724574749998</v>
      </c>
      <c r="F5" s="3">
        <v>2.8921735657111581E-3</v>
      </c>
      <c r="G5" s="3">
        <v>1.1051378185227779E-3</v>
      </c>
    </row>
    <row r="6" spans="1:7" x14ac:dyDescent="0.25">
      <c r="A6" s="2" t="s">
        <v>11</v>
      </c>
      <c r="B6" s="2" t="s">
        <v>12</v>
      </c>
      <c r="C6" s="2">
        <v>2024</v>
      </c>
      <c r="D6" s="4">
        <v>5034263.5495518269</v>
      </c>
      <c r="E6" s="4">
        <v>65873.429441999993</v>
      </c>
      <c r="F6" s="3">
        <v>2.9423350149191101E-3</v>
      </c>
      <c r="G6" s="3">
        <v>3.4897071466789652E-4</v>
      </c>
    </row>
    <row r="7" spans="1:7" x14ac:dyDescent="0.25">
      <c r="A7" s="2" t="s">
        <v>11</v>
      </c>
      <c r="B7" s="2" t="s">
        <v>12</v>
      </c>
      <c r="C7" s="2">
        <v>2023</v>
      </c>
      <c r="D7" s="4">
        <v>4961117.4365704898</v>
      </c>
      <c r="E7" s="4">
        <v>63209.692581750001</v>
      </c>
      <c r="F7" s="3">
        <v>4.351387458407175E-3</v>
      </c>
      <c r="G7" s="3">
        <v>5.6592795928781631E-4</v>
      </c>
    </row>
    <row r="8" spans="1:7" x14ac:dyDescent="0.25">
      <c r="A8" s="2" t="s">
        <v>11</v>
      </c>
      <c r="B8" s="2" t="s">
        <v>12</v>
      </c>
      <c r="C8" s="2">
        <v>2022</v>
      </c>
      <c r="D8" s="4">
        <v>4783385.1798815951</v>
      </c>
      <c r="E8" s="4">
        <v>64669.840333150009</v>
      </c>
      <c r="F8" s="3">
        <v>2.0954023999737231E-3</v>
      </c>
      <c r="G8" s="3">
        <v>5.9056880507593645E-4</v>
      </c>
    </row>
    <row r="9" spans="1:7" x14ac:dyDescent="0.25">
      <c r="A9" s="2" t="s">
        <v>11</v>
      </c>
      <c r="B9" s="2" t="s">
        <v>12</v>
      </c>
      <c r="C9" s="2">
        <v>2021</v>
      </c>
      <c r="D9" s="4">
        <v>4448196.0441567702</v>
      </c>
      <c r="E9" s="4">
        <v>96473.926682400008</v>
      </c>
      <c r="F9" s="3">
        <v>4.425446074207404E-4</v>
      </c>
      <c r="G9" s="3">
        <v>2.154034060250509E-4</v>
      </c>
    </row>
    <row r="10" spans="1:7" x14ac:dyDescent="0.25">
      <c r="A10" s="2" t="s">
        <v>7</v>
      </c>
      <c r="B10" s="2" t="s">
        <v>8</v>
      </c>
      <c r="C10" s="2">
        <v>2023</v>
      </c>
      <c r="D10" s="4">
        <v>1252686.154182706</v>
      </c>
      <c r="E10" s="4">
        <v>9796.3168782600005</v>
      </c>
      <c r="F10" s="3">
        <v>0.13430184443805829</v>
      </c>
      <c r="G10" s="3">
        <v>5.218380319387952E-4</v>
      </c>
    </row>
    <row r="11" spans="1:7" x14ac:dyDescent="0.25">
      <c r="A11" s="2" t="s">
        <v>7</v>
      </c>
      <c r="B11" s="2" t="s">
        <v>8</v>
      </c>
      <c r="C11" s="2">
        <v>2021</v>
      </c>
      <c r="D11" s="4">
        <v>1194490.274669243</v>
      </c>
      <c r="E11" s="4">
        <v>19231.118310289999</v>
      </c>
      <c r="F11" s="3">
        <v>5.2147019888250969E-3</v>
      </c>
      <c r="G11" s="3">
        <v>4.9058279907476332E-4</v>
      </c>
    </row>
    <row r="12" spans="1:7" x14ac:dyDescent="0.25">
      <c r="A12" s="2" t="s">
        <v>7</v>
      </c>
      <c r="B12" s="2" t="s">
        <v>8</v>
      </c>
      <c r="C12" s="2">
        <v>2024</v>
      </c>
      <c r="D12" s="4">
        <v>1165717.934645507</v>
      </c>
      <c r="E12" s="4">
        <v>8785.8682089999984</v>
      </c>
      <c r="F12" s="3">
        <v>1.025148686019859E-2</v>
      </c>
      <c r="G12" s="3">
        <v>1.7444704536200269E-4</v>
      </c>
    </row>
    <row r="13" spans="1:7" x14ac:dyDescent="0.25">
      <c r="A13" s="2" t="s">
        <v>7</v>
      </c>
      <c r="B13" s="2" t="s">
        <v>8</v>
      </c>
      <c r="C13" s="2">
        <v>2022</v>
      </c>
      <c r="D13" s="4">
        <v>1063712.5319653209</v>
      </c>
      <c r="E13" s="4">
        <v>8180.2586681400007</v>
      </c>
      <c r="F13" s="3">
        <v>1.6866644248961379E-2</v>
      </c>
      <c r="G13" s="3">
        <v>6.3103132179727491E-4</v>
      </c>
    </row>
    <row r="15" spans="1:7" x14ac:dyDescent="0.25">
      <c r="B15" s="5" t="s">
        <v>13</v>
      </c>
      <c r="D15" s="4">
        <f>MEDIAN(D2:D13)</f>
        <v>4872251.3082260424</v>
      </c>
    </row>
    <row r="17" spans="1:7" x14ac:dyDescent="0.25">
      <c r="B17" t="s">
        <v>14</v>
      </c>
      <c r="D17" s="4">
        <f>AVERAGE(D2:D7)</f>
        <v>7517705.0459133228</v>
      </c>
      <c r="E17" s="4">
        <f t="shared" ref="E17:G17" si="0">AVERAGE(E2:E7)</f>
        <v>96921.697321510001</v>
      </c>
      <c r="F17" s="3">
        <f t="shared" si="0"/>
        <v>3.141053942256878E-3</v>
      </c>
      <c r="G17" s="3">
        <f t="shared" si="0"/>
        <v>1.0257590125276369E-3</v>
      </c>
    </row>
    <row r="18" spans="1:7" x14ac:dyDescent="0.25">
      <c r="B18" t="s">
        <v>15</v>
      </c>
      <c r="D18" s="4">
        <f>AVERAGE(D8:D13)</f>
        <v>2318031.3532501906</v>
      </c>
      <c r="E18" s="4">
        <f t="shared" ref="E18:G18" si="1">AVERAGE(E8:E13)</f>
        <v>34522.888180206675</v>
      </c>
      <c r="F18" s="3">
        <f t="shared" si="1"/>
        <v>2.8195437423906299E-2</v>
      </c>
      <c r="G18" s="3">
        <f t="shared" si="1"/>
        <v>4.3731190154563726E-4</v>
      </c>
    </row>
    <row r="21" spans="1:7" x14ac:dyDescent="0.25">
      <c r="A21" s="1" t="s">
        <v>0</v>
      </c>
      <c r="B21" s="1" t="s">
        <v>1</v>
      </c>
      <c r="C21" s="1" t="s">
        <v>2</v>
      </c>
      <c r="D21" s="1" t="s">
        <v>3</v>
      </c>
      <c r="E21" s="1" t="s">
        <v>4</v>
      </c>
      <c r="F21" s="1" t="s">
        <v>5</v>
      </c>
      <c r="G21" s="1" t="s">
        <v>6</v>
      </c>
    </row>
    <row r="22" spans="1:7" x14ac:dyDescent="0.25">
      <c r="A22" s="2" t="s">
        <v>7</v>
      </c>
      <c r="B22" s="2" t="s">
        <v>8</v>
      </c>
      <c r="C22" s="2">
        <v>2023</v>
      </c>
      <c r="D22" s="4">
        <v>1252686.154182706</v>
      </c>
      <c r="E22" s="4">
        <v>9796.3168782600005</v>
      </c>
      <c r="F22" s="3">
        <v>0.13430184443805829</v>
      </c>
      <c r="G22" s="3">
        <v>5.218380319387952E-4</v>
      </c>
    </row>
    <row r="23" spans="1:7" x14ac:dyDescent="0.25">
      <c r="A23" s="2" t="s">
        <v>7</v>
      </c>
      <c r="B23" s="2" t="s">
        <v>8</v>
      </c>
      <c r="C23" s="2">
        <v>2021</v>
      </c>
      <c r="D23" s="4">
        <v>1194490.274669243</v>
      </c>
      <c r="E23" s="4">
        <v>19231.118310289999</v>
      </c>
      <c r="F23" s="3">
        <v>5.2147019888250969E-3</v>
      </c>
      <c r="G23" s="3">
        <v>4.9058279907476332E-4</v>
      </c>
    </row>
    <row r="24" spans="1:7" x14ac:dyDescent="0.25">
      <c r="A24" s="2" t="s">
        <v>7</v>
      </c>
      <c r="B24" s="2" t="s">
        <v>8</v>
      </c>
      <c r="C24" s="2">
        <v>2024</v>
      </c>
      <c r="D24" s="4">
        <v>1165717.934645507</v>
      </c>
      <c r="E24" s="4">
        <v>8785.8682089999984</v>
      </c>
      <c r="F24" s="3">
        <v>1.025148686019859E-2</v>
      </c>
      <c r="G24" s="3">
        <v>1.7444704536200269E-4</v>
      </c>
    </row>
    <row r="25" spans="1:7" x14ac:dyDescent="0.25">
      <c r="A25" s="2" t="s">
        <v>7</v>
      </c>
      <c r="B25" s="2" t="s">
        <v>8</v>
      </c>
      <c r="C25" s="2">
        <v>2022</v>
      </c>
      <c r="D25" s="4">
        <v>1063712.5319653209</v>
      </c>
      <c r="E25" s="4">
        <v>8180.2586681400007</v>
      </c>
      <c r="F25" s="3">
        <v>1.6866644248961379E-2</v>
      </c>
      <c r="G25" s="3">
        <v>6.3103132179727491E-4</v>
      </c>
    </row>
    <row r="27" spans="1:7" x14ac:dyDescent="0.25">
      <c r="B27" s="6" t="s">
        <v>14</v>
      </c>
      <c r="D27" s="4">
        <f>AVERAGE(D22:D23)</f>
        <v>1223588.2144259745</v>
      </c>
      <c r="E27" s="4">
        <f t="shared" ref="E27:G27" si="2">AVERAGE(E22:E23)</f>
        <v>14513.717594275</v>
      </c>
      <c r="F27" s="3">
        <f t="shared" si="2"/>
        <v>6.9758273213441691E-2</v>
      </c>
      <c r="G27" s="3">
        <f t="shared" si="2"/>
        <v>5.0621041550677926E-4</v>
      </c>
    </row>
    <row r="28" spans="1:7" x14ac:dyDescent="0.25">
      <c r="B28" s="6" t="s">
        <v>15</v>
      </c>
      <c r="D28" s="4">
        <f>AVERAGE(D24:D25)</f>
        <v>1114715.233305414</v>
      </c>
      <c r="E28" s="4">
        <f t="shared" ref="E28:G28" si="3">AVERAGE(E24:E25)</f>
        <v>8483.0634385699996</v>
      </c>
      <c r="F28" s="3">
        <f t="shared" si="3"/>
        <v>1.3559065554579985E-2</v>
      </c>
      <c r="G28" s="3">
        <f t="shared" si="3"/>
        <v>4.0273918357963879E-4</v>
      </c>
    </row>
    <row r="30" spans="1:7" x14ac:dyDescent="0.25">
      <c r="C30" s="6" t="s">
        <v>16</v>
      </c>
      <c r="D30" s="4">
        <f>D27/D28</f>
        <v>1.0976688735092679</v>
      </c>
      <c r="E30" s="4">
        <f t="shared" ref="E30:G30" si="4">E27/E28</f>
        <v>1.7109052289159346</v>
      </c>
      <c r="F30" s="4">
        <f t="shared" si="4"/>
        <v>5.1447699646144658</v>
      </c>
      <c r="G30" s="4">
        <f t="shared" si="4"/>
        <v>1.2569187110314528</v>
      </c>
    </row>
    <row r="32" spans="1:7" x14ac:dyDescent="0.25">
      <c r="A32" s="1" t="s">
        <v>0</v>
      </c>
      <c r="B32" s="1" t="s">
        <v>1</v>
      </c>
      <c r="C32" s="1" t="s">
        <v>2</v>
      </c>
      <c r="D32" s="1" t="s">
        <v>3</v>
      </c>
      <c r="E32" s="1" t="s">
        <v>4</v>
      </c>
      <c r="F32" s="1" t="s">
        <v>5</v>
      </c>
      <c r="G32" s="1" t="s">
        <v>6</v>
      </c>
    </row>
    <row r="33" spans="1:7" x14ac:dyDescent="0.25">
      <c r="A33" s="2" t="s">
        <v>9</v>
      </c>
      <c r="B33" s="2" t="s">
        <v>10</v>
      </c>
      <c r="C33" s="2">
        <v>2022</v>
      </c>
      <c r="D33" s="4">
        <v>9937990.5894197039</v>
      </c>
      <c r="E33" s="4">
        <v>137654.50809200999</v>
      </c>
      <c r="F33" s="3">
        <v>2.451646095414645E-3</v>
      </c>
      <c r="G33" s="3">
        <v>7.6188786690442915E-4</v>
      </c>
    </row>
    <row r="34" spans="1:7" x14ac:dyDescent="0.25">
      <c r="A34" s="2" t="s">
        <v>9</v>
      </c>
      <c r="B34" s="2" t="s">
        <v>10</v>
      </c>
      <c r="C34" s="2">
        <v>2021</v>
      </c>
      <c r="D34" s="4">
        <v>9153211.3096406423</v>
      </c>
      <c r="E34" s="4">
        <v>158802.14720132999</v>
      </c>
      <c r="F34" s="3">
        <v>2.8137256066412789E-3</v>
      </c>
      <c r="G34" s="3">
        <v>2.4032687441319662E-3</v>
      </c>
    </row>
    <row r="35" spans="1:7" x14ac:dyDescent="0.25">
      <c r="A35" s="2" t="s">
        <v>9</v>
      </c>
      <c r="B35" s="2" t="s">
        <v>10</v>
      </c>
      <c r="C35" s="2">
        <v>2023</v>
      </c>
      <c r="D35" s="4">
        <v>8323850.3002414759</v>
      </c>
      <c r="E35" s="4">
        <v>69747.682037220002</v>
      </c>
      <c r="F35" s="3">
        <v>3.3950559124479012E-3</v>
      </c>
      <c r="G35" s="3">
        <v>9.6936097165093425E-4</v>
      </c>
    </row>
    <row r="36" spans="1:7" x14ac:dyDescent="0.25">
      <c r="A36" s="2" t="s">
        <v>9</v>
      </c>
      <c r="B36" s="2" t="s">
        <v>10</v>
      </c>
      <c r="C36" s="2">
        <v>2024</v>
      </c>
      <c r="D36" s="4">
        <v>7695797.0900557945</v>
      </c>
      <c r="E36" s="4">
        <v>86242.724574749998</v>
      </c>
      <c r="F36" s="3">
        <v>2.8921735657111581E-3</v>
      </c>
      <c r="G36" s="3">
        <v>1.1051378185227779E-3</v>
      </c>
    </row>
    <row r="38" spans="1:7" x14ac:dyDescent="0.25">
      <c r="B38" s="6" t="s">
        <v>14</v>
      </c>
      <c r="D38" s="4">
        <f>AVERAGE(D33:D34)</f>
        <v>9545600.9495301731</v>
      </c>
      <c r="E38" s="4">
        <f t="shared" ref="E38:G38" si="5">AVERAGE(E33:E34)</f>
        <v>148228.32764666999</v>
      </c>
      <c r="F38" s="3">
        <f t="shared" si="5"/>
        <v>2.6326858510279617E-3</v>
      </c>
      <c r="G38" s="3">
        <f t="shared" si="5"/>
        <v>1.5825783055181976E-3</v>
      </c>
    </row>
    <row r="39" spans="1:7" x14ac:dyDescent="0.25">
      <c r="B39" s="6" t="s">
        <v>15</v>
      </c>
      <c r="D39" s="4">
        <f>AVERAGE(D35:D36)</f>
        <v>8009823.6951486357</v>
      </c>
      <c r="E39" s="4">
        <f t="shared" ref="E39:G39" si="6">AVERAGE(E35:E36)</f>
        <v>77995.203305984993</v>
      </c>
      <c r="F39" s="3">
        <f t="shared" si="6"/>
        <v>3.1436147390795297E-3</v>
      </c>
      <c r="G39" s="3">
        <f t="shared" si="6"/>
        <v>1.0372493950868561E-3</v>
      </c>
    </row>
    <row r="41" spans="1:7" x14ac:dyDescent="0.25">
      <c r="C41" s="6" t="s">
        <v>16</v>
      </c>
      <c r="D41" s="4">
        <f>D38/D39</f>
        <v>1.1917367114224651</v>
      </c>
      <c r="E41" s="4">
        <f t="shared" ref="E41:G41" si="7">E38/E39</f>
        <v>1.9004800470248358</v>
      </c>
      <c r="F41" s="4">
        <f t="shared" si="7"/>
        <v>0.8374708956221617</v>
      </c>
      <c r="G41" s="4">
        <f t="shared" si="7"/>
        <v>1.5257452190518532</v>
      </c>
    </row>
    <row r="43" spans="1:7" x14ac:dyDescent="0.25">
      <c r="A43" s="1" t="s">
        <v>0</v>
      </c>
      <c r="B43" s="1" t="s">
        <v>1</v>
      </c>
      <c r="C43" s="1" t="s">
        <v>2</v>
      </c>
      <c r="D43" s="1" t="s">
        <v>3</v>
      </c>
      <c r="E43" s="1" t="s">
        <v>4</v>
      </c>
      <c r="F43" s="1" t="s">
        <v>5</v>
      </c>
      <c r="G43" s="1" t="s">
        <v>6</v>
      </c>
    </row>
    <row r="44" spans="1:7" x14ac:dyDescent="0.25">
      <c r="A44" s="2" t="s">
        <v>11</v>
      </c>
      <c r="B44" s="2" t="s">
        <v>12</v>
      </c>
      <c r="C44" s="2">
        <v>2024</v>
      </c>
      <c r="D44" s="4">
        <v>5034263.5495518269</v>
      </c>
      <c r="E44" s="4">
        <v>65873.429441999993</v>
      </c>
      <c r="F44" s="3">
        <v>2.9423350149191101E-3</v>
      </c>
      <c r="G44" s="3">
        <v>3.4897071466789652E-4</v>
      </c>
    </row>
    <row r="45" spans="1:7" x14ac:dyDescent="0.25">
      <c r="A45" s="2" t="s">
        <v>11</v>
      </c>
      <c r="B45" s="2" t="s">
        <v>12</v>
      </c>
      <c r="C45" s="2">
        <v>2023</v>
      </c>
      <c r="D45" s="4">
        <v>4961117.4365704898</v>
      </c>
      <c r="E45" s="4">
        <v>63209.692581750001</v>
      </c>
      <c r="F45" s="3">
        <v>4.351387458407175E-3</v>
      </c>
      <c r="G45" s="3">
        <v>5.6592795928781631E-4</v>
      </c>
    </row>
    <row r="46" spans="1:7" x14ac:dyDescent="0.25">
      <c r="A46" s="2" t="s">
        <v>11</v>
      </c>
      <c r="B46" s="2" t="s">
        <v>12</v>
      </c>
      <c r="C46" s="2">
        <v>2022</v>
      </c>
      <c r="D46" s="4">
        <v>4783385.1798815951</v>
      </c>
      <c r="E46" s="4">
        <v>64669.840333150009</v>
      </c>
      <c r="F46" s="3">
        <v>2.0954023999737231E-3</v>
      </c>
      <c r="G46" s="3">
        <v>5.9056880507593645E-4</v>
      </c>
    </row>
    <row r="47" spans="1:7" x14ac:dyDescent="0.25">
      <c r="A47" s="2" t="s">
        <v>11</v>
      </c>
      <c r="B47" s="2" t="s">
        <v>12</v>
      </c>
      <c r="C47" s="2">
        <v>2021</v>
      </c>
      <c r="D47" s="4">
        <v>4448196.0441567702</v>
      </c>
      <c r="E47" s="4">
        <v>96473.926682400008</v>
      </c>
      <c r="F47" s="3">
        <v>4.425446074207404E-4</v>
      </c>
      <c r="G47" s="3">
        <v>2.154034060250509E-4</v>
      </c>
    </row>
    <row r="49" spans="2:7" x14ac:dyDescent="0.25">
      <c r="B49" s="6" t="s">
        <v>14</v>
      </c>
      <c r="D49" s="4">
        <f>AVERAGE(D44:D45)</f>
        <v>4997690.4930611588</v>
      </c>
      <c r="E49" s="4">
        <f t="shared" ref="E49:G49" si="8">AVERAGE(E44:E45)</f>
        <v>64541.561011874997</v>
      </c>
      <c r="F49" s="3">
        <f t="shared" si="8"/>
        <v>3.6468612366631426E-3</v>
      </c>
      <c r="G49" s="3">
        <f t="shared" si="8"/>
        <v>4.5744933697785639E-4</v>
      </c>
    </row>
    <row r="50" spans="2:7" x14ac:dyDescent="0.25">
      <c r="B50" s="6" t="s">
        <v>15</v>
      </c>
      <c r="D50" s="4">
        <f>AVERAGE(D46:D47)</f>
        <v>4615790.6120191831</v>
      </c>
      <c r="E50" s="4">
        <f t="shared" ref="E50:G50" si="9">AVERAGE(E46:E47)</f>
        <v>80571.883507775012</v>
      </c>
      <c r="F50" s="3">
        <f t="shared" si="9"/>
        <v>1.2689735036972318E-3</v>
      </c>
      <c r="G50" s="3">
        <f t="shared" si="9"/>
        <v>4.0298610555049367E-4</v>
      </c>
    </row>
    <row r="52" spans="2:7" x14ac:dyDescent="0.25">
      <c r="C52" s="6" t="s">
        <v>16</v>
      </c>
      <c r="D52" s="4">
        <f>D49/D50</f>
        <v>1.0827376961267559</v>
      </c>
      <c r="E52" s="4">
        <f t="shared" ref="E52:G52" si="10">E49/E50</f>
        <v>0.80104322006630113</v>
      </c>
      <c r="F52" s="4">
        <f t="shared" si="10"/>
        <v>2.8738671264906555</v>
      </c>
      <c r="G52" s="4">
        <f t="shared" si="10"/>
        <v>1.1351491544676557</v>
      </c>
    </row>
  </sheetData>
  <sortState ref="A22:G25">
    <sortCondition descending="1" ref="D22:D25"/>
  </sortState>
  <conditionalFormatting sqref="D2:D13">
    <cfRule type="colorScale" priority="3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:E13">
    <cfRule type="colorScale" priority="3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:F13">
    <cfRule type="colorScale" priority="3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:G13">
    <cfRule type="colorScale" priority="2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7:D18">
    <cfRule type="colorScale" priority="2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7:E18">
    <cfRule type="colorScale" priority="2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7:F18">
    <cfRule type="colorScale" priority="2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7:G18">
    <cfRule type="colorScale" priority="2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2:D25">
    <cfRule type="colorScale" priority="2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2:E25">
    <cfRule type="colorScale" priority="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2:F25">
    <cfRule type="colorScale" priority="2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2:G25">
    <cfRule type="colorScale" priority="2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7:D28">
    <cfRule type="colorScale" priority="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7:E28">
    <cfRule type="colorScale" priority="1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7:F28">
    <cfRule type="colorScale" priority="1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7:G28">
    <cfRule type="colorScale" priority="1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3:D36">
    <cfRule type="colorScale" priority="1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3:E36">
    <cfRule type="colorScale" priority="1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3:F36">
    <cfRule type="colorScale" priority="1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3:G36">
    <cfRule type="colorScale" priority="1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8:D39">
    <cfRule type="colorScale" priority="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8:E39">
    <cfRule type="colorScale" priority="1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8:F39">
    <cfRule type="colorScale" priority="1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8:G39">
    <cfRule type="colorScale" priority="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44:D47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44:E47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44:F47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44:G47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49:D50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49:E50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49:F50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49:G50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Albert</cp:lastModifiedBy>
  <dcterms:created xsi:type="dcterms:W3CDTF">2026-05-13T10:45:15Z</dcterms:created>
  <dcterms:modified xsi:type="dcterms:W3CDTF">2026-05-22T09:08:45Z</dcterms:modified>
</cp:coreProperties>
</file>