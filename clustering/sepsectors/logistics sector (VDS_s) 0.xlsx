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clustering\sepsectors\"/>
    </mc:Choice>
  </mc:AlternateContent>
  <bookViews>
    <workbookView xWindow="0" yWindow="0" windowWidth="28800" windowHeight="1288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L83" i="1" l="1"/>
  <c r="K83" i="1"/>
  <c r="L59" i="1"/>
  <c r="K59" i="1"/>
  <c r="G60" i="1" l="1"/>
  <c r="G61" i="1"/>
  <c r="G62" i="1"/>
  <c r="G59" i="1"/>
  <c r="F60" i="1"/>
  <c r="F61" i="1"/>
  <c r="F62" i="1"/>
  <c r="F59" i="1"/>
  <c r="E60" i="1"/>
  <c r="E61" i="1"/>
  <c r="E62" i="1"/>
  <c r="E59" i="1"/>
  <c r="C60" i="1"/>
  <c r="C61" i="1"/>
  <c r="C62" i="1"/>
  <c r="C59" i="1"/>
  <c r="D60" i="1"/>
  <c r="D61" i="1"/>
  <c r="D62" i="1"/>
  <c r="D59" i="1"/>
  <c r="G57" i="1"/>
  <c r="F57" i="1"/>
  <c r="E57" i="1"/>
  <c r="D57" i="1"/>
  <c r="C57" i="1"/>
  <c r="C36" i="1"/>
  <c r="C37" i="1"/>
  <c r="C38" i="1"/>
  <c r="C35" i="1"/>
  <c r="G36" i="1"/>
  <c r="G37" i="1"/>
  <c r="G38" i="1"/>
  <c r="G35" i="1"/>
  <c r="F36" i="1"/>
  <c r="F37" i="1"/>
  <c r="F38" i="1"/>
  <c r="F35" i="1"/>
  <c r="E36" i="1"/>
  <c r="E37" i="1"/>
  <c r="E38" i="1"/>
  <c r="E35" i="1"/>
  <c r="D36" i="1"/>
  <c r="D37" i="1"/>
  <c r="D38" i="1"/>
  <c r="D35" i="1"/>
  <c r="G33" i="1"/>
  <c r="F33" i="1"/>
  <c r="E33" i="1"/>
  <c r="D33" i="1"/>
  <c r="C33" i="1"/>
  <c r="G53" i="1" l="1"/>
  <c r="F53" i="1"/>
  <c r="E53" i="1"/>
  <c r="D53" i="1"/>
  <c r="G52" i="1"/>
  <c r="G55" i="1" s="1"/>
  <c r="F52" i="1"/>
  <c r="F55" i="1" s="1"/>
  <c r="E52" i="1"/>
  <c r="E55" i="1" s="1"/>
  <c r="D52" i="1"/>
  <c r="D55" i="1" s="1"/>
  <c r="G29" i="1"/>
  <c r="F29" i="1"/>
  <c r="E29" i="1"/>
  <c r="D29" i="1"/>
  <c r="G28" i="1"/>
  <c r="G31" i="1" s="1"/>
  <c r="F28" i="1"/>
  <c r="F31" i="1" s="1"/>
  <c r="E28" i="1"/>
  <c r="E31" i="1" s="1"/>
  <c r="D28" i="1"/>
  <c r="D31" i="1" s="1"/>
  <c r="E20" i="1" l="1"/>
  <c r="F20" i="1"/>
  <c r="D20" i="1"/>
  <c r="G18" i="1"/>
  <c r="G20" i="1" s="1"/>
  <c r="F18" i="1"/>
  <c r="E18" i="1"/>
  <c r="D18" i="1"/>
  <c r="G17" i="1"/>
  <c r="F17" i="1"/>
  <c r="E17" i="1"/>
  <c r="D17" i="1"/>
  <c r="D15" i="1"/>
</calcChain>
</file>

<file path=xl/sharedStrings.xml><?xml version="1.0" encoding="utf-8"?>
<sst xmlns="http://schemas.openxmlformats.org/spreadsheetml/2006/main" count="97" uniqueCount="24">
  <si>
    <t>sector</t>
  </si>
  <si>
    <t>okved2</t>
  </si>
  <si>
    <t>year</t>
  </si>
  <si>
    <t>VDS_s</t>
  </si>
  <si>
    <t>ITcosts_s</t>
  </si>
  <si>
    <t>skvozcosts_s</t>
  </si>
  <si>
    <t>trainingcosts_s</t>
  </si>
  <si>
    <t>Деятельность сухопутного и трубопроводного транспорта</t>
  </si>
  <si>
    <t>49</t>
  </si>
  <si>
    <t>Деятельность водного транспорта</t>
  </si>
  <si>
    <t>50</t>
  </si>
  <si>
    <t>Деятельность воздушного и космического транспорта</t>
  </si>
  <si>
    <t>51</t>
  </si>
  <si>
    <t>Складское хозяйство и вспомогательная транспортная деятельность</t>
  </si>
  <si>
    <t>52</t>
  </si>
  <si>
    <t>Деятельность почтовой связи и курьерская деятельность</t>
  </si>
  <si>
    <t>53</t>
  </si>
  <si>
    <t>медиана ВДС:</t>
  </si>
  <si>
    <t>верхний кластер:</t>
  </si>
  <si>
    <t>нижний кластер:</t>
  </si>
  <si>
    <t>разница</t>
  </si>
  <si>
    <t>Year</t>
  </si>
  <si>
    <t>best</t>
  </si>
  <si>
    <t>worst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</si>
</sst>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49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Sheet1!$C$41</c:f>
              <c:strCache>
                <c:ptCount val="1"/>
                <c:pt idx="0">
                  <c:v>0,88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Sheet1!$D$40:$G$40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Sheet1!$D$41:$G$41</c:f>
              <c:numCache>
                <c:formatCode>General</c:formatCode>
                <c:ptCount val="4"/>
                <c:pt idx="0">
                  <c:v>0.25</c:v>
                </c:pt>
                <c:pt idx="1">
                  <c:v>0.53370131888481798</c:v>
                </c:pt>
                <c:pt idx="2">
                  <c:v>1</c:v>
                </c:pt>
                <c:pt idx="3">
                  <c:v>0.84840276317908003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CE-4548-8440-409DB84FEE50}"/>
            </c:ext>
          </c:extLst>
        </c:ser>
        <c:ser>
          <c:idx val="3"/>
          <c:order val="1"/>
          <c:tx>
            <c:strRef>
              <c:f>Sheet1!$C$44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Sheet1!$D$40:$G$40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Sheet1!$D$44:$G$44</c:f>
              <c:numCache>
                <c:formatCode>General</c:formatCode>
                <c:ptCount val="4"/>
                <c:pt idx="0">
                  <c:v>0.75</c:v>
                </c:pt>
                <c:pt idx="1">
                  <c:v>1</c:v>
                </c:pt>
                <c:pt idx="2">
                  <c:v>0.13318499488439112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CE-4548-8440-409DB84FE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52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Sheet1!$C$65</c:f>
              <c:strCache>
                <c:ptCount val="1"/>
                <c:pt idx="0">
                  <c:v>0,84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Sheet1!$D$40:$G$40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Sheet1!$D$65:$G$65</c:f>
              <c:numCache>
                <c:formatCode>General</c:formatCode>
                <c:ptCount val="4"/>
                <c:pt idx="0">
                  <c:v>0.25</c:v>
                </c:pt>
                <c:pt idx="1">
                  <c:v>1</c:v>
                </c:pt>
                <c:pt idx="2">
                  <c:v>0.35996805668422921</c:v>
                </c:pt>
                <c:pt idx="3">
                  <c:v>2.8023291899267978E-2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C0-4A83-8830-DCD67A12197E}"/>
            </c:ext>
          </c:extLst>
        </c:ser>
        <c:ser>
          <c:idx val="3"/>
          <c:order val="1"/>
          <c:tx>
            <c:strRef>
              <c:f>Sheet1!$C$68</c:f>
              <c:strCache>
                <c:ptCount val="1"/>
                <c:pt idx="0">
                  <c:v>1,00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Sheet1!$D$40:$G$40</c:f>
              <c:strCache>
                <c:ptCount val="4"/>
                <c:pt idx="0">
                  <c:v>Year</c:v>
                </c:pt>
                <c:pt idx="1">
                  <c:v>ITcosts_s</c:v>
                </c:pt>
                <c:pt idx="2">
                  <c:v>skvozcosts_s</c:v>
                </c:pt>
                <c:pt idx="3">
                  <c:v>trainingcosts_s</c:v>
                </c:pt>
              </c:strCache>
            </c:strRef>
          </c:cat>
          <c:val>
            <c:numRef>
              <c:f>Sheet1!$D$68:$G$68</c:f>
              <c:numCache>
                <c:formatCode>General</c:formatCode>
                <c:ptCount val="4"/>
                <c:pt idx="0">
                  <c:v>1</c:v>
                </c:pt>
                <c:pt idx="1">
                  <c:v>0.48600285522899472</c:v>
                </c:pt>
                <c:pt idx="2">
                  <c:v>0.33371170448451204</c:v>
                </c:pt>
                <c:pt idx="3">
                  <c:v>0.13268292211489857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C0-4A83-8830-DCD67A121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722240"/>
        <c:axId val="744723072"/>
      </c:radarChart>
      <c:catAx>
        <c:axId val="74472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3072"/>
        <c:crosses val="autoZero"/>
        <c:auto val="1"/>
        <c:lblAlgn val="ctr"/>
        <c:lblOffset val="100"/>
        <c:noMultiLvlLbl val="0"/>
      </c:catAx>
      <c:valAx>
        <c:axId val="7447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4472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212911</xdr:colOff>
      <xdr:row>4</xdr:row>
      <xdr:rowOff>22412</xdr:rowOff>
    </xdr:from>
    <xdr:to>
      <xdr:col>18</xdr:col>
      <xdr:colOff>330536</xdr:colOff>
      <xdr:row>26</xdr:row>
      <xdr:rowOff>158191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435429</xdr:colOff>
      <xdr:row>3</xdr:row>
      <xdr:rowOff>176893</xdr:rowOff>
    </xdr:from>
    <xdr:to>
      <xdr:col>27</xdr:col>
      <xdr:colOff>553053</xdr:colOff>
      <xdr:row>26</xdr:row>
      <xdr:rowOff>122172</xdr:rowOff>
    </xdr:to>
    <xdr:graphicFrame macro="">
      <xdr:nvGraphicFramePr>
        <xdr:cNvPr id="6" name="Диаграмма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tabSelected="1" topLeftCell="A22" zoomScale="70" zoomScaleNormal="70" workbookViewId="0">
      <selection activeCell="P45" sqref="P45"/>
    </sheetView>
  </sheetViews>
  <sheetFormatPr defaultRowHeight="15" x14ac:dyDescent="0.25"/>
  <cols>
    <col min="1" max="1" width="73.7109375" customWidth="1"/>
    <col min="4" max="4" width="15.28515625" customWidth="1"/>
    <col min="5" max="5" width="14.42578125" customWidth="1"/>
    <col min="6" max="6" width="17.140625" customWidth="1"/>
    <col min="7" max="7" width="14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>
        <v>2023</v>
      </c>
      <c r="D2" s="3">
        <v>4855346.2125374135</v>
      </c>
      <c r="E2" s="3">
        <v>135386.12959937999</v>
      </c>
      <c r="F2" s="4">
        <v>3.714330459169155E-3</v>
      </c>
      <c r="G2" s="4">
        <v>1.653323199151599E-3</v>
      </c>
    </row>
    <row r="3" spans="1:7" x14ac:dyDescent="0.25">
      <c r="A3" s="2" t="s">
        <v>7</v>
      </c>
      <c r="B3" s="2" t="s">
        <v>8</v>
      </c>
      <c r="C3" s="2">
        <v>2024</v>
      </c>
      <c r="D3" s="3">
        <v>4794949.4413491804</v>
      </c>
      <c r="E3" s="3">
        <v>99309.261365249986</v>
      </c>
      <c r="F3" s="4">
        <v>2.5245281739425698E-3</v>
      </c>
      <c r="G3" s="4">
        <v>8.8733431342220078E-4</v>
      </c>
    </row>
    <row r="4" spans="1:7" x14ac:dyDescent="0.25">
      <c r="A4" s="2" t="s">
        <v>7</v>
      </c>
      <c r="B4" s="2" t="s">
        <v>8</v>
      </c>
      <c r="C4" s="2">
        <v>2022</v>
      </c>
      <c r="D4" s="3">
        <v>4600808.5022977749</v>
      </c>
      <c r="E4" s="3">
        <v>60802.035819069999</v>
      </c>
      <c r="F4" s="4">
        <v>6.8489439848556958E-3</v>
      </c>
      <c r="G4" s="4">
        <v>8.4462018431121508E-4</v>
      </c>
    </row>
    <row r="5" spans="1:7" x14ac:dyDescent="0.25">
      <c r="A5" s="2" t="s">
        <v>7</v>
      </c>
      <c r="B5" s="2" t="s">
        <v>8</v>
      </c>
      <c r="C5" s="2">
        <v>2021</v>
      </c>
      <c r="D5" s="3">
        <v>4270265.7526510246</v>
      </c>
      <c r="E5" s="3">
        <v>72255.755925899997</v>
      </c>
      <c r="F5" s="4">
        <v>2.7888505476110981E-2</v>
      </c>
      <c r="G5" s="4">
        <v>1.402683970588293E-3</v>
      </c>
    </row>
    <row r="6" spans="1:7" x14ac:dyDescent="0.25">
      <c r="A6" s="2" t="s">
        <v>13</v>
      </c>
      <c r="B6" s="2" t="s">
        <v>14</v>
      </c>
      <c r="C6" s="2">
        <v>2024</v>
      </c>
      <c r="D6" s="3">
        <v>2292248.1387702548</v>
      </c>
      <c r="E6" s="3">
        <v>34254.624294250003</v>
      </c>
      <c r="F6" s="4">
        <v>1.595347631915882E-3</v>
      </c>
      <c r="G6" s="4">
        <v>9.361237617013568E-4</v>
      </c>
    </row>
    <row r="7" spans="1:7" x14ac:dyDescent="0.25">
      <c r="A7" s="2" t="s">
        <v>13</v>
      </c>
      <c r="B7" s="2" t="s">
        <v>14</v>
      </c>
      <c r="C7" s="2">
        <v>2023</v>
      </c>
      <c r="D7" s="3">
        <v>2266287.1009142809</v>
      </c>
      <c r="E7" s="3">
        <v>31237.990653870002</v>
      </c>
      <c r="F7" s="4">
        <v>4.7806163538082437E-3</v>
      </c>
      <c r="G7" s="4">
        <v>7.032550042484375E-4</v>
      </c>
    </row>
    <row r="8" spans="1:7" x14ac:dyDescent="0.25">
      <c r="A8" s="2" t="s">
        <v>13</v>
      </c>
      <c r="B8" s="2" t="s">
        <v>14</v>
      </c>
      <c r="C8" s="2">
        <v>2022</v>
      </c>
      <c r="D8" s="3">
        <v>2155091.885649004</v>
      </c>
      <c r="E8" s="3">
        <v>55489.055466000013</v>
      </c>
      <c r="F8" s="4">
        <v>8.0723796852959749E-4</v>
      </c>
      <c r="G8" s="4">
        <v>7.0553447782127363E-3</v>
      </c>
    </row>
    <row r="9" spans="1:7" x14ac:dyDescent="0.25">
      <c r="A9" s="2" t="s">
        <v>13</v>
      </c>
      <c r="B9" s="2" t="s">
        <v>14</v>
      </c>
      <c r="C9" s="2">
        <v>2021</v>
      </c>
      <c r="D9" s="3">
        <v>1926632.816358228</v>
      </c>
      <c r="E9" s="3">
        <v>70482.351956779996</v>
      </c>
      <c r="F9" s="4">
        <v>1.720869178633199E-3</v>
      </c>
      <c r="G9" s="4">
        <v>1.9771398616983161E-4</v>
      </c>
    </row>
    <row r="10" spans="1:7" x14ac:dyDescent="0.25">
      <c r="A10" s="2" t="s">
        <v>11</v>
      </c>
      <c r="B10" s="2" t="s">
        <v>12</v>
      </c>
      <c r="C10" s="2">
        <v>2023</v>
      </c>
      <c r="D10" s="3">
        <v>297348.59581775579</v>
      </c>
      <c r="E10" s="3">
        <v>16286.65164027</v>
      </c>
      <c r="F10" s="4">
        <v>1.754538540588953E-4</v>
      </c>
      <c r="G10" s="4">
        <v>1.917541117093744E-3</v>
      </c>
    </row>
    <row r="11" spans="1:7" x14ac:dyDescent="0.25">
      <c r="A11" s="2" t="s">
        <v>15</v>
      </c>
      <c r="B11" s="2" t="s">
        <v>16</v>
      </c>
      <c r="C11" s="2">
        <v>2021</v>
      </c>
      <c r="D11" s="3">
        <v>234330.45241976029</v>
      </c>
      <c r="E11" s="3">
        <v>5602.2332923599997</v>
      </c>
      <c r="F11" s="4">
        <v>1.6046617180793979E-4</v>
      </c>
      <c r="G11" s="4">
        <v>1.7497075699021261E-4</v>
      </c>
    </row>
    <row r="12" spans="1:7" x14ac:dyDescent="0.25">
      <c r="A12" s="2" t="s">
        <v>9</v>
      </c>
      <c r="B12" s="2" t="s">
        <v>10</v>
      </c>
      <c r="C12" s="2">
        <v>2022</v>
      </c>
      <c r="D12" s="3">
        <v>160888.6352920986</v>
      </c>
      <c r="E12" s="3">
        <v>893.32115457000009</v>
      </c>
      <c r="F12" s="4">
        <v>6.8539092001545414E-3</v>
      </c>
      <c r="G12" s="4">
        <v>6.0481966338306683E-4</v>
      </c>
    </row>
    <row r="13" spans="1:7" x14ac:dyDescent="0.25">
      <c r="A13" s="2" t="s">
        <v>9</v>
      </c>
      <c r="B13" s="2" t="s">
        <v>10</v>
      </c>
      <c r="C13" s="2">
        <v>2021</v>
      </c>
      <c r="D13" s="3">
        <v>133123.48380322519</v>
      </c>
      <c r="E13" s="3">
        <v>1151.69215446</v>
      </c>
      <c r="F13" s="4">
        <v>3.5158370961540082E-5</v>
      </c>
      <c r="G13" s="4">
        <v>1.878029724891315E-3</v>
      </c>
    </row>
    <row r="15" spans="1:7" x14ac:dyDescent="0.25">
      <c r="B15" s="6" t="s">
        <v>17</v>
      </c>
      <c r="D15" s="3">
        <f>MEDIAN(D2:D13)</f>
        <v>2210689.4932816424</v>
      </c>
    </row>
    <row r="17" spans="1:7" x14ac:dyDescent="0.25">
      <c r="B17" s="5" t="s">
        <v>18</v>
      </c>
      <c r="D17" s="3">
        <f>AVERAGE(D2:D7)</f>
        <v>3846650.8580866549</v>
      </c>
      <c r="E17" s="3">
        <f t="shared" ref="E17:G17" si="0">AVERAGE(E2:E7)</f>
        <v>72207.632942953322</v>
      </c>
      <c r="F17" s="4">
        <f t="shared" si="0"/>
        <v>7.892045346633755E-3</v>
      </c>
      <c r="G17" s="4">
        <f t="shared" si="0"/>
        <v>1.0712234055705171E-3</v>
      </c>
    </row>
    <row r="18" spans="1:7" x14ac:dyDescent="0.25">
      <c r="B18" s="5" t="s">
        <v>19</v>
      </c>
      <c r="D18" s="3">
        <f>AVERAGE(D8:D13)</f>
        <v>817902.6448900121</v>
      </c>
      <c r="E18" s="3">
        <f t="shared" ref="E18:G18" si="1">AVERAGE(E8:E13)</f>
        <v>24984.217610740001</v>
      </c>
      <c r="F18" s="4">
        <f t="shared" si="1"/>
        <v>1.6255157906909521E-3</v>
      </c>
      <c r="G18" s="4">
        <f t="shared" si="1"/>
        <v>1.9714033377901509E-3</v>
      </c>
    </row>
    <row r="20" spans="1:7" x14ac:dyDescent="0.25">
      <c r="B20" s="5" t="s">
        <v>20</v>
      </c>
      <c r="D20" s="3">
        <f>D17/D18</f>
        <v>4.7030669018119333</v>
      </c>
      <c r="E20" s="3">
        <f t="shared" ref="E20:G20" si="2">E17/E18</f>
        <v>2.8901298438864593</v>
      </c>
      <c r="F20" s="3">
        <f t="shared" si="2"/>
        <v>4.8551022339063907</v>
      </c>
      <c r="G20" s="3">
        <f t="shared" si="2"/>
        <v>0.54338114633168244</v>
      </c>
    </row>
    <row r="22" spans="1:7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</row>
    <row r="23" spans="1:7" x14ac:dyDescent="0.25">
      <c r="A23" s="2" t="s">
        <v>7</v>
      </c>
      <c r="B23" s="2" t="s">
        <v>8</v>
      </c>
      <c r="C23" s="2">
        <v>3</v>
      </c>
      <c r="D23" s="3">
        <v>4855346.2125374135</v>
      </c>
      <c r="E23" s="3">
        <v>135386.12959937999</v>
      </c>
      <c r="F23" s="4">
        <v>3.714330459169155E-3</v>
      </c>
      <c r="G23" s="4">
        <v>1.653323199151599E-3</v>
      </c>
    </row>
    <row r="24" spans="1:7" x14ac:dyDescent="0.25">
      <c r="A24" s="2" t="s">
        <v>7</v>
      </c>
      <c r="B24" s="2" t="s">
        <v>8</v>
      </c>
      <c r="C24" s="2">
        <v>4</v>
      </c>
      <c r="D24" s="3">
        <v>4794949.4413491804</v>
      </c>
      <c r="E24" s="3">
        <v>99309.261365249986</v>
      </c>
      <c r="F24" s="4">
        <v>2.5245281739425698E-3</v>
      </c>
      <c r="G24" s="4">
        <v>8.8733431342220078E-4</v>
      </c>
    </row>
    <row r="25" spans="1:7" x14ac:dyDescent="0.25">
      <c r="A25" s="2" t="s">
        <v>7</v>
      </c>
      <c r="B25" s="2" t="s">
        <v>8</v>
      </c>
      <c r="C25" s="2">
        <v>2</v>
      </c>
      <c r="D25" s="3">
        <v>4600808.5022977749</v>
      </c>
      <c r="E25" s="3">
        <v>60802.035819069999</v>
      </c>
      <c r="F25" s="4">
        <v>6.8489439848556958E-3</v>
      </c>
      <c r="G25" s="4">
        <v>8.4462018431121508E-4</v>
      </c>
    </row>
    <row r="26" spans="1:7" x14ac:dyDescent="0.25">
      <c r="A26" s="2" t="s">
        <v>7</v>
      </c>
      <c r="B26" s="2" t="s">
        <v>8</v>
      </c>
      <c r="C26" s="2">
        <v>1</v>
      </c>
      <c r="D26" s="3">
        <v>4270265.7526510246</v>
      </c>
      <c r="E26" s="3">
        <v>72255.755925899997</v>
      </c>
      <c r="F26" s="4">
        <v>2.7888505476110981E-2</v>
      </c>
      <c r="G26" s="4">
        <v>1.402683970588293E-3</v>
      </c>
    </row>
    <row r="28" spans="1:7" x14ac:dyDescent="0.25">
      <c r="B28" s="5" t="s">
        <v>18</v>
      </c>
      <c r="D28" s="3">
        <f>AVERAGE(D23:D24)</f>
        <v>4825147.8269432969</v>
      </c>
      <c r="E28" s="3">
        <f t="shared" ref="E28:G28" si="3">AVERAGE(E23:E24)</f>
        <v>117347.69548231499</v>
      </c>
      <c r="F28" s="4">
        <f t="shared" si="3"/>
        <v>3.1194293165558622E-3</v>
      </c>
      <c r="G28" s="4">
        <f t="shared" si="3"/>
        <v>1.2703287562868999E-3</v>
      </c>
    </row>
    <row r="29" spans="1:7" x14ac:dyDescent="0.25">
      <c r="B29" s="5" t="s">
        <v>19</v>
      </c>
      <c r="D29" s="3">
        <f>AVERAGE(D25:D26)</f>
        <v>4435537.1274743993</v>
      </c>
      <c r="E29" s="3">
        <f t="shared" ref="E29:G29" si="4">AVERAGE(E25:E26)</f>
        <v>66528.895872484994</v>
      </c>
      <c r="F29" s="4">
        <f t="shared" si="4"/>
        <v>1.7368724730483339E-2</v>
      </c>
      <c r="G29" s="4">
        <f t="shared" si="4"/>
        <v>1.123652077449754E-3</v>
      </c>
    </row>
    <row r="31" spans="1:7" x14ac:dyDescent="0.25">
      <c r="C31" s="5" t="s">
        <v>20</v>
      </c>
      <c r="D31" s="3">
        <f>D28/D29</f>
        <v>1.0878384484836321</v>
      </c>
      <c r="E31" s="3">
        <f t="shared" ref="E31:G31" si="5">E28/E29</f>
        <v>1.7638605592859029</v>
      </c>
      <c r="F31" s="3">
        <f t="shared" si="5"/>
        <v>0.17960036588529976</v>
      </c>
      <c r="G31" s="3">
        <f t="shared" si="5"/>
        <v>1.1305356718336195</v>
      </c>
    </row>
    <row r="33" spans="1:12" x14ac:dyDescent="0.25">
      <c r="C33" s="2">
        <f>MAX(C23:C26)</f>
        <v>4</v>
      </c>
      <c r="D33" s="2">
        <f t="shared" ref="D33:G33" si="6">MAX(D23:D26)</f>
        <v>4855346.2125374135</v>
      </c>
      <c r="E33" s="2">
        <f t="shared" si="6"/>
        <v>135386.12959937999</v>
      </c>
      <c r="F33" s="2">
        <f t="shared" si="6"/>
        <v>2.7888505476110981E-2</v>
      </c>
      <c r="G33" s="2">
        <f t="shared" si="6"/>
        <v>1.653323199151599E-3</v>
      </c>
    </row>
    <row r="34" spans="1:12" x14ac:dyDescent="0.25">
      <c r="C34" s="7" t="s">
        <v>21</v>
      </c>
      <c r="D34" s="7" t="s">
        <v>3</v>
      </c>
      <c r="E34" s="1" t="s">
        <v>4</v>
      </c>
      <c r="F34" s="1" t="s">
        <v>5</v>
      </c>
      <c r="G34" s="1" t="s">
        <v>6</v>
      </c>
      <c r="J34" s="2"/>
      <c r="K34" s="7" t="s">
        <v>22</v>
      </c>
      <c r="L34" s="7" t="s">
        <v>23</v>
      </c>
    </row>
    <row r="35" spans="1:12" x14ac:dyDescent="0.25">
      <c r="C35" s="2">
        <f>C23/C$33</f>
        <v>0.75</v>
      </c>
      <c r="D35" s="2">
        <f>D23/D$33</f>
        <v>1</v>
      </c>
      <c r="E35" s="2">
        <f>E23/E$33</f>
        <v>1</v>
      </c>
      <c r="F35" s="2">
        <f>F23/F$33</f>
        <v>0.13318499488439112</v>
      </c>
      <c r="G35" s="2">
        <f>G23/G$33</f>
        <v>1</v>
      </c>
      <c r="J35" s="7">
        <v>49</v>
      </c>
      <c r="K35" s="3">
        <v>0.88318499488439106</v>
      </c>
      <c r="L35" s="3">
        <v>0.86381505128993619</v>
      </c>
    </row>
    <row r="36" spans="1:12" x14ac:dyDescent="0.25">
      <c r="C36" s="2">
        <f t="shared" ref="C36:C38" si="7">C24/C$33</f>
        <v>1</v>
      </c>
      <c r="D36" s="2">
        <f t="shared" ref="D36:G38" si="8">D24/D$33</f>
        <v>0.98756076939842574</v>
      </c>
      <c r="E36" s="2">
        <f t="shared" si="8"/>
        <v>0.73352611274962376</v>
      </c>
      <c r="F36" s="2">
        <f t="shared" si="8"/>
        <v>9.0522175026734791E-2</v>
      </c>
      <c r="G36" s="2">
        <f t="shared" si="8"/>
        <v>0.53669743089405353</v>
      </c>
      <c r="J36" s="7">
        <v>52</v>
      </c>
      <c r="K36" s="3">
        <v>0.4125742313208246</v>
      </c>
      <c r="L36" s="3">
        <v>0.31353068479296026</v>
      </c>
    </row>
    <row r="37" spans="1:12" x14ac:dyDescent="0.25">
      <c r="C37" s="2">
        <f t="shared" si="7"/>
        <v>0.5</v>
      </c>
      <c r="D37" s="2">
        <f t="shared" si="8"/>
        <v>0.94757578572206147</v>
      </c>
      <c r="E37" s="2">
        <f t="shared" si="8"/>
        <v>0.44910092340322316</v>
      </c>
      <c r="F37" s="2">
        <f t="shared" si="8"/>
        <v>0.2455830410389841</v>
      </c>
      <c r="G37" s="2">
        <f t="shared" si="8"/>
        <v>0.51086211379882107</v>
      </c>
    </row>
    <row r="38" spans="1:12" x14ac:dyDescent="0.25">
      <c r="C38" s="2">
        <f t="shared" si="7"/>
        <v>0.25</v>
      </c>
      <c r="D38" s="2">
        <f t="shared" si="8"/>
        <v>0.87949768476332302</v>
      </c>
      <c r="E38" s="2">
        <f t="shared" si="8"/>
        <v>0.53370131888481798</v>
      </c>
      <c r="F38" s="2">
        <f t="shared" si="8"/>
        <v>1</v>
      </c>
      <c r="G38" s="2">
        <f t="shared" si="8"/>
        <v>0.84840276317908003</v>
      </c>
    </row>
    <row r="40" spans="1:12" x14ac:dyDescent="0.25">
      <c r="C40" s="7" t="s">
        <v>3</v>
      </c>
      <c r="D40" s="7" t="s">
        <v>21</v>
      </c>
      <c r="E40" s="7" t="s">
        <v>4</v>
      </c>
      <c r="F40" s="7" t="s">
        <v>5</v>
      </c>
      <c r="G40" s="7" t="s">
        <v>6</v>
      </c>
    </row>
    <row r="41" spans="1:12" x14ac:dyDescent="0.25">
      <c r="C41" s="3">
        <v>0.87949768476332302</v>
      </c>
      <c r="D41" s="2">
        <v>0.25</v>
      </c>
      <c r="E41" s="2">
        <v>0.53370131888481798</v>
      </c>
      <c r="F41" s="2">
        <v>1</v>
      </c>
      <c r="G41" s="2">
        <v>0.84840276317908003</v>
      </c>
    </row>
    <row r="42" spans="1:12" x14ac:dyDescent="0.25">
      <c r="C42" s="3">
        <v>0.94757578572206147</v>
      </c>
      <c r="D42" s="2">
        <v>0.5</v>
      </c>
      <c r="E42" s="2">
        <v>0.44910092340322316</v>
      </c>
      <c r="F42" s="2">
        <v>0.2455830410389841</v>
      </c>
      <c r="G42" s="2">
        <v>0.51086211379882107</v>
      </c>
    </row>
    <row r="43" spans="1:12" x14ac:dyDescent="0.25">
      <c r="C43" s="3">
        <v>0.98756076939842574</v>
      </c>
      <c r="D43" s="2">
        <v>1</v>
      </c>
      <c r="E43" s="2">
        <v>0.73352611274962376</v>
      </c>
      <c r="F43" s="2">
        <v>9.0522175026734791E-2</v>
      </c>
      <c r="G43" s="2">
        <v>0.53669743089405353</v>
      </c>
    </row>
    <row r="44" spans="1:12" x14ac:dyDescent="0.25">
      <c r="C44" s="3">
        <v>1</v>
      </c>
      <c r="D44" s="2">
        <v>0.75</v>
      </c>
      <c r="E44" s="2">
        <v>1</v>
      </c>
      <c r="F44" s="2">
        <v>0.13318499488439112</v>
      </c>
      <c r="G44" s="2">
        <v>1</v>
      </c>
    </row>
    <row r="46" spans="1:12" x14ac:dyDescent="0.25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5</v>
      </c>
      <c r="G46" s="1" t="s">
        <v>6</v>
      </c>
    </row>
    <row r="47" spans="1:12" x14ac:dyDescent="0.25">
      <c r="A47" s="2" t="s">
        <v>13</v>
      </c>
      <c r="B47" s="2" t="s">
        <v>14</v>
      </c>
      <c r="C47" s="2">
        <v>4</v>
      </c>
      <c r="D47" s="3">
        <v>2292248.1387702548</v>
      </c>
      <c r="E47" s="3">
        <v>34254.624294250003</v>
      </c>
      <c r="F47" s="4">
        <v>1.595347631915882E-3</v>
      </c>
      <c r="G47" s="4">
        <v>9.361237617013568E-4</v>
      </c>
    </row>
    <row r="48" spans="1:12" x14ac:dyDescent="0.25">
      <c r="A48" s="2" t="s">
        <v>13</v>
      </c>
      <c r="B48" s="2" t="s">
        <v>14</v>
      </c>
      <c r="C48" s="2">
        <v>3</v>
      </c>
      <c r="D48" s="3">
        <v>2266287.1009142809</v>
      </c>
      <c r="E48" s="3">
        <v>31237.990653870002</v>
      </c>
      <c r="F48" s="4">
        <v>4.7806163538082437E-3</v>
      </c>
      <c r="G48" s="4">
        <v>7.032550042484375E-4</v>
      </c>
    </row>
    <row r="49" spans="1:12" x14ac:dyDescent="0.25">
      <c r="A49" s="2" t="s">
        <v>13</v>
      </c>
      <c r="B49" s="2" t="s">
        <v>14</v>
      </c>
      <c r="C49" s="2">
        <v>2</v>
      </c>
      <c r="D49" s="3">
        <v>2155091.885649004</v>
      </c>
      <c r="E49" s="3">
        <v>55489.055466000013</v>
      </c>
      <c r="F49" s="4">
        <v>8.0723796852959749E-4</v>
      </c>
      <c r="G49" s="4">
        <v>7.0553447782127363E-3</v>
      </c>
    </row>
    <row r="50" spans="1:12" x14ac:dyDescent="0.25">
      <c r="A50" s="2" t="s">
        <v>13</v>
      </c>
      <c r="B50" s="2" t="s">
        <v>14</v>
      </c>
      <c r="C50" s="2">
        <v>1</v>
      </c>
      <c r="D50" s="3">
        <v>1926632.816358228</v>
      </c>
      <c r="E50" s="3">
        <v>70482.351956779996</v>
      </c>
      <c r="F50" s="4">
        <v>1.720869178633199E-3</v>
      </c>
      <c r="G50" s="4">
        <v>1.9771398616983161E-4</v>
      </c>
    </row>
    <row r="52" spans="1:12" x14ac:dyDescent="0.25">
      <c r="B52" s="5" t="s">
        <v>18</v>
      </c>
      <c r="D52" s="3">
        <f>AVERAGE(D47:D48)</f>
        <v>2279267.6198422676</v>
      </c>
      <c r="E52" s="3">
        <f t="shared" ref="E52:G52" si="9">AVERAGE(E47:E48)</f>
        <v>32746.307474060002</v>
      </c>
      <c r="F52" s="4">
        <f t="shared" si="9"/>
        <v>3.1879819928620629E-3</v>
      </c>
      <c r="G52" s="4">
        <f t="shared" si="9"/>
        <v>8.196893829748972E-4</v>
      </c>
    </row>
    <row r="53" spans="1:12" x14ac:dyDescent="0.25">
      <c r="B53" s="5" t="s">
        <v>19</v>
      </c>
      <c r="D53" s="3">
        <f>AVERAGE(D49:D50)</f>
        <v>2040862.3510036161</v>
      </c>
      <c r="E53" s="3">
        <f t="shared" ref="E53:G53" si="10">AVERAGE(E49:E50)</f>
        <v>62985.703711390001</v>
      </c>
      <c r="F53" s="4">
        <f t="shared" si="10"/>
        <v>1.2640535735813983E-3</v>
      </c>
      <c r="G53" s="4">
        <f t="shared" si="10"/>
        <v>3.6265293821912841E-3</v>
      </c>
    </row>
    <row r="55" spans="1:12" x14ac:dyDescent="0.25">
      <c r="C55" s="5" t="s">
        <v>20</v>
      </c>
      <c r="D55" s="3">
        <f>D52/D53</f>
        <v>1.116815947298657</v>
      </c>
      <c r="E55" s="3">
        <f t="shared" ref="E55:G55" si="11">E52/E53</f>
        <v>0.51990063688275234</v>
      </c>
      <c r="F55" s="3">
        <f t="shared" si="11"/>
        <v>2.5220307584192545</v>
      </c>
      <c r="G55" s="3">
        <f t="shared" si="11"/>
        <v>0.22602584912178772</v>
      </c>
    </row>
    <row r="57" spans="1:12" x14ac:dyDescent="0.25">
      <c r="C57" s="2">
        <f>MAX(C47:C50)</f>
        <v>4</v>
      </c>
      <c r="D57" s="2">
        <f t="shared" ref="D57:G57" si="12">MAX(D47:D50)</f>
        <v>2292248.1387702548</v>
      </c>
      <c r="E57" s="2">
        <f t="shared" si="12"/>
        <v>70482.351956779996</v>
      </c>
      <c r="F57" s="2">
        <f t="shared" si="12"/>
        <v>4.7806163538082437E-3</v>
      </c>
      <c r="G57" s="2">
        <f t="shared" si="12"/>
        <v>7.0553447782127363E-3</v>
      </c>
    </row>
    <row r="58" spans="1:12" x14ac:dyDescent="0.25">
      <c r="C58" s="7" t="s">
        <v>21</v>
      </c>
      <c r="D58" s="7" t="s">
        <v>3</v>
      </c>
      <c r="E58" s="1" t="s">
        <v>4</v>
      </c>
      <c r="F58" s="1" t="s">
        <v>5</v>
      </c>
      <c r="G58" s="1" t="s">
        <v>6</v>
      </c>
      <c r="J58" s="2"/>
      <c r="K58" s="7" t="s">
        <v>22</v>
      </c>
      <c r="L58" s="7" t="s">
        <v>23</v>
      </c>
    </row>
    <row r="59" spans="1:12" x14ac:dyDescent="0.25">
      <c r="C59" s="2">
        <f>C47/C$57</f>
        <v>1</v>
      </c>
      <c r="D59" s="2">
        <f>D47/D$57</f>
        <v>1</v>
      </c>
      <c r="E59" s="2">
        <f>E47/E$57</f>
        <v>0.48600285522899472</v>
      </c>
      <c r="F59" s="2">
        <f>F47/F$57</f>
        <v>0.33371170448451204</v>
      </c>
      <c r="G59" s="2">
        <f>G47/G$57</f>
        <v>0.13268292211489857</v>
      </c>
      <c r="J59" s="7">
        <v>49</v>
      </c>
      <c r="K59" s="3">
        <f>0.5*(D44*E44+E44*F44+F44*G44+G44*D44)</f>
        <v>0.88318499488439106</v>
      </c>
      <c r="L59" s="3">
        <f>0.5*(D41*E41+E41*F41+F41*G41+G41*D41)</f>
        <v>0.86381505128993619</v>
      </c>
    </row>
    <row r="60" spans="1:12" x14ac:dyDescent="0.25">
      <c r="C60" s="2">
        <f t="shared" ref="C60:C62" si="13">C48/C$57</f>
        <v>0.75</v>
      </c>
      <c r="D60" s="2">
        <f t="shared" ref="D60:G62" si="14">D48/D$57</f>
        <v>0.98867442079377077</v>
      </c>
      <c r="E60" s="2">
        <f t="shared" si="14"/>
        <v>0.44320301162800635</v>
      </c>
      <c r="F60" s="2">
        <f t="shared" si="14"/>
        <v>1</v>
      </c>
      <c r="G60" s="2">
        <f t="shared" si="14"/>
        <v>9.9676915353608897E-2</v>
      </c>
    </row>
    <row r="61" spans="1:12" x14ac:dyDescent="0.25">
      <c r="C61" s="2">
        <f t="shared" si="13"/>
        <v>0.5</v>
      </c>
      <c r="D61" s="2">
        <f t="shared" si="14"/>
        <v>0.94016518072304667</v>
      </c>
      <c r="E61" s="2">
        <f t="shared" si="14"/>
        <v>0.78727587722989267</v>
      </c>
      <c r="F61" s="2">
        <f t="shared" si="14"/>
        <v>0.16885646301371809</v>
      </c>
      <c r="G61" s="2">
        <f t="shared" si="14"/>
        <v>1</v>
      </c>
    </row>
    <row r="62" spans="1:12" x14ac:dyDescent="0.25">
      <c r="C62" s="2">
        <f t="shared" si="13"/>
        <v>0.25</v>
      </c>
      <c r="D62" s="2">
        <f t="shared" si="14"/>
        <v>0.84049923905351187</v>
      </c>
      <c r="E62" s="2">
        <f t="shared" si="14"/>
        <v>1</v>
      </c>
      <c r="F62" s="2">
        <f t="shared" si="14"/>
        <v>0.35996805668422921</v>
      </c>
      <c r="G62" s="2">
        <f t="shared" si="14"/>
        <v>2.8023291899267978E-2</v>
      </c>
    </row>
    <row r="64" spans="1:12" x14ac:dyDescent="0.25">
      <c r="C64" s="7" t="s">
        <v>3</v>
      </c>
      <c r="D64" s="7" t="s">
        <v>21</v>
      </c>
      <c r="E64" s="7" t="s">
        <v>4</v>
      </c>
      <c r="F64" s="7" t="s">
        <v>5</v>
      </c>
      <c r="G64" s="7" t="s">
        <v>6</v>
      </c>
    </row>
    <row r="65" spans="3:12" x14ac:dyDescent="0.25">
      <c r="C65" s="3">
        <v>0.84049923905351187</v>
      </c>
      <c r="D65" s="2">
        <v>0.25</v>
      </c>
      <c r="E65" s="2">
        <v>1</v>
      </c>
      <c r="F65" s="2">
        <v>0.35996805668422921</v>
      </c>
      <c r="G65" s="2">
        <v>2.8023291899267978E-2</v>
      </c>
    </row>
    <row r="66" spans="3:12" x14ac:dyDescent="0.25">
      <c r="C66" s="3">
        <v>0.94016518072304667</v>
      </c>
      <c r="D66" s="2">
        <v>0.5</v>
      </c>
      <c r="E66" s="2">
        <v>0.78727587722989267</v>
      </c>
      <c r="F66" s="2">
        <v>0.16885646301371809</v>
      </c>
      <c r="G66" s="2">
        <v>1</v>
      </c>
    </row>
    <row r="67" spans="3:12" x14ac:dyDescent="0.25">
      <c r="C67" s="3">
        <v>0.98867442079377077</v>
      </c>
      <c r="D67" s="2">
        <v>0.75</v>
      </c>
      <c r="E67" s="2">
        <v>0.44320301162800635</v>
      </c>
      <c r="F67" s="2">
        <v>1</v>
      </c>
      <c r="G67" s="2">
        <v>9.9676915353608897E-2</v>
      </c>
    </row>
    <row r="68" spans="3:12" x14ac:dyDescent="0.25">
      <c r="C68" s="3">
        <v>1</v>
      </c>
      <c r="D68" s="2">
        <v>1</v>
      </c>
      <c r="E68" s="2">
        <v>0.48600285522899472</v>
      </c>
      <c r="F68" s="2">
        <v>0.33371170448451204</v>
      </c>
      <c r="G68" s="2">
        <v>0.13268292211489857</v>
      </c>
    </row>
    <row r="77" spans="3:12" x14ac:dyDescent="0.25">
      <c r="J77" s="2"/>
      <c r="K77" s="7"/>
      <c r="L77" s="7"/>
    </row>
    <row r="78" spans="3:12" x14ac:dyDescent="0.25">
      <c r="J78" s="7"/>
      <c r="K78" s="3"/>
      <c r="L78" s="3"/>
    </row>
    <row r="82" spans="10:12" x14ac:dyDescent="0.25">
      <c r="J82" s="2"/>
      <c r="K82" s="7" t="s">
        <v>22</v>
      </c>
      <c r="L82" s="7" t="s">
        <v>23</v>
      </c>
    </row>
    <row r="83" spans="10:12" x14ac:dyDescent="0.25">
      <c r="J83" s="7">
        <v>52</v>
      </c>
      <c r="K83" s="3">
        <f>0.5*(D68*E68+E68*F68+F68*G68+G68*D68)</f>
        <v>0.4125742313208246</v>
      </c>
      <c r="L83" s="3">
        <f>0.5*(D65*E65+E65*F65+F65*G65+G65*D65)</f>
        <v>0.31353068479296026</v>
      </c>
    </row>
    <row r="84" spans="10:12" x14ac:dyDescent="0.25">
      <c r="J84" s="7"/>
      <c r="K84" s="3"/>
      <c r="L84" s="3"/>
    </row>
  </sheetData>
  <sortState ref="C65:G68">
    <sortCondition ref="C65:C68"/>
  </sortState>
  <conditionalFormatting sqref="D2:D13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13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13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13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7:D18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7:E18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7:F18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7:G18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3:D26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3:E26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3:F26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3:G26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8:D29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8:E29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8:F29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8:G29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7:D50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47:E50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47:F50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47:G50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52:D53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52:E5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2:F5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52:G5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2026-05-13T10:52:18Z</dcterms:created>
  <dcterms:modified xsi:type="dcterms:W3CDTF">2026-06-08T09:22:39Z</dcterms:modified>
</cp:coreProperties>
</file>