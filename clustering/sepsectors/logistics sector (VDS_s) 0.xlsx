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E20" i="1" l="1"/>
  <c r="F20" i="1"/>
  <c r="D20" i="1"/>
  <c r="G18" i="1"/>
  <c r="G20" i="1" s="1"/>
  <c r="F18" i="1"/>
  <c r="E18" i="1"/>
  <c r="D18" i="1"/>
  <c r="G17" i="1"/>
  <c r="F17" i="1"/>
  <c r="E17" i="1"/>
  <c r="D17" i="1"/>
  <c r="D15" i="1"/>
</calcChain>
</file>

<file path=xl/sharedStrings.xml><?xml version="1.0" encoding="utf-8"?>
<sst xmlns="http://schemas.openxmlformats.org/spreadsheetml/2006/main" count="35" uniqueCount="21">
  <si>
    <t>sector</t>
  </si>
  <si>
    <t>okved2</t>
  </si>
  <si>
    <t>year</t>
  </si>
  <si>
    <t>VDS_s</t>
  </si>
  <si>
    <t>ITcosts_s</t>
  </si>
  <si>
    <t>skvozcosts_s</t>
  </si>
  <si>
    <t>trainingcosts_s</t>
  </si>
  <si>
    <t>Деятельность сухопутного и трубопроводного транспорта</t>
  </si>
  <si>
    <t>49</t>
  </si>
  <si>
    <t>Деятельность водного транспорта</t>
  </si>
  <si>
    <t>50</t>
  </si>
  <si>
    <t>Деятельность воздушного и космического транспорта</t>
  </si>
  <si>
    <t>51</t>
  </si>
  <si>
    <t>Складское хозяйство и вспомогательная транспортная деятельность</t>
  </si>
  <si>
    <t>52</t>
  </si>
  <si>
    <t>Деятельность почтовой связи и курьерская деятельность</t>
  </si>
  <si>
    <t>53</t>
  </si>
  <si>
    <t>медиана ВДС:</t>
  </si>
  <si>
    <t>верхний кластер:</t>
  </si>
  <si>
    <t>нижний кластер:</t>
  </si>
  <si>
    <t>разница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</si>
</sst>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tabSelected="1" workbookViewId="0">
      <selection activeCell="I11" sqref="I11"/>
    </sheetView>
  </sheetViews>
  <sheetFormatPr defaultRowHeight="15" x14ac:dyDescent="0.25"/>
  <cols>
    <col min="1" max="1" width="73.7109375" customWidth="1"/>
    <col min="4" max="4" width="15.28515625" customWidth="1"/>
    <col min="5" max="5" width="14.42578125" customWidth="1"/>
    <col min="6" max="6" width="17.140625" customWidth="1"/>
    <col min="7" max="7" width="14.855468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2023</v>
      </c>
      <c r="D2" s="3">
        <v>4855346.2125374135</v>
      </c>
      <c r="E2" s="3">
        <v>135386.12959937999</v>
      </c>
      <c r="F2" s="4">
        <v>3.714330459169155E-3</v>
      </c>
      <c r="G2" s="4">
        <v>1.653323199151599E-3</v>
      </c>
    </row>
    <row r="3" spans="1:7" x14ac:dyDescent="0.25">
      <c r="A3" s="2" t="s">
        <v>7</v>
      </c>
      <c r="B3" s="2" t="s">
        <v>8</v>
      </c>
      <c r="C3" s="2">
        <v>2024</v>
      </c>
      <c r="D3" s="3">
        <v>4794949.4413491804</v>
      </c>
      <c r="E3" s="3">
        <v>99309.261365249986</v>
      </c>
      <c r="F3" s="4">
        <v>2.5245281739425698E-3</v>
      </c>
      <c r="G3" s="4">
        <v>8.8733431342220078E-4</v>
      </c>
    </row>
    <row r="4" spans="1:7" x14ac:dyDescent="0.25">
      <c r="A4" s="2" t="s">
        <v>7</v>
      </c>
      <c r="B4" s="2" t="s">
        <v>8</v>
      </c>
      <c r="C4" s="2">
        <v>2022</v>
      </c>
      <c r="D4" s="3">
        <v>4600808.5022977749</v>
      </c>
      <c r="E4" s="3">
        <v>60802.035819069999</v>
      </c>
      <c r="F4" s="4">
        <v>6.8489439848556958E-3</v>
      </c>
      <c r="G4" s="4">
        <v>8.4462018431121508E-4</v>
      </c>
    </row>
    <row r="5" spans="1:7" x14ac:dyDescent="0.25">
      <c r="A5" s="2" t="s">
        <v>7</v>
      </c>
      <c r="B5" s="2" t="s">
        <v>8</v>
      </c>
      <c r="C5" s="2">
        <v>2021</v>
      </c>
      <c r="D5" s="3">
        <v>4270265.7526510246</v>
      </c>
      <c r="E5" s="3">
        <v>72255.755925899997</v>
      </c>
      <c r="F5" s="4">
        <v>2.7888505476110981E-2</v>
      </c>
      <c r="G5" s="4">
        <v>1.402683970588293E-3</v>
      </c>
    </row>
    <row r="6" spans="1:7" x14ac:dyDescent="0.25">
      <c r="A6" s="2" t="s">
        <v>13</v>
      </c>
      <c r="B6" s="2" t="s">
        <v>14</v>
      </c>
      <c r="C6" s="2">
        <v>2024</v>
      </c>
      <c r="D6" s="3">
        <v>2292248.1387702548</v>
      </c>
      <c r="E6" s="3">
        <v>34254.624294250003</v>
      </c>
      <c r="F6" s="4">
        <v>1.595347631915882E-3</v>
      </c>
      <c r="G6" s="4">
        <v>9.361237617013568E-4</v>
      </c>
    </row>
    <row r="7" spans="1:7" x14ac:dyDescent="0.25">
      <c r="A7" s="2" t="s">
        <v>13</v>
      </c>
      <c r="B7" s="2" t="s">
        <v>14</v>
      </c>
      <c r="C7" s="2">
        <v>2023</v>
      </c>
      <c r="D7" s="3">
        <v>2266287.1009142809</v>
      </c>
      <c r="E7" s="3">
        <v>31237.990653870002</v>
      </c>
      <c r="F7" s="4">
        <v>4.7806163538082437E-3</v>
      </c>
      <c r="G7" s="4">
        <v>7.032550042484375E-4</v>
      </c>
    </row>
    <row r="8" spans="1:7" x14ac:dyDescent="0.25">
      <c r="A8" s="2" t="s">
        <v>13</v>
      </c>
      <c r="B8" s="2" t="s">
        <v>14</v>
      </c>
      <c r="C8" s="2">
        <v>2022</v>
      </c>
      <c r="D8" s="3">
        <v>2155091.885649004</v>
      </c>
      <c r="E8" s="3">
        <v>55489.055466000013</v>
      </c>
      <c r="F8" s="4">
        <v>8.0723796852959749E-4</v>
      </c>
      <c r="G8" s="4">
        <v>7.0553447782127363E-3</v>
      </c>
    </row>
    <row r="9" spans="1:7" x14ac:dyDescent="0.25">
      <c r="A9" s="2" t="s">
        <v>13</v>
      </c>
      <c r="B9" s="2" t="s">
        <v>14</v>
      </c>
      <c r="C9" s="2">
        <v>2021</v>
      </c>
      <c r="D9" s="3">
        <v>1926632.816358228</v>
      </c>
      <c r="E9" s="3">
        <v>70482.351956779996</v>
      </c>
      <c r="F9" s="4">
        <v>1.720869178633199E-3</v>
      </c>
      <c r="G9" s="4">
        <v>1.9771398616983161E-4</v>
      </c>
    </row>
    <row r="10" spans="1:7" x14ac:dyDescent="0.25">
      <c r="A10" s="2" t="s">
        <v>11</v>
      </c>
      <c r="B10" s="2" t="s">
        <v>12</v>
      </c>
      <c r="C10" s="2">
        <v>2023</v>
      </c>
      <c r="D10" s="3">
        <v>297348.59581775579</v>
      </c>
      <c r="E10" s="3">
        <v>16286.65164027</v>
      </c>
      <c r="F10" s="4">
        <v>1.754538540588953E-4</v>
      </c>
      <c r="G10" s="4">
        <v>1.917541117093744E-3</v>
      </c>
    </row>
    <row r="11" spans="1:7" x14ac:dyDescent="0.25">
      <c r="A11" s="2" t="s">
        <v>15</v>
      </c>
      <c r="B11" s="2" t="s">
        <v>16</v>
      </c>
      <c r="C11" s="2">
        <v>2021</v>
      </c>
      <c r="D11" s="3">
        <v>234330.45241976029</v>
      </c>
      <c r="E11" s="3">
        <v>5602.2332923599997</v>
      </c>
      <c r="F11" s="4">
        <v>1.6046617180793979E-4</v>
      </c>
      <c r="G11" s="4">
        <v>1.7497075699021261E-4</v>
      </c>
    </row>
    <row r="12" spans="1:7" x14ac:dyDescent="0.25">
      <c r="A12" s="2" t="s">
        <v>9</v>
      </c>
      <c r="B12" s="2" t="s">
        <v>10</v>
      </c>
      <c r="C12" s="2">
        <v>2022</v>
      </c>
      <c r="D12" s="3">
        <v>160888.6352920986</v>
      </c>
      <c r="E12" s="3">
        <v>893.32115457000009</v>
      </c>
      <c r="F12" s="4">
        <v>6.8539092001545414E-3</v>
      </c>
      <c r="G12" s="4">
        <v>6.0481966338306683E-4</v>
      </c>
    </row>
    <row r="13" spans="1:7" x14ac:dyDescent="0.25">
      <c r="A13" s="2" t="s">
        <v>9</v>
      </c>
      <c r="B13" s="2" t="s">
        <v>10</v>
      </c>
      <c r="C13" s="2">
        <v>2021</v>
      </c>
      <c r="D13" s="3">
        <v>133123.48380322519</v>
      </c>
      <c r="E13" s="3">
        <v>1151.69215446</v>
      </c>
      <c r="F13" s="4">
        <v>3.5158370961540082E-5</v>
      </c>
      <c r="G13" s="4">
        <v>1.878029724891315E-3</v>
      </c>
    </row>
    <row r="15" spans="1:7" x14ac:dyDescent="0.25">
      <c r="B15" s="6" t="s">
        <v>17</v>
      </c>
      <c r="D15" s="3">
        <f>MEDIAN(D2:D13)</f>
        <v>2210689.4932816424</v>
      </c>
    </row>
    <row r="17" spans="2:7" x14ac:dyDescent="0.25">
      <c r="B17" s="5" t="s">
        <v>18</v>
      </c>
      <c r="D17" s="3">
        <f>AVERAGE(D2:D7)</f>
        <v>3846650.8580866549</v>
      </c>
      <c r="E17" s="3">
        <f t="shared" ref="E17:G17" si="0">AVERAGE(E2:E7)</f>
        <v>72207.632942953322</v>
      </c>
      <c r="F17" s="4">
        <f t="shared" si="0"/>
        <v>7.892045346633755E-3</v>
      </c>
      <c r="G17" s="4">
        <f t="shared" si="0"/>
        <v>1.0712234055705171E-3</v>
      </c>
    </row>
    <row r="18" spans="2:7" x14ac:dyDescent="0.25">
      <c r="B18" s="5" t="s">
        <v>19</v>
      </c>
      <c r="D18" s="3">
        <f>AVERAGE(D8:D13)</f>
        <v>817902.6448900121</v>
      </c>
      <c r="E18" s="3">
        <f t="shared" ref="E18:G18" si="1">AVERAGE(E8:E13)</f>
        <v>24984.217610740001</v>
      </c>
      <c r="F18" s="4">
        <f t="shared" si="1"/>
        <v>1.6255157906909521E-3</v>
      </c>
      <c r="G18" s="4">
        <f t="shared" si="1"/>
        <v>1.9714033377901509E-3</v>
      </c>
    </row>
    <row r="20" spans="2:7" x14ac:dyDescent="0.25">
      <c r="B20" s="5" t="s">
        <v>20</v>
      </c>
      <c r="D20" s="3">
        <f>D17/D18</f>
        <v>4.7030669018119333</v>
      </c>
      <c r="E20" s="3">
        <f t="shared" ref="E20:G20" si="2">E17/E18</f>
        <v>2.8901298438864593</v>
      </c>
      <c r="F20" s="3">
        <f t="shared" si="2"/>
        <v>4.8551022339063907</v>
      </c>
      <c r="G20" s="3">
        <f t="shared" si="2"/>
        <v>0.54338114633168244</v>
      </c>
    </row>
  </sheetData>
  <sortState ref="A2:G13">
    <sortCondition descending="1" ref="D2:D13"/>
  </sortState>
  <conditionalFormatting sqref="D2:D1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2026-05-13T10:52:18Z</dcterms:created>
  <dcterms:modified xsi:type="dcterms:W3CDTF">2026-05-13T10:57:00Z</dcterms:modified>
</cp:coreProperties>
</file>