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40" i="1" l="1"/>
  <c r="F40" i="1"/>
  <c r="E40" i="1"/>
  <c r="D40" i="1"/>
  <c r="G39" i="1"/>
  <c r="G42" i="1" s="1"/>
  <c r="F39" i="1"/>
  <c r="F42" i="1" s="1"/>
  <c r="E39" i="1"/>
  <c r="E42" i="1" s="1"/>
  <c r="D39" i="1"/>
  <c r="D42" i="1" s="1"/>
  <c r="G29" i="1"/>
  <c r="F29" i="1"/>
  <c r="E29" i="1"/>
  <c r="D29" i="1"/>
  <c r="G28" i="1"/>
  <c r="G31" i="1" s="1"/>
  <c r="F28" i="1"/>
  <c r="F31" i="1" s="1"/>
  <c r="E28" i="1"/>
  <c r="E31" i="1" s="1"/>
  <c r="D28" i="1"/>
  <c r="D31" i="1" s="1"/>
  <c r="E20" i="1" l="1"/>
  <c r="F20" i="1"/>
  <c r="D20" i="1"/>
  <c r="G18" i="1"/>
  <c r="G20" i="1" s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<sst xmlns="http://schemas.openxmlformats.org/spreadsheetml/2006/main" count="71" uniqueCount="21">
  <si>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</si>
  <si>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</si>
  <si>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</si>
  <si>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</si>
  <si>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</si>
  <si>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</si>
  <si>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</si>
  <si>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сухопутного и трубопроводного транспорта</t>
  </si>
  <si>
    <t>49</t>
  </si>
  <si>
    <t>Деятельность водного транспорта</t>
  </si>
  <si>
    <t>50</t>
  </si>
  <si>
    <t>Деятельность воздушного и космического транспорта</t>
  </si>
  <si>
    <t>51</t>
  </si>
  <si>
    <t>Складское хозяйство и вспомогательная транспортная деятельность</t>
  </si>
  <si>
    <t>52</t>
  </si>
  <si>
    <t>Деятельность почтовой связи и курьерская деятельность</t>
  </si>
  <si>
    <t>53</t>
  </si>
  <si>
    <t>медиана ВДС: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</si>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</sst>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abSelected="1" topLeftCell="A10" workbookViewId="0">
      <selection activeCell="J29" sqref="J29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7</v>
      </c>
      <c r="B3" s="2" t="s">
        <v>8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13</v>
      </c>
      <c r="B6" s="2" t="s">
        <v>14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13</v>
      </c>
      <c r="B7" s="2" t="s">
        <v>14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13</v>
      </c>
      <c r="B8" s="2" t="s">
        <v>14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13</v>
      </c>
      <c r="B9" s="2" t="s">
        <v>14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11</v>
      </c>
      <c r="B10" s="2" t="s">
        <v>12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9</v>
      </c>
      <c r="B12" s="2" t="s">
        <v>10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9</v>
      </c>
      <c r="B13" s="2" t="s">
        <v>10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6" t="s">
        <v>17</v>
      </c>
      <c r="D15" s="3">
        <f>MEDIAN(D2:D13)</f>
        <v>2210689.4932816424</v>
      </c>
    </row>
    <row r="17" spans="1:7" x14ac:dyDescent="0.25">
      <c r="B17" s="5" t="s">
        <v>18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1:7" x14ac:dyDescent="0.25">
      <c r="B18" s="5" t="s">
        <v>19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1:7" x14ac:dyDescent="0.25">
      <c r="B20" s="5" t="s">
        <v>20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  <row r="22" spans="1:7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  <c r="F22" s="1" t="s">
        <v>5</v>
      </c>
      <c r="G22" s="1" t="s">
        <v>6</v>
      </c>
    </row>
    <row r="23" spans="1:7" x14ac:dyDescent="0.25">
      <c r="A23" s="2" t="s">
        <v>7</v>
      </c>
      <c r="B23" s="2" t="s">
        <v>8</v>
      </c>
      <c r="C23" s="2">
        <v>2023</v>
      </c>
      <c r="D23" s="3">
        <v>4855346.2125374135</v>
      </c>
      <c r="E23" s="3">
        <v>135386.12959937999</v>
      </c>
      <c r="F23" s="4">
        <v>3.714330459169155E-3</v>
      </c>
      <c r="G23" s="4">
        <v>1.653323199151599E-3</v>
      </c>
    </row>
    <row r="24" spans="1:7" x14ac:dyDescent="0.25">
      <c r="A24" s="2" t="s">
        <v>7</v>
      </c>
      <c r="B24" s="2" t="s">
        <v>8</v>
      </c>
      <c r="C24" s="2">
        <v>2024</v>
      </c>
      <c r="D24" s="3">
        <v>4794949.4413491804</v>
      </c>
      <c r="E24" s="3">
        <v>99309.261365249986</v>
      </c>
      <c r="F24" s="4">
        <v>2.5245281739425698E-3</v>
      </c>
      <c r="G24" s="4">
        <v>8.8733431342220078E-4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4600808.5022977749</v>
      </c>
      <c r="E25" s="3">
        <v>60802.035819069999</v>
      </c>
      <c r="F25" s="4">
        <v>6.8489439848556958E-3</v>
      </c>
      <c r="G25" s="4">
        <v>8.4462018431121508E-4</v>
      </c>
    </row>
    <row r="26" spans="1:7" x14ac:dyDescent="0.25">
      <c r="A26" s="2" t="s">
        <v>7</v>
      </c>
      <c r="B26" s="2" t="s">
        <v>8</v>
      </c>
      <c r="C26" s="2">
        <v>2021</v>
      </c>
      <c r="D26" s="3">
        <v>4270265.7526510246</v>
      </c>
      <c r="E26" s="3">
        <v>72255.755925899997</v>
      </c>
      <c r="F26" s="4">
        <v>2.7888505476110981E-2</v>
      </c>
      <c r="G26" s="4">
        <v>1.402683970588293E-3</v>
      </c>
    </row>
    <row r="28" spans="1:7" x14ac:dyDescent="0.25">
      <c r="B28" s="5" t="s">
        <v>18</v>
      </c>
      <c r="D28" s="3">
        <f>AVERAGE(D23:D24)</f>
        <v>4825147.8269432969</v>
      </c>
      <c r="E28" s="3">
        <f t="shared" ref="E28:G28" si="3">AVERAGE(E23:E24)</f>
        <v>117347.69548231499</v>
      </c>
      <c r="F28" s="4">
        <f t="shared" si="3"/>
        <v>3.1194293165558622E-3</v>
      </c>
      <c r="G28" s="4">
        <f t="shared" si="3"/>
        <v>1.2703287562868999E-3</v>
      </c>
    </row>
    <row r="29" spans="1:7" x14ac:dyDescent="0.25">
      <c r="B29" s="5" t="s">
        <v>19</v>
      </c>
      <c r="D29" s="3">
        <f>AVERAGE(D25:D26)</f>
        <v>4435537.1274743993</v>
      </c>
      <c r="E29" s="3">
        <f t="shared" ref="E29:G29" si="4">AVERAGE(E25:E26)</f>
        <v>66528.895872484994</v>
      </c>
      <c r="F29" s="4">
        <f t="shared" si="4"/>
        <v>1.7368724730483339E-2</v>
      </c>
      <c r="G29" s="4">
        <f t="shared" si="4"/>
        <v>1.123652077449754E-3</v>
      </c>
    </row>
    <row r="31" spans="1:7" x14ac:dyDescent="0.25">
      <c r="C31" s="5" t="s">
        <v>20</v>
      </c>
      <c r="D31" s="3">
        <f>D28/D29</f>
        <v>1.0878384484836321</v>
      </c>
      <c r="E31" s="3">
        <f t="shared" ref="E31:G31" si="5">E28/E29</f>
        <v>1.7638605592859029</v>
      </c>
      <c r="F31" s="3">
        <f t="shared" si="5"/>
        <v>0.17960036588529976</v>
      </c>
      <c r="G31" s="3">
        <f t="shared" si="5"/>
        <v>1.1305356718336195</v>
      </c>
    </row>
    <row r="33" spans="1:7" x14ac:dyDescent="0.25">
      <c r="A33" s="1" t="s">
        <v>0</v>
      </c>
      <c r="B33" s="1" t="s">
        <v>1</v>
      </c>
      <c r="C33" s="1" t="s">
        <v>2</v>
      </c>
      <c r="D33" s="1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A34" s="2" t="s">
        <v>13</v>
      </c>
      <c r="B34" s="2" t="s">
        <v>14</v>
      </c>
      <c r="C34" s="2">
        <v>2024</v>
      </c>
      <c r="D34" s="3">
        <v>2292248.1387702548</v>
      </c>
      <c r="E34" s="3">
        <v>34254.624294250003</v>
      </c>
      <c r="F34" s="4">
        <v>1.595347631915882E-3</v>
      </c>
      <c r="G34" s="4">
        <v>9.361237617013568E-4</v>
      </c>
    </row>
    <row r="35" spans="1:7" x14ac:dyDescent="0.25">
      <c r="A35" s="2" t="s">
        <v>13</v>
      </c>
      <c r="B35" s="2" t="s">
        <v>14</v>
      </c>
      <c r="C35" s="2">
        <v>2023</v>
      </c>
      <c r="D35" s="3">
        <v>2266287.1009142809</v>
      </c>
      <c r="E35" s="3">
        <v>31237.990653870002</v>
      </c>
      <c r="F35" s="4">
        <v>4.7806163538082437E-3</v>
      </c>
      <c r="G35" s="4">
        <v>7.032550042484375E-4</v>
      </c>
    </row>
    <row r="36" spans="1:7" x14ac:dyDescent="0.25">
      <c r="A36" s="2" t="s">
        <v>13</v>
      </c>
      <c r="B36" s="2" t="s">
        <v>14</v>
      </c>
      <c r="C36" s="2">
        <v>2022</v>
      </c>
      <c r="D36" s="3">
        <v>2155091.885649004</v>
      </c>
      <c r="E36" s="3">
        <v>55489.055466000013</v>
      </c>
      <c r="F36" s="4">
        <v>8.0723796852959749E-4</v>
      </c>
      <c r="G36" s="4">
        <v>7.0553447782127363E-3</v>
      </c>
    </row>
    <row r="37" spans="1:7" x14ac:dyDescent="0.25">
      <c r="A37" s="2" t="s">
        <v>13</v>
      </c>
      <c r="B37" s="2" t="s">
        <v>14</v>
      </c>
      <c r="C37" s="2">
        <v>2021</v>
      </c>
      <c r="D37" s="3">
        <v>1926632.816358228</v>
      </c>
      <c r="E37" s="3">
        <v>70482.351956779996</v>
      </c>
      <c r="F37" s="4">
        <v>1.720869178633199E-3</v>
      </c>
      <c r="G37" s="4">
        <v>1.9771398616983161E-4</v>
      </c>
    </row>
    <row r="39" spans="1:7" x14ac:dyDescent="0.25">
      <c r="B39" s="5" t="s">
        <v>18</v>
      </c>
      <c r="D39" s="3">
        <f>AVERAGE(D34:D35)</f>
        <v>2279267.6198422676</v>
      </c>
      <c r="E39" s="3">
        <f t="shared" ref="E39:G39" si="6">AVERAGE(E34:E35)</f>
        <v>32746.307474060002</v>
      </c>
      <c r="F39" s="4">
        <f t="shared" si="6"/>
        <v>3.1879819928620629E-3</v>
      </c>
      <c r="G39" s="4">
        <f t="shared" si="6"/>
        <v>8.196893829748972E-4</v>
      </c>
    </row>
    <row r="40" spans="1:7" x14ac:dyDescent="0.25">
      <c r="B40" s="5" t="s">
        <v>19</v>
      </c>
      <c r="D40" s="3">
        <f>AVERAGE(D36:D37)</f>
        <v>2040862.3510036161</v>
      </c>
      <c r="E40" s="3">
        <f t="shared" ref="E40:G40" si="7">AVERAGE(E36:E37)</f>
        <v>62985.703711390001</v>
      </c>
      <c r="F40" s="4">
        <f t="shared" si="7"/>
        <v>1.2640535735813983E-3</v>
      </c>
      <c r="G40" s="4">
        <f t="shared" si="7"/>
        <v>3.6265293821912841E-3</v>
      </c>
    </row>
    <row r="42" spans="1:7" x14ac:dyDescent="0.25">
      <c r="C42" s="5" t="s">
        <v>20</v>
      </c>
      <c r="D42" s="3">
        <f>D39/D40</f>
        <v>1.116815947298657</v>
      </c>
      <c r="E42" s="3">
        <f t="shared" ref="E42:G42" si="8">E39/E40</f>
        <v>0.51990063688275234</v>
      </c>
      <c r="F42" s="3">
        <f t="shared" si="8"/>
        <v>2.5220307584192545</v>
      </c>
      <c r="G42" s="3">
        <f t="shared" si="8"/>
        <v>0.22602584912178772</v>
      </c>
    </row>
  </sheetData>
  <sortState ref="A2:G13">
    <sortCondition descending="1" ref="D2:D13"/>
  </sortState>
  <conditionalFormatting sqref="D2:D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:D3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:E3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:F3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:G3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:D4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:E4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:F4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:G4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2026-05-13T10:52:18Z</dcterms:created>
  <dcterms:modified xsi:type="dcterms:W3CDTF">2026-05-22T09:11:21Z</dcterms:modified>
</cp:coreProperties>
</file>