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Внутрисекторальная разница" sheetId="9" r:id="rId1"/>
    <sheet name="Пром. производство" sheetId="3" r:id="rId2"/>
    <sheet name="Логистика" sheetId="4" r:id="rId3"/>
    <sheet name="Наука" sheetId="7" r:id="rId4"/>
    <sheet name="Строительство" sheetId="8" r:id="rId5"/>
    <sheet name="Торговля" sheetId="6" r:id="rId6"/>
    <sheet name="Сельхоз" sheetId="1" r:id="rId7"/>
    <sheet name="Административный" sheetId="2" r:id="rId8"/>
    <sheet name="Добыча" sheetId="5" r:id="rId9"/>
  </sheets>
  <calcPr calcId="162913"/>
</workbook>
</file>

<file path=xl/calcChain.xml><?xml version="1.0" encoding="utf-8"?>
<calcChain xmlns="http://schemas.openxmlformats.org/spreadsheetml/2006/main">
  <c r="E20" i="6" l="1"/>
  <c r="F20" i="6"/>
  <c r="G20" i="6"/>
  <c r="D20" i="6"/>
  <c r="E17" i="8"/>
  <c r="F17" i="8"/>
  <c r="G17" i="8"/>
  <c r="D17" i="8"/>
  <c r="E25" i="5"/>
  <c r="F25" i="5"/>
  <c r="G25" i="5"/>
  <c r="D25" i="5"/>
  <c r="C33" i="9" l="1"/>
  <c r="C32" i="9"/>
  <c r="G15" i="8" l="1"/>
  <c r="F15" i="8"/>
  <c r="E15" i="8"/>
  <c r="D15" i="8"/>
  <c r="G14" i="8"/>
  <c r="F14" i="8"/>
  <c r="E14" i="8"/>
  <c r="D14" i="8"/>
  <c r="D12" i="8"/>
  <c r="G29" i="6" l="1"/>
  <c r="F29" i="6"/>
  <c r="E29" i="6"/>
  <c r="D29" i="6"/>
  <c r="G28" i="6"/>
  <c r="G31" i="6" s="1"/>
  <c r="F28" i="6"/>
  <c r="F31" i="6" s="1"/>
  <c r="E28" i="6"/>
  <c r="E31" i="6" s="1"/>
  <c r="D28" i="6"/>
  <c r="D31" i="6" s="1"/>
  <c r="G32" i="1"/>
  <c r="F32" i="1"/>
  <c r="E32" i="1"/>
  <c r="D32" i="1"/>
  <c r="E30" i="1"/>
  <c r="F30" i="1"/>
  <c r="G30" i="1"/>
  <c r="D30" i="1"/>
  <c r="E29" i="1"/>
  <c r="F29" i="1"/>
  <c r="G29" i="1"/>
  <c r="D29" i="1"/>
  <c r="G15" i="2"/>
  <c r="F15" i="2"/>
  <c r="E15" i="2"/>
  <c r="D15" i="2"/>
  <c r="E20" i="1"/>
  <c r="D20" i="1"/>
  <c r="G18" i="7" l="1"/>
  <c r="F18" i="7"/>
  <c r="E18" i="7"/>
  <c r="D18" i="7"/>
  <c r="G17" i="7"/>
  <c r="G20" i="7" s="1"/>
  <c r="F17" i="7"/>
  <c r="F20" i="7" s="1"/>
  <c r="E17" i="7"/>
  <c r="E20" i="7" s="1"/>
  <c r="D17" i="7"/>
  <c r="D20" i="7" s="1"/>
  <c r="D15" i="7"/>
  <c r="G18" i="6" l="1"/>
  <c r="F18" i="6"/>
  <c r="E18" i="6"/>
  <c r="D18" i="6"/>
  <c r="G17" i="6"/>
  <c r="F17" i="6"/>
  <c r="E17" i="6"/>
  <c r="D17" i="6"/>
  <c r="D15" i="6"/>
  <c r="G23" i="5" l="1"/>
  <c r="F23" i="5"/>
  <c r="E23" i="5"/>
  <c r="D23" i="5"/>
  <c r="G22" i="5"/>
  <c r="F22" i="5"/>
  <c r="E22" i="5"/>
  <c r="D22" i="5"/>
  <c r="D19" i="5"/>
  <c r="G18" i="4" l="1"/>
  <c r="F18" i="4"/>
  <c r="E18" i="4"/>
  <c r="D18" i="4"/>
  <c r="G17" i="4"/>
  <c r="G20" i="4" s="1"/>
  <c r="F17" i="4"/>
  <c r="F20" i="4" s="1"/>
  <c r="E17" i="4"/>
  <c r="E20" i="4" s="1"/>
  <c r="D17" i="4"/>
  <c r="D20" i="4" s="1"/>
  <c r="D15" i="4"/>
  <c r="G67" i="3" l="1"/>
  <c r="F67" i="3"/>
  <c r="E67" i="3"/>
  <c r="D67" i="3"/>
  <c r="G66" i="3"/>
  <c r="G69" i="3" s="1"/>
  <c r="F66" i="3"/>
  <c r="F69" i="3" s="1"/>
  <c r="E66" i="3"/>
  <c r="E69" i="3" s="1"/>
  <c r="D66" i="3"/>
  <c r="D69" i="3" s="1"/>
  <c r="D64" i="3"/>
  <c r="G13" i="2" l="1"/>
  <c r="F13" i="2"/>
  <c r="E13" i="2"/>
  <c r="D13" i="2"/>
  <c r="G12" i="2"/>
  <c r="F12" i="2"/>
  <c r="E12" i="2"/>
  <c r="D12" i="2"/>
  <c r="D10" i="2"/>
  <c r="E18" i="1" l="1"/>
  <c r="F18" i="1"/>
  <c r="F20" i="1" s="1"/>
  <c r="G18" i="1"/>
  <c r="G20" i="1" s="1"/>
  <c r="D18" i="1"/>
  <c r="E17" i="1"/>
  <c r="F17" i="1"/>
  <c r="G17" i="1"/>
  <c r="D17" i="1"/>
  <c r="D15" i="1"/>
</calcChain>
</file>

<file path=xl/sharedStrings.xml><?xml version="1.0" encoding="utf-8"?>
<sst xmlns="http://schemas.openxmlformats.org/spreadsheetml/2006/main" count="489" uniqueCount="115">
  <si>
    <t>sector</t>
  </si>
  <si>
    <t>okved2</t>
  </si>
  <si>
    <t>year</t>
  </si>
  <si>
    <t>VDS_s</t>
  </si>
  <si>
    <t>ITcosts_s</t>
  </si>
  <si>
    <t>skvozcosts_s</t>
  </si>
  <si>
    <t>trainingcosts_s</t>
  </si>
  <si>
    <t>Растениеводство и животноводство, охота и предоставление соответствующих услуг в этих областях</t>
  </si>
  <si>
    <t>01</t>
  </si>
  <si>
    <t>Лесоводство и лесозаготовки</t>
  </si>
  <si>
    <t>02</t>
  </si>
  <si>
    <t>Рыболовство и рыбоводство</t>
  </si>
  <si>
    <t>03</t>
  </si>
  <si>
    <t>медиана ВДС:</t>
  </si>
  <si>
    <t>верхний кластер:</t>
  </si>
  <si>
    <t>нижний кластер:</t>
  </si>
  <si>
    <t>Аренда и лизинг</t>
  </si>
  <si>
    <t>77</t>
  </si>
  <si>
    <t>Деятельность по трудоустройству и подбору персонала</t>
  </si>
  <si>
    <t>78</t>
  </si>
  <si>
    <t xml:space="preserve"> Производство металлургическое</t>
  </si>
  <si>
    <t>24</t>
  </si>
  <si>
    <t xml:space="preserve"> Производство кокса и нефтепродуктов</t>
  </si>
  <si>
    <t>19</t>
  </si>
  <si>
    <t xml:space="preserve"> Производство химических веществ и химических продуктов</t>
  </si>
  <si>
    <t>20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</si>
  <si>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</si>
  <si>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</si>
  <si>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</si>
  <si>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</si>
  <si>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прочих транспортных средств и оборудования</t>
  </si>
  <si>
    <t>30</t>
  </si>
  <si>
    <t>Производство машин и оборудования, не включенных в другие группировки</t>
  </si>
  <si>
    <t>28</t>
  </si>
  <si>
    <t>Производство прочей неметаллической минеральной продукции</t>
  </si>
  <si>
    <t>23</t>
  </si>
  <si>
    <t>Ремонт и монтаж машин и оборудования</t>
  </si>
  <si>
    <t>33</t>
  </si>
  <si>
    <t xml:space="preserve"> Производство автотранспортных средств, прицепов и полуприцепов</t>
  </si>
  <si>
    <t>29</t>
  </si>
  <si>
    <t>Производство лекарственных средств и материалов, применяемых в медицинских целях</t>
  </si>
  <si>
    <t>21</t>
  </si>
  <si>
    <t>Производство электрического оборудования</t>
  </si>
  <si>
    <t>27</t>
  </si>
  <si>
    <t xml:space="preserve">Обработка древесины и производство изделий из дерева и пробки, кроме мебели, производство изделий из соломки и материалов для плетения </t>
  </si>
  <si>
    <t>16</t>
  </si>
  <si>
    <t xml:space="preserve"> Производство резиновых и пластмассовых изделий</t>
  </si>
  <si>
    <t>22</t>
  </si>
  <si>
    <t>Производство бумаги и бумажных изделий</t>
  </si>
  <si>
    <t>17</t>
  </si>
  <si>
    <t>Деятельность полиграфическая и копирование носителей информации</t>
  </si>
  <si>
    <t>18</t>
  </si>
  <si>
    <t>разница</t>
  </si>
  <si>
    <t>Деятельность сухопутного и трубопроводного транспорта</t>
  </si>
  <si>
    <t>49</t>
  </si>
  <si>
    <t>Складское хозяйство и вспомогательная транспортная деятельность</t>
  </si>
  <si>
    <t>52</t>
  </si>
  <si>
    <t>Деятельность воздушного и космического транспорта</t>
  </si>
  <si>
    <t>51</t>
  </si>
  <si>
    <t>Деятельность почтовой связи и курьерская деятельность</t>
  </si>
  <si>
    <t>53</t>
  </si>
  <si>
    <t>Деятельность водного транспорта</t>
  </si>
  <si>
    <t>50</t>
  </si>
  <si>
    <t>factoriescap_s</t>
  </si>
  <si>
    <t>Затраты организации на внедрение и использование цифровых технологий, всего</t>
  </si>
  <si>
    <t>Добыча нефти и природного газа</t>
  </si>
  <si>
    <t>06</t>
  </si>
  <si>
    <t>Затраты на "сквозные" цифровые технологии</t>
  </si>
  <si>
    <t>Затраты на обучение сотрудников, связанное с внедрением и использованием цифровых технологий</t>
  </si>
  <si>
    <t xml:space="preserve">Доли сквозных техн. и обучения персонала получены от ITcosts_s </t>
  </si>
  <si>
    <t>Добыча угля</t>
  </si>
  <si>
    <t>05</t>
  </si>
  <si>
    <t>Добыча металлических руд</t>
  </si>
  <si>
    <t>07</t>
  </si>
  <si>
    <t>Предоставление услуг в области добычи полезных ископаемых</t>
  </si>
  <si>
    <t>09</t>
  </si>
  <si>
    <t>Медиана</t>
  </si>
  <si>
    <t>Добыча прочих полезных ископаемых</t>
  </si>
  <si>
    <t>08</t>
  </si>
  <si>
    <t>Верхний</t>
  </si>
  <si>
    <t>Нижний</t>
  </si>
  <si>
    <t>Торговля оптовая,  кроме оптовой торговли автотранспортными средствами и мотоциклами</t>
  </si>
  <si>
    <t>46</t>
  </si>
  <si>
    <t>Торговля розничная, кроме торговли автотранспортными средствами и мотоциклами</t>
  </si>
  <si>
    <t>47</t>
  </si>
  <si>
    <t>Торговля оптовая и розничная автотранспортными средствами и мотоциклами и их ремонт</t>
  </si>
  <si>
    <t>45</t>
  </si>
  <si>
    <t>Деятельность в области архитектуры и инженерно-технического проектирования; технических испытаний, исследований и анализа</t>
  </si>
  <si>
    <t>71</t>
  </si>
  <si>
    <t>Научные исследования и разработки</t>
  </si>
  <si>
    <t>72</t>
  </si>
  <si>
    <t>Деятельность рекламная и исследование конъюнктуры рынка</t>
  </si>
  <si>
    <t>73</t>
  </si>
  <si>
    <t>Строительство зданий</t>
  </si>
  <si>
    <t>41</t>
  </si>
  <si>
    <t>Строительство инженерных сооружений</t>
  </si>
  <si>
    <t>42</t>
  </si>
  <si>
    <t>Работы строительные специализированные</t>
  </si>
  <si>
    <t>43</t>
  </si>
  <si>
    <t>СЕЛЬСКОЕ, ЛЕСНОЕ ХОЗЯЙСТВО, ОХОТА, РЫБОЛОВСТВО И РЫБОВОДСТВО</t>
  </si>
  <si>
    <t>A</t>
  </si>
  <si>
    <t>ДОБЫЧА ПОЛЕЗНЫХ ИСКОПАЕМЫХ</t>
  </si>
  <si>
    <t>B</t>
  </si>
  <si>
    <t>ОБРАБАТЫВАЮЩИЕ ПРОИЗВОДСТВА</t>
  </si>
  <si>
    <t>C</t>
  </si>
  <si>
    <t>СТРОИТЕЛЬСТВО</t>
  </si>
  <si>
    <t>F</t>
  </si>
  <si>
    <t>ТОРГОВЛЯ ОПТОВАЯ И РОЗНИЧНАЯ; РЕМОНТ АВТОТРАНСПОРТНЫХ СРЕДСТВ И МОТОЦИКЛОВ</t>
  </si>
  <si>
    <t>G</t>
  </si>
  <si>
    <t>ТРАНСПОРТИРОВКА И ХРАНЕНИЕ</t>
  </si>
  <si>
    <t>H</t>
  </si>
  <si>
    <t>ДЕЯТЕЛЬНОСТЬ ПРОФЕССИОНАЛЬНАЯ, НАУЧНАЯ И ТЕХНИЧЕСКАЯ</t>
  </si>
  <si>
    <t>M</t>
  </si>
  <si>
    <t>ДЕЯТЕЛЬНОСТЬ АДМИНИСТРАТИВНАЯ И СОПУТСТВУЮЩИЕ ДОПОЛНИТЕЛЬНЫЕ УСЛУГИ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</si>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</sst>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/>
    <xf numFmtId="0" fontId="0" fillId="2" borderId="0" xfId="0" applyFill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/>
    <xf numFmtId="164" fontId="0" fillId="0" borderId="0" xfId="0" applyNumberFormat="1" applyAlignment="1">
      <alignment horizontal="center"/>
    </xf>
    <xf numFmtId="0" fontId="5" fillId="0" borderId="1" xfId="0" applyFont="1" applyBorder="1" applyAlignment="1">
      <alignment horizontal="center" vertical="top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8"/>
  <sheetViews>
    <sheetView tabSelected="1" zoomScaleNormal="100" workbookViewId="0">
      <selection activeCell="J33" sqref="J33"/>
    </sheetView>
  </sheetViews>
  <sheetFormatPr defaultRowHeight="15" x14ac:dyDescent="0.25"/>
  <cols>
    <col min="1" max="1" width="107.42578125" customWidth="1"/>
    <col min="2" max="2" width="13.42578125" customWidth="1"/>
    <col min="3" max="3" width="12.42578125" customWidth="1"/>
    <col min="4" max="4" width="11.42578125" customWidth="1"/>
    <col min="5" max="5" width="13.42578125" customWidth="1"/>
    <col min="6" max="6" width="15.5703125" customWidth="1"/>
    <col min="7" max="7" width="15.140625" customWidth="1"/>
  </cols>
  <sheetData>
    <row r="1" spans="1:6" x14ac:dyDescent="0.25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6</v>
      </c>
    </row>
    <row r="2" spans="1:6" x14ac:dyDescent="0.25">
      <c r="A2" s="2" t="s">
        <v>40</v>
      </c>
      <c r="B2" s="13" t="s">
        <v>41</v>
      </c>
      <c r="C2" s="3">
        <v>1.1520246843183004</v>
      </c>
      <c r="D2" s="3">
        <v>2.3213939799145842</v>
      </c>
      <c r="E2" s="3">
        <v>0.80614296667612206</v>
      </c>
      <c r="F2" s="3">
        <v>0.25898323939199175</v>
      </c>
    </row>
    <row r="3" spans="1:6" x14ac:dyDescent="0.25">
      <c r="A3" s="2" t="s">
        <v>9</v>
      </c>
      <c r="B3" s="13" t="s">
        <v>10</v>
      </c>
      <c r="C3" s="3">
        <v>1.3517669960910756</v>
      </c>
      <c r="D3" s="3">
        <v>1.9670776981935643</v>
      </c>
      <c r="E3" s="3">
        <v>0.22070836576565364</v>
      </c>
      <c r="F3" s="3">
        <v>0.13814015553291181</v>
      </c>
    </row>
    <row r="4" spans="1:6" x14ac:dyDescent="0.25">
      <c r="A4" s="2" t="s">
        <v>81</v>
      </c>
      <c r="B4" s="2" t="s">
        <v>82</v>
      </c>
      <c r="C4" s="3">
        <v>1.1917367114224651</v>
      </c>
      <c r="D4" s="3">
        <v>1.9004800470248358</v>
      </c>
      <c r="E4" s="3">
        <v>0.8374708956221617</v>
      </c>
      <c r="F4" s="3">
        <v>1.5257452190518532</v>
      </c>
    </row>
    <row r="5" spans="1:6" x14ac:dyDescent="0.25">
      <c r="A5" s="2" t="s">
        <v>53</v>
      </c>
      <c r="B5" s="2" t="s">
        <v>54</v>
      </c>
      <c r="C5" s="3">
        <v>1.0878384484836321</v>
      </c>
      <c r="D5" s="3">
        <v>1.7638605592859029</v>
      </c>
      <c r="E5" s="3">
        <v>0.17960036588529976</v>
      </c>
      <c r="F5" s="3">
        <v>1.1305356718336195</v>
      </c>
    </row>
    <row r="6" spans="1:6" x14ac:dyDescent="0.25">
      <c r="A6" s="2" t="s">
        <v>85</v>
      </c>
      <c r="B6" s="2" t="s">
        <v>86</v>
      </c>
      <c r="C6" s="3">
        <v>1.0976688735092679</v>
      </c>
      <c r="D6" s="3">
        <v>1.7109052289159346</v>
      </c>
      <c r="E6" s="3">
        <v>5.1447699646144658</v>
      </c>
      <c r="F6" s="3">
        <v>1.2569187110314528</v>
      </c>
    </row>
    <row r="7" spans="1:6" x14ac:dyDescent="0.25">
      <c r="A7" s="2" t="s">
        <v>38</v>
      </c>
      <c r="B7" s="13" t="s">
        <v>39</v>
      </c>
      <c r="C7" s="3">
        <v>1.3902001109844437</v>
      </c>
      <c r="D7" s="3">
        <v>1.462361279754929</v>
      </c>
      <c r="E7" s="3">
        <v>0.71207716480109773</v>
      </c>
      <c r="F7" s="3">
        <v>1.2647790839496653</v>
      </c>
    </row>
    <row r="8" spans="1:6" x14ac:dyDescent="0.25">
      <c r="A8" s="2" t="s">
        <v>30</v>
      </c>
      <c r="B8" s="13" t="s">
        <v>31</v>
      </c>
      <c r="C8" s="3">
        <v>1.1404823836685474</v>
      </c>
      <c r="D8" s="3">
        <v>1.2854689383527957</v>
      </c>
      <c r="E8" s="3">
        <v>0.8632074718882139</v>
      </c>
      <c r="F8" s="3">
        <v>2.5147412702861627</v>
      </c>
    </row>
    <row r="9" spans="1:6" x14ac:dyDescent="0.25">
      <c r="A9" s="2" t="s">
        <v>74</v>
      </c>
      <c r="B9" s="2" t="s">
        <v>75</v>
      </c>
      <c r="C9" s="3">
        <v>1.0516922481844897</v>
      </c>
      <c r="D9" s="3">
        <v>1.2423192338416251</v>
      </c>
      <c r="E9" s="3">
        <v>0.40890802664562625</v>
      </c>
      <c r="F9" s="3">
        <v>1.7538454461835107</v>
      </c>
    </row>
    <row r="10" spans="1:6" x14ac:dyDescent="0.25">
      <c r="A10" s="2" t="s">
        <v>26</v>
      </c>
      <c r="B10" s="13" t="s">
        <v>27</v>
      </c>
      <c r="C10" s="3">
        <v>1.2659566944389276</v>
      </c>
      <c r="D10" s="3">
        <v>1.1816122280015293</v>
      </c>
      <c r="E10" s="3">
        <v>4.0293347314057506</v>
      </c>
      <c r="F10" s="3">
        <v>12.618953438776055</v>
      </c>
    </row>
    <row r="11" spans="1:6" x14ac:dyDescent="0.25">
      <c r="A11" s="2" t="s">
        <v>32</v>
      </c>
      <c r="B11" s="13" t="s">
        <v>33</v>
      </c>
      <c r="C11" s="3">
        <v>1.2868516961482879</v>
      </c>
      <c r="D11" s="3">
        <v>1.1177412074865631</v>
      </c>
      <c r="E11" s="3">
        <v>0.10176095000792922</v>
      </c>
      <c r="F11" s="3">
        <v>1.2821795576565411</v>
      </c>
    </row>
    <row r="12" spans="1:6" x14ac:dyDescent="0.25">
      <c r="A12" s="2" t="s">
        <v>72</v>
      </c>
      <c r="B12" s="2" t="s">
        <v>73</v>
      </c>
      <c r="C12" s="3">
        <v>1.2800215472650383</v>
      </c>
      <c r="D12" s="3">
        <v>1.090543283688677</v>
      </c>
      <c r="E12" s="3">
        <v>1.3904082000767517</v>
      </c>
      <c r="F12" s="3">
        <v>1.297125195307224</v>
      </c>
    </row>
    <row r="13" spans="1:6" x14ac:dyDescent="0.25">
      <c r="A13" s="2" t="s">
        <v>7</v>
      </c>
      <c r="B13" s="13" t="s">
        <v>8</v>
      </c>
      <c r="C13" s="3">
        <v>1.2449132022244318</v>
      </c>
      <c r="D13" s="3">
        <v>1.0750082283809359</v>
      </c>
      <c r="E13" s="3">
        <v>3.092669028896593</v>
      </c>
      <c r="F13" s="3">
        <v>1.9048189470819483</v>
      </c>
    </row>
    <row r="14" spans="1:6" x14ac:dyDescent="0.25">
      <c r="A14" s="2" t="s">
        <v>11</v>
      </c>
      <c r="B14" s="13" t="s">
        <v>12</v>
      </c>
      <c r="C14" s="3">
        <v>1.2833899393849333</v>
      </c>
      <c r="D14" s="3">
        <v>1.0522364209432813</v>
      </c>
      <c r="E14" s="3">
        <v>1.6747130060256721</v>
      </c>
      <c r="F14" s="3">
        <v>0.51637317479464306</v>
      </c>
    </row>
    <row r="15" spans="1:6" x14ac:dyDescent="0.25">
      <c r="A15" s="2" t="s">
        <v>44</v>
      </c>
      <c r="B15" s="13" t="s">
        <v>45</v>
      </c>
      <c r="C15" s="3">
        <v>1.4503287429709963</v>
      </c>
      <c r="D15" s="3">
        <v>1.0419486207404769</v>
      </c>
      <c r="E15" s="3">
        <v>0.6663471741165341</v>
      </c>
      <c r="F15" s="3">
        <v>1.2983469738919464</v>
      </c>
    </row>
    <row r="16" spans="1:6" x14ac:dyDescent="0.25">
      <c r="A16" s="2" t="s">
        <v>65</v>
      </c>
      <c r="B16" s="2" t="s">
        <v>66</v>
      </c>
      <c r="C16" s="3">
        <v>1.1026252311808127</v>
      </c>
      <c r="D16" s="3">
        <v>0.99574889178403025</v>
      </c>
      <c r="E16" s="3">
        <v>44.739847820807242</v>
      </c>
      <c r="F16" s="3">
        <v>0.8055055175801521</v>
      </c>
    </row>
    <row r="17" spans="1:6" x14ac:dyDescent="0.25">
      <c r="A17" s="2" t="s">
        <v>36</v>
      </c>
      <c r="B17" s="13" t="s">
        <v>37</v>
      </c>
      <c r="C17" s="3">
        <v>1.0547425539337831</v>
      </c>
      <c r="D17" s="3">
        <v>0.9009903074402914</v>
      </c>
      <c r="E17" s="3">
        <v>0.59798991148430225</v>
      </c>
      <c r="F17" s="3">
        <v>3.0757485240645135</v>
      </c>
    </row>
    <row r="18" spans="1:6" x14ac:dyDescent="0.25">
      <c r="A18" s="2" t="s">
        <v>22</v>
      </c>
      <c r="B18" s="13" t="s">
        <v>23</v>
      </c>
      <c r="C18" s="3">
        <v>1.2859286844144691</v>
      </c>
      <c r="D18" s="3">
        <v>0.88933632105715787</v>
      </c>
      <c r="E18" s="3">
        <v>1.3200782438717298</v>
      </c>
      <c r="F18" s="3">
        <v>0.63162779932699387</v>
      </c>
    </row>
    <row r="19" spans="1:6" x14ac:dyDescent="0.25">
      <c r="A19" s="2" t="s">
        <v>46</v>
      </c>
      <c r="B19" s="13" t="s">
        <v>47</v>
      </c>
      <c r="C19" s="3">
        <v>1.0515020276116822</v>
      </c>
      <c r="D19" s="3">
        <v>0.88110216515673767</v>
      </c>
      <c r="E19" s="3">
        <v>1.5793790877321685</v>
      </c>
      <c r="F19" s="3">
        <v>1.5532186573951297</v>
      </c>
    </row>
    <row r="20" spans="1:6" x14ac:dyDescent="0.25">
      <c r="A20" s="2" t="s">
        <v>20</v>
      </c>
      <c r="B20" s="13" t="s">
        <v>21</v>
      </c>
      <c r="C20" s="3">
        <v>1.1718069796331221</v>
      </c>
      <c r="D20" s="3">
        <v>0.82231497292558131</v>
      </c>
      <c r="E20" s="3">
        <v>1.0066845075285169</v>
      </c>
      <c r="F20" s="3">
        <v>0.95392645329154935</v>
      </c>
    </row>
    <row r="21" spans="1:6" x14ac:dyDescent="0.25">
      <c r="A21" s="2" t="s">
        <v>83</v>
      </c>
      <c r="B21" s="2" t="s">
        <v>84</v>
      </c>
      <c r="C21" s="3">
        <v>1.0827376961267559</v>
      </c>
      <c r="D21" s="3">
        <v>0.80104322006630113</v>
      </c>
      <c r="E21" s="3">
        <v>2.8738671264906555</v>
      </c>
      <c r="F21" s="3">
        <v>1.1351491544676557</v>
      </c>
    </row>
    <row r="22" spans="1:6" x14ac:dyDescent="0.25">
      <c r="A22" s="2" t="s">
        <v>34</v>
      </c>
      <c r="B22" s="13" t="s">
        <v>35</v>
      </c>
      <c r="C22" s="3">
        <v>1.0607758459664012</v>
      </c>
      <c r="D22" s="3">
        <v>0.77167677289668257</v>
      </c>
      <c r="E22" s="3">
        <v>0.82036156049346076</v>
      </c>
      <c r="F22" s="3">
        <v>1.4287748577228767</v>
      </c>
    </row>
    <row r="23" spans="1:6" x14ac:dyDescent="0.25">
      <c r="A23" s="2" t="s">
        <v>91</v>
      </c>
      <c r="B23" s="2" t="s">
        <v>92</v>
      </c>
      <c r="C23" s="3">
        <v>1.1171419888702492</v>
      </c>
      <c r="D23" s="3">
        <v>0.74353514130949905</v>
      </c>
      <c r="E23" s="3">
        <v>11.033292593696363</v>
      </c>
      <c r="F23" s="3">
        <v>8.7727411256017351</v>
      </c>
    </row>
    <row r="24" spans="1:6" x14ac:dyDescent="0.25">
      <c r="A24" s="2" t="s">
        <v>24</v>
      </c>
      <c r="B24" s="13" t="s">
        <v>25</v>
      </c>
      <c r="C24" s="3">
        <v>1.1452682356283854</v>
      </c>
      <c r="D24" s="3">
        <v>0.71970300745850779</v>
      </c>
      <c r="E24" s="3">
        <v>6.5995587829731441</v>
      </c>
      <c r="F24" s="3">
        <v>4.1985328533946333</v>
      </c>
    </row>
    <row r="25" spans="1:6" x14ac:dyDescent="0.25">
      <c r="A25" s="2" t="s">
        <v>89</v>
      </c>
      <c r="B25" s="2" t="s">
        <v>90</v>
      </c>
      <c r="C25" s="3">
        <v>1.0557931710621387</v>
      </c>
      <c r="D25" s="3">
        <v>0.59675805501967727</v>
      </c>
      <c r="E25" s="3">
        <v>2.741656360321008</v>
      </c>
      <c r="F25" s="3">
        <v>0.57456911856021375</v>
      </c>
    </row>
    <row r="26" spans="1:6" x14ac:dyDescent="0.25">
      <c r="A26" s="2" t="s">
        <v>28</v>
      </c>
      <c r="B26" s="13" t="s">
        <v>29</v>
      </c>
      <c r="C26" s="3">
        <v>1.3306477779394272</v>
      </c>
      <c r="D26" s="3">
        <v>0.52497104851926879</v>
      </c>
      <c r="E26" s="3">
        <v>14.558529260558757</v>
      </c>
      <c r="F26" s="3">
        <v>0.20311492992969613</v>
      </c>
    </row>
    <row r="27" spans="1:6" x14ac:dyDescent="0.25">
      <c r="A27" s="2" t="s">
        <v>55</v>
      </c>
      <c r="B27" s="2" t="s">
        <v>56</v>
      </c>
      <c r="C27" s="3">
        <v>1.116815947298657</v>
      </c>
      <c r="D27" s="3">
        <v>0.51990063688275234</v>
      </c>
      <c r="E27" s="3">
        <v>2.5220307584192545</v>
      </c>
      <c r="F27" s="3">
        <v>0.22602584912178772</v>
      </c>
    </row>
    <row r="28" spans="1:6" x14ac:dyDescent="0.25">
      <c r="A28" s="2" t="s">
        <v>18</v>
      </c>
      <c r="B28" s="2" t="s">
        <v>19</v>
      </c>
      <c r="C28" s="3">
        <v>1.2959670995181913</v>
      </c>
      <c r="D28" s="3">
        <v>0.43716192574154161</v>
      </c>
      <c r="E28" s="3">
        <v>6.9063031528892316E-2</v>
      </c>
      <c r="F28" s="3">
        <v>7.525489289467116E-2</v>
      </c>
    </row>
    <row r="29" spans="1:6" x14ac:dyDescent="0.25">
      <c r="A29" s="2" t="s">
        <v>87</v>
      </c>
      <c r="B29" s="2" t="s">
        <v>88</v>
      </c>
      <c r="C29" s="3">
        <v>1.4842736816541999</v>
      </c>
      <c r="D29" s="3">
        <v>0.4121490248256805</v>
      </c>
      <c r="E29" s="3">
        <v>0.96137007040086431</v>
      </c>
      <c r="F29" s="3">
        <v>0.57263086143914699</v>
      </c>
    </row>
    <row r="30" spans="1:6" x14ac:dyDescent="0.25">
      <c r="A30" s="2" t="s">
        <v>42</v>
      </c>
      <c r="B30" s="13" t="s">
        <v>43</v>
      </c>
      <c r="C30" s="3">
        <v>1.2626658353400688</v>
      </c>
      <c r="D30" s="3">
        <v>0.23138177613322164</v>
      </c>
      <c r="E30" s="3">
        <v>15.780848016319494</v>
      </c>
      <c r="F30" s="3">
        <v>0.9262386419932308</v>
      </c>
    </row>
    <row r="31" spans="1:6" x14ac:dyDescent="0.25">
      <c r="B31" s="12"/>
      <c r="C31" s="3"/>
      <c r="D31" s="3"/>
      <c r="E31" s="3"/>
      <c r="F31" s="3"/>
    </row>
    <row r="32" spans="1:6" x14ac:dyDescent="0.25">
      <c r="B32" s="12"/>
      <c r="C32" s="3">
        <f>AVERAGE(C2:C16)</f>
        <v>1.2251665006850432</v>
      </c>
      <c r="D32" s="3"/>
      <c r="E32" s="3"/>
      <c r="F32" s="3"/>
    </row>
    <row r="33" spans="1:6" x14ac:dyDescent="0.25">
      <c r="B33" s="12"/>
      <c r="C33" s="3">
        <f>AVERAGE(C17:C30)</f>
        <v>1.1797191089283952</v>
      </c>
      <c r="D33" s="3"/>
      <c r="E33" s="3"/>
      <c r="F33" s="3"/>
    </row>
    <row r="34" spans="1:6" x14ac:dyDescent="0.25">
      <c r="B34" s="12"/>
      <c r="C34" s="3"/>
      <c r="D34" s="3"/>
      <c r="E34" s="3"/>
      <c r="F34" s="3"/>
    </row>
    <row r="35" spans="1:6" x14ac:dyDescent="0.25">
      <c r="A35" s="1" t="s">
        <v>0</v>
      </c>
      <c r="B35" s="1" t="s">
        <v>1</v>
      </c>
      <c r="C35" s="1" t="s">
        <v>3</v>
      </c>
      <c r="D35" s="1" t="s">
        <v>4</v>
      </c>
      <c r="E35" s="1" t="s">
        <v>5</v>
      </c>
      <c r="F35" s="1" t="s">
        <v>6</v>
      </c>
    </row>
    <row r="36" spans="1:6" x14ac:dyDescent="0.25">
      <c r="A36" s="2" t="s">
        <v>109</v>
      </c>
      <c r="B36" s="13" t="s">
        <v>110</v>
      </c>
      <c r="C36" s="3">
        <v>4.7030669018119333</v>
      </c>
      <c r="D36" s="3">
        <v>2.8901298438864593</v>
      </c>
      <c r="E36" s="3">
        <v>4.8551022339063907</v>
      </c>
      <c r="F36" s="3">
        <v>0.54338114633168244</v>
      </c>
    </row>
    <row r="37" spans="1:6" x14ac:dyDescent="0.25">
      <c r="A37" s="2" t="s">
        <v>103</v>
      </c>
      <c r="B37" s="13" t="s">
        <v>104</v>
      </c>
      <c r="C37" s="3">
        <v>3.5865019899753703</v>
      </c>
      <c r="D37" s="3">
        <v>3.2537982636532159</v>
      </c>
      <c r="E37" s="3">
        <v>4.4560052279624465</v>
      </c>
      <c r="F37" s="3">
        <v>1.1593793807464068</v>
      </c>
    </row>
    <row r="38" spans="1:6" x14ac:dyDescent="0.25">
      <c r="A38" s="2" t="s">
        <v>111</v>
      </c>
      <c r="B38" s="13" t="s">
        <v>112</v>
      </c>
      <c r="C38" s="3">
        <v>2.0103131540352179</v>
      </c>
      <c r="D38" s="3">
        <v>0.93267101567812905</v>
      </c>
      <c r="E38" s="3">
        <v>2.5190872586151345</v>
      </c>
      <c r="F38" s="3">
        <v>1.1555534045986038</v>
      </c>
    </row>
    <row r="39" spans="1:6" x14ac:dyDescent="0.25">
      <c r="A39" s="2" t="s">
        <v>105</v>
      </c>
      <c r="B39" s="13" t="s">
        <v>106</v>
      </c>
      <c r="C39" s="3">
        <v>1.4775819198599631</v>
      </c>
      <c r="D39" s="3">
        <v>1.3718824524470641</v>
      </c>
      <c r="E39" s="3">
        <v>1.9764761072330601</v>
      </c>
      <c r="F39" s="3">
        <v>0.6794675155641563</v>
      </c>
    </row>
    <row r="40" spans="1:6" x14ac:dyDescent="0.25">
      <c r="A40" s="2" t="s">
        <v>101</v>
      </c>
      <c r="B40" s="13" t="s">
        <v>102</v>
      </c>
      <c r="C40" s="3">
        <v>6.2067376729116983</v>
      </c>
      <c r="D40" s="3">
        <v>2.9456289391002568</v>
      </c>
      <c r="E40" s="3">
        <v>0.39632604155360068</v>
      </c>
      <c r="F40" s="3">
        <v>1.1022346667896791E-2</v>
      </c>
    </row>
    <row r="41" spans="1:6" x14ac:dyDescent="0.25">
      <c r="A41" s="2" t="s">
        <v>99</v>
      </c>
      <c r="B41" s="13" t="s">
        <v>100</v>
      </c>
      <c r="C41" s="3">
        <v>11.796247286330882</v>
      </c>
      <c r="D41" s="3">
        <v>3.3701353993917049</v>
      </c>
      <c r="E41" s="3">
        <v>0.32270229215556578</v>
      </c>
      <c r="F41" s="3">
        <v>0.58794694129813696</v>
      </c>
    </row>
    <row r="42" spans="1:6" x14ac:dyDescent="0.25">
      <c r="A42" s="2" t="s">
        <v>107</v>
      </c>
      <c r="B42" s="13" t="s">
        <v>108</v>
      </c>
      <c r="C42" s="3">
        <v>3.243142089244174</v>
      </c>
      <c r="D42" s="3">
        <v>2.8074620181135077</v>
      </c>
      <c r="E42" s="3">
        <v>0.11140291583466078</v>
      </c>
      <c r="F42" s="3">
        <v>2.3456004945261939</v>
      </c>
    </row>
    <row r="43" spans="1:6" x14ac:dyDescent="0.25">
      <c r="A43" s="2" t="s">
        <v>113</v>
      </c>
      <c r="B43" s="13" t="s">
        <v>114</v>
      </c>
      <c r="C43" s="3">
        <v>8.8797620553372667</v>
      </c>
      <c r="D43" s="3">
        <v>8.4561035857734002</v>
      </c>
      <c r="E43" s="3">
        <v>9.6999640190591641E-3</v>
      </c>
      <c r="F43" s="3">
        <v>1.469967801891219</v>
      </c>
    </row>
    <row r="44" spans="1:6" x14ac:dyDescent="0.25">
      <c r="B44" s="13"/>
      <c r="C44" s="3"/>
      <c r="D44" s="3"/>
      <c r="E44" s="3"/>
      <c r="F44" s="3"/>
    </row>
    <row r="45" spans="1:6" x14ac:dyDescent="0.25">
      <c r="B45" s="13"/>
      <c r="C45" s="3"/>
      <c r="D45" s="3"/>
      <c r="E45" s="3"/>
      <c r="F45" s="3"/>
    </row>
    <row r="46" spans="1:6" x14ac:dyDescent="0.25">
      <c r="B46" s="13"/>
      <c r="C46" s="3"/>
      <c r="D46" s="3"/>
      <c r="E46" s="3"/>
      <c r="F46" s="3"/>
    </row>
    <row r="47" spans="1:6" x14ac:dyDescent="0.25">
      <c r="B47" s="13"/>
      <c r="C47" s="3"/>
      <c r="D47" s="3"/>
      <c r="E47" s="3"/>
      <c r="F47" s="3"/>
    </row>
    <row r="48" spans="1:6" x14ac:dyDescent="0.25">
      <c r="B48" s="13"/>
      <c r="C48" s="3"/>
      <c r="D48" s="3"/>
      <c r="E48" s="3"/>
      <c r="F48" s="3"/>
    </row>
    <row r="49" spans="2:6" x14ac:dyDescent="0.25">
      <c r="B49" s="13"/>
      <c r="C49" s="3"/>
      <c r="D49" s="3"/>
      <c r="E49" s="3"/>
      <c r="F49" s="3"/>
    </row>
    <row r="50" spans="2:6" x14ac:dyDescent="0.25">
      <c r="B50" s="13"/>
      <c r="C50" s="3"/>
      <c r="D50" s="3"/>
      <c r="E50" s="3"/>
      <c r="F50" s="3"/>
    </row>
    <row r="51" spans="2:6" x14ac:dyDescent="0.25">
      <c r="B51" s="12"/>
      <c r="C51" s="3"/>
      <c r="D51" s="3"/>
      <c r="E51" s="3"/>
      <c r="F51" s="3"/>
    </row>
    <row r="52" spans="2:6" x14ac:dyDescent="0.25">
      <c r="B52" s="12"/>
      <c r="C52" s="3"/>
      <c r="D52" s="3"/>
      <c r="E52" s="3"/>
      <c r="F52" s="3"/>
    </row>
    <row r="53" spans="2:6" x14ac:dyDescent="0.25">
      <c r="B53" s="12"/>
      <c r="C53" s="3"/>
      <c r="D53" s="3"/>
      <c r="E53" s="3"/>
      <c r="F53" s="3"/>
    </row>
    <row r="54" spans="2:6" x14ac:dyDescent="0.25">
      <c r="B54" s="12"/>
      <c r="C54" s="3"/>
      <c r="D54" s="3"/>
      <c r="E54" s="3"/>
      <c r="F54" s="3"/>
    </row>
    <row r="55" spans="2:6" x14ac:dyDescent="0.25">
      <c r="B55" s="12"/>
      <c r="C55" s="3"/>
      <c r="D55" s="3"/>
      <c r="E55" s="3"/>
      <c r="F55" s="3"/>
    </row>
    <row r="56" spans="2:6" x14ac:dyDescent="0.25">
      <c r="B56" s="12"/>
      <c r="C56" s="3"/>
      <c r="D56" s="3"/>
      <c r="E56" s="3"/>
      <c r="F56" s="3"/>
    </row>
    <row r="57" spans="2:6" x14ac:dyDescent="0.25">
      <c r="B57" s="12"/>
      <c r="C57" s="3"/>
      <c r="D57" s="3"/>
      <c r="E57" s="3"/>
      <c r="F57" s="3"/>
    </row>
    <row r="58" spans="2:6" x14ac:dyDescent="0.25">
      <c r="C58" s="3"/>
      <c r="D58" s="3"/>
      <c r="E58" s="3"/>
      <c r="F58" s="3"/>
    </row>
  </sheetData>
  <sortState ref="A36:F43">
    <sortCondition descending="1" ref="E36:E43"/>
  </sortState>
  <conditionalFormatting sqref="E36:E4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9"/>
  <sheetViews>
    <sheetView topLeftCell="A49" zoomScaleNormal="100" workbookViewId="0">
      <selection activeCell="D69" sqref="D69:G69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20</v>
      </c>
      <c r="B2" s="2" t="s">
        <v>21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22</v>
      </c>
      <c r="B3" s="2" t="s">
        <v>23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20</v>
      </c>
      <c r="B4" s="2" t="s">
        <v>21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22</v>
      </c>
      <c r="B5" s="2" t="s">
        <v>23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20</v>
      </c>
      <c r="B6" s="2" t="s">
        <v>21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20</v>
      </c>
      <c r="B7" s="2" t="s">
        <v>21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22</v>
      </c>
      <c r="B8" s="2" t="s">
        <v>23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24</v>
      </c>
      <c r="B9" s="2" t="s">
        <v>25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22</v>
      </c>
      <c r="B10" s="2" t="s">
        <v>23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24</v>
      </c>
      <c r="B11" s="2" t="s">
        <v>25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24</v>
      </c>
      <c r="B12" s="2" t="s">
        <v>25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24</v>
      </c>
      <c r="B13" s="2" t="s">
        <v>25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26</v>
      </c>
      <c r="B14" s="2" t="s">
        <v>27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26</v>
      </c>
      <c r="B15" s="2" t="s">
        <v>27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26</v>
      </c>
      <c r="B16" s="2" t="s">
        <v>27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26</v>
      </c>
      <c r="B17" s="2" t="s">
        <v>27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28</v>
      </c>
      <c r="B18" s="2" t="s">
        <v>29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28</v>
      </c>
      <c r="B19" s="2" t="s">
        <v>29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30</v>
      </c>
      <c r="B20" s="2" t="s">
        <v>31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32</v>
      </c>
      <c r="B21" s="2" t="s">
        <v>33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30</v>
      </c>
      <c r="B22" s="2" t="s">
        <v>31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34</v>
      </c>
      <c r="B23" s="2" t="s">
        <v>35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34</v>
      </c>
      <c r="B24" s="2" t="s">
        <v>35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34</v>
      </c>
      <c r="B25" s="2" t="s">
        <v>35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30</v>
      </c>
      <c r="B26" s="2" t="s">
        <v>31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34</v>
      </c>
      <c r="B27" s="2" t="s">
        <v>35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30</v>
      </c>
      <c r="B28" s="2" t="s">
        <v>31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28</v>
      </c>
      <c r="B29" s="2" t="s">
        <v>29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36</v>
      </c>
      <c r="B30" s="2" t="s">
        <v>37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28</v>
      </c>
      <c r="B31" s="2" t="s">
        <v>29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7" t="s">
        <v>36</v>
      </c>
      <c r="B32" s="7" t="s">
        <v>37</v>
      </c>
      <c r="C32" s="7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38</v>
      </c>
      <c r="B33" s="2" t="s">
        <v>39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36</v>
      </c>
      <c r="B34" s="2" t="s">
        <v>37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32</v>
      </c>
      <c r="B35" s="2" t="s">
        <v>33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36</v>
      </c>
      <c r="B36" s="2" t="s">
        <v>37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32</v>
      </c>
      <c r="B37" s="2" t="s">
        <v>33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38</v>
      </c>
      <c r="B38" s="2" t="s">
        <v>39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32</v>
      </c>
      <c r="B39" s="2" t="s">
        <v>33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40</v>
      </c>
      <c r="B40" s="2" t="s">
        <v>41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38</v>
      </c>
      <c r="B41" s="2" t="s">
        <v>39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42</v>
      </c>
      <c r="B42" s="2" t="s">
        <v>43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44</v>
      </c>
      <c r="B43" s="2" t="s">
        <v>45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40</v>
      </c>
      <c r="B44" s="2" t="s">
        <v>41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46</v>
      </c>
      <c r="B45" s="2" t="s">
        <v>47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46</v>
      </c>
      <c r="B46" s="2" t="s">
        <v>47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46</v>
      </c>
      <c r="B47" s="2" t="s">
        <v>47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48</v>
      </c>
      <c r="B48" s="2" t="s">
        <v>49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40</v>
      </c>
      <c r="B49" s="2" t="s">
        <v>41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40</v>
      </c>
      <c r="B50" s="2" t="s">
        <v>41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38</v>
      </c>
      <c r="B51" s="2" t="s">
        <v>39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46</v>
      </c>
      <c r="B52" s="2" t="s">
        <v>47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42</v>
      </c>
      <c r="B53" s="2" t="s">
        <v>43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48</v>
      </c>
      <c r="B54" s="2" t="s">
        <v>49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44</v>
      </c>
      <c r="B55" s="2" t="s">
        <v>45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42</v>
      </c>
      <c r="B56" s="2" t="s">
        <v>43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42</v>
      </c>
      <c r="B57" s="2" t="s">
        <v>43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44</v>
      </c>
      <c r="B58" s="2" t="s">
        <v>45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44</v>
      </c>
      <c r="B59" s="2" t="s">
        <v>45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50</v>
      </c>
      <c r="B60" s="2" t="s">
        <v>51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50</v>
      </c>
      <c r="B61" s="2" t="s">
        <v>51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50</v>
      </c>
      <c r="B62" s="2" t="s">
        <v>51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5" t="s">
        <v>13</v>
      </c>
      <c r="D64" s="3">
        <f>MEDIAN(D2:D62)</f>
        <v>481190.63450056087</v>
      </c>
    </row>
    <row r="65" spans="2:7" x14ac:dyDescent="0.25">
      <c r="B65" s="6"/>
    </row>
    <row r="66" spans="2:7" x14ac:dyDescent="0.25">
      <c r="B66" s="6" t="s">
        <v>14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2:7" x14ac:dyDescent="0.25">
      <c r="B67" s="6" t="s">
        <v>15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2:7" x14ac:dyDescent="0.25">
      <c r="C69" s="6" t="s">
        <v>52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</sheetData>
  <conditionalFormatting sqref="D2:D62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selection activeCell="D20" sqref="D20:G20"/>
    </sheetView>
  </sheetViews>
  <sheetFormatPr defaultRowHeight="15" x14ac:dyDescent="0.25"/>
  <cols>
    <col min="1" max="1" width="73.7109375" customWidth="1"/>
    <col min="4" max="4" width="15.28515625" customWidth="1"/>
    <col min="5" max="5" width="14.42578125" customWidth="1"/>
    <col min="6" max="6" width="17.140625" customWidth="1"/>
    <col min="7" max="7" width="14.855468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53</v>
      </c>
      <c r="B2" s="2" t="s">
        <v>54</v>
      </c>
      <c r="C2" s="2">
        <v>2023</v>
      </c>
      <c r="D2" s="3">
        <v>4855346.2125374135</v>
      </c>
      <c r="E2" s="3">
        <v>135386.12959937999</v>
      </c>
      <c r="F2" s="4">
        <v>3.714330459169155E-3</v>
      </c>
      <c r="G2" s="4">
        <v>1.653323199151599E-3</v>
      </c>
    </row>
    <row r="3" spans="1:7" x14ac:dyDescent="0.25">
      <c r="A3" s="2" t="s">
        <v>53</v>
      </c>
      <c r="B3" s="2" t="s">
        <v>54</v>
      </c>
      <c r="C3" s="2">
        <v>2024</v>
      </c>
      <c r="D3" s="3">
        <v>4794949.4413491804</v>
      </c>
      <c r="E3" s="3">
        <v>99309.261365249986</v>
      </c>
      <c r="F3" s="4">
        <v>2.5245281739425698E-3</v>
      </c>
      <c r="G3" s="4">
        <v>8.8733431342220078E-4</v>
      </c>
    </row>
    <row r="4" spans="1:7" x14ac:dyDescent="0.25">
      <c r="A4" s="2" t="s">
        <v>53</v>
      </c>
      <c r="B4" s="2" t="s">
        <v>54</v>
      </c>
      <c r="C4" s="2">
        <v>2022</v>
      </c>
      <c r="D4" s="3">
        <v>4600808.5022977749</v>
      </c>
      <c r="E4" s="3">
        <v>60802.035819069999</v>
      </c>
      <c r="F4" s="4">
        <v>6.8489439848556958E-3</v>
      </c>
      <c r="G4" s="4">
        <v>8.4462018431121508E-4</v>
      </c>
    </row>
    <row r="5" spans="1:7" x14ac:dyDescent="0.25">
      <c r="A5" s="2" t="s">
        <v>53</v>
      </c>
      <c r="B5" s="2" t="s">
        <v>54</v>
      </c>
      <c r="C5" s="2">
        <v>2021</v>
      </c>
      <c r="D5" s="3">
        <v>4270265.7526510246</v>
      </c>
      <c r="E5" s="3">
        <v>72255.755925899997</v>
      </c>
      <c r="F5" s="4">
        <v>2.7888505476110981E-2</v>
      </c>
      <c r="G5" s="4">
        <v>1.402683970588293E-3</v>
      </c>
    </row>
    <row r="6" spans="1:7" x14ac:dyDescent="0.25">
      <c r="A6" s="2" t="s">
        <v>55</v>
      </c>
      <c r="B6" s="2" t="s">
        <v>56</v>
      </c>
      <c r="C6" s="2">
        <v>2024</v>
      </c>
      <c r="D6" s="3">
        <v>2292248.1387702548</v>
      </c>
      <c r="E6" s="3">
        <v>34254.624294250003</v>
      </c>
      <c r="F6" s="4">
        <v>1.595347631915882E-3</v>
      </c>
      <c r="G6" s="4">
        <v>9.361237617013568E-4</v>
      </c>
    </row>
    <row r="7" spans="1:7" x14ac:dyDescent="0.25">
      <c r="A7" s="2" t="s">
        <v>55</v>
      </c>
      <c r="B7" s="2" t="s">
        <v>56</v>
      </c>
      <c r="C7" s="2">
        <v>2023</v>
      </c>
      <c r="D7" s="3">
        <v>2266287.1009142809</v>
      </c>
      <c r="E7" s="3">
        <v>31237.990653870002</v>
      </c>
      <c r="F7" s="4">
        <v>4.7806163538082437E-3</v>
      </c>
      <c r="G7" s="4">
        <v>7.032550042484375E-4</v>
      </c>
    </row>
    <row r="8" spans="1:7" x14ac:dyDescent="0.25">
      <c r="A8" s="2" t="s">
        <v>55</v>
      </c>
      <c r="B8" s="2" t="s">
        <v>56</v>
      </c>
      <c r="C8" s="2">
        <v>2022</v>
      </c>
      <c r="D8" s="3">
        <v>2155091.885649004</v>
      </c>
      <c r="E8" s="3">
        <v>55489.055466000013</v>
      </c>
      <c r="F8" s="4">
        <v>8.0723796852959749E-4</v>
      </c>
      <c r="G8" s="4">
        <v>7.0553447782127363E-3</v>
      </c>
    </row>
    <row r="9" spans="1:7" x14ac:dyDescent="0.25">
      <c r="A9" s="2" t="s">
        <v>55</v>
      </c>
      <c r="B9" s="2" t="s">
        <v>56</v>
      </c>
      <c r="C9" s="2">
        <v>2021</v>
      </c>
      <c r="D9" s="3">
        <v>1926632.816358228</v>
      </c>
      <c r="E9" s="3">
        <v>70482.351956779996</v>
      </c>
      <c r="F9" s="4">
        <v>1.720869178633199E-3</v>
      </c>
      <c r="G9" s="4">
        <v>1.9771398616983161E-4</v>
      </c>
    </row>
    <row r="10" spans="1:7" x14ac:dyDescent="0.25">
      <c r="A10" s="2" t="s">
        <v>57</v>
      </c>
      <c r="B10" s="2" t="s">
        <v>58</v>
      </c>
      <c r="C10" s="2">
        <v>2023</v>
      </c>
      <c r="D10" s="3">
        <v>297348.59581775579</v>
      </c>
      <c r="E10" s="3">
        <v>16286.65164027</v>
      </c>
      <c r="F10" s="4">
        <v>1.754538540588953E-4</v>
      </c>
      <c r="G10" s="4">
        <v>1.917541117093744E-3</v>
      </c>
    </row>
    <row r="11" spans="1:7" x14ac:dyDescent="0.25">
      <c r="A11" s="2" t="s">
        <v>59</v>
      </c>
      <c r="B11" s="2" t="s">
        <v>60</v>
      </c>
      <c r="C11" s="2">
        <v>2021</v>
      </c>
      <c r="D11" s="3">
        <v>234330.45241976029</v>
      </c>
      <c r="E11" s="3">
        <v>5602.2332923599997</v>
      </c>
      <c r="F11" s="4">
        <v>1.6046617180793979E-4</v>
      </c>
      <c r="G11" s="4">
        <v>1.7497075699021261E-4</v>
      </c>
    </row>
    <row r="12" spans="1:7" x14ac:dyDescent="0.25">
      <c r="A12" s="2" t="s">
        <v>61</v>
      </c>
      <c r="B12" s="2" t="s">
        <v>62</v>
      </c>
      <c r="C12" s="2">
        <v>2022</v>
      </c>
      <c r="D12" s="3">
        <v>160888.6352920986</v>
      </c>
      <c r="E12" s="3">
        <v>893.32115457000009</v>
      </c>
      <c r="F12" s="4">
        <v>6.8539092001545414E-3</v>
      </c>
      <c r="G12" s="4">
        <v>6.0481966338306683E-4</v>
      </c>
    </row>
    <row r="13" spans="1:7" x14ac:dyDescent="0.25">
      <c r="A13" s="2" t="s">
        <v>61</v>
      </c>
      <c r="B13" s="2" t="s">
        <v>62</v>
      </c>
      <c r="C13" s="2">
        <v>2021</v>
      </c>
      <c r="D13" s="3">
        <v>133123.48380322519</v>
      </c>
      <c r="E13" s="3">
        <v>1151.69215446</v>
      </c>
      <c r="F13" s="4">
        <v>3.5158370961540082E-5</v>
      </c>
      <c r="G13" s="4">
        <v>1.878029724891315E-3</v>
      </c>
    </row>
    <row r="15" spans="1:7" x14ac:dyDescent="0.25">
      <c r="B15" s="5" t="s">
        <v>13</v>
      </c>
      <c r="D15" s="3">
        <f>MEDIAN(D2:D13)</f>
        <v>2210689.4932816424</v>
      </c>
    </row>
    <row r="17" spans="2:7" x14ac:dyDescent="0.25">
      <c r="B17" s="6" t="s">
        <v>14</v>
      </c>
      <c r="D17" s="3">
        <f>AVERAGE(D2:D7)</f>
        <v>3846650.8580866549</v>
      </c>
      <c r="E17" s="3">
        <f t="shared" ref="E17:G17" si="0">AVERAGE(E2:E7)</f>
        <v>72207.632942953322</v>
      </c>
      <c r="F17" s="4">
        <f t="shared" si="0"/>
        <v>7.892045346633755E-3</v>
      </c>
      <c r="G17" s="4">
        <f t="shared" si="0"/>
        <v>1.0712234055705171E-3</v>
      </c>
    </row>
    <row r="18" spans="2:7" x14ac:dyDescent="0.25">
      <c r="B18" s="6" t="s">
        <v>15</v>
      </c>
      <c r="D18" s="3">
        <f>AVERAGE(D8:D13)</f>
        <v>817902.6448900121</v>
      </c>
      <c r="E18" s="3">
        <f t="shared" ref="E18:G18" si="1">AVERAGE(E8:E13)</f>
        <v>24984.217610740001</v>
      </c>
      <c r="F18" s="4">
        <f t="shared" si="1"/>
        <v>1.6255157906909521E-3</v>
      </c>
      <c r="G18" s="4">
        <f t="shared" si="1"/>
        <v>1.9714033377901509E-3</v>
      </c>
    </row>
    <row r="20" spans="2:7" x14ac:dyDescent="0.25">
      <c r="B20" s="6" t="s">
        <v>52</v>
      </c>
      <c r="D20" s="3">
        <f>D17/D18</f>
        <v>4.7030669018119333</v>
      </c>
      <c r="E20" s="3">
        <f t="shared" ref="E20:G20" si="2">E17/E18</f>
        <v>2.8901298438864593</v>
      </c>
      <c r="F20" s="3">
        <f t="shared" si="2"/>
        <v>4.8551022339063907</v>
      </c>
      <c r="G20" s="3">
        <f t="shared" si="2"/>
        <v>0.54338114633168244</v>
      </c>
    </row>
  </sheetData>
  <conditionalFormatting sqref="D2:D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selection activeCell="D20" sqref="D20:G20"/>
    </sheetView>
  </sheetViews>
  <sheetFormatPr defaultRowHeight="15" x14ac:dyDescent="0.25"/>
  <cols>
    <col min="1" max="1" width="120.28515625" customWidth="1"/>
    <col min="4" max="4" width="12" customWidth="1"/>
    <col min="5" max="5" width="12.140625" customWidth="1"/>
    <col min="6" max="6" width="15.85546875" customWidth="1"/>
    <col min="7" max="7" width="1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87</v>
      </c>
      <c r="B2" s="2" t="s">
        <v>88</v>
      </c>
      <c r="C2" s="2">
        <v>2024</v>
      </c>
      <c r="D2" s="3">
        <v>2312764.5271400302</v>
      </c>
      <c r="E2" s="3">
        <v>35420.059524999997</v>
      </c>
      <c r="F2" s="10">
        <v>5.6205038026400662E-3</v>
      </c>
      <c r="G2" s="10">
        <v>1.8864917830766969E-3</v>
      </c>
    </row>
    <row r="3" spans="1:7" x14ac:dyDescent="0.25">
      <c r="A3" s="2" t="s">
        <v>87</v>
      </c>
      <c r="B3" s="2" t="s">
        <v>88</v>
      </c>
      <c r="C3" s="2">
        <v>2023</v>
      </c>
      <c r="D3" s="3">
        <v>2056038.0691327541</v>
      </c>
      <c r="E3" s="3">
        <v>35306.169047820003</v>
      </c>
      <c r="F3" s="10">
        <v>7.4585983781851224E-3</v>
      </c>
      <c r="G3" s="10">
        <v>1.5495337612500891E-3</v>
      </c>
    </row>
    <row r="4" spans="1:7" x14ac:dyDescent="0.25">
      <c r="A4" s="2" t="s">
        <v>87</v>
      </c>
      <c r="B4" s="2" t="s">
        <v>88</v>
      </c>
      <c r="C4" s="2">
        <v>2022</v>
      </c>
      <c r="D4" s="3">
        <v>1713109.9518803279</v>
      </c>
      <c r="E4" s="3">
        <v>77023.192478700003</v>
      </c>
      <c r="F4" s="10">
        <v>9.4864560705148846E-3</v>
      </c>
      <c r="G4" s="10">
        <v>3.0572532777723999E-3</v>
      </c>
    </row>
    <row r="5" spans="1:7" x14ac:dyDescent="0.25">
      <c r="A5" s="2" t="s">
        <v>87</v>
      </c>
      <c r="B5" s="2" t="s">
        <v>88</v>
      </c>
      <c r="C5" s="2">
        <v>2021</v>
      </c>
      <c r="D5" s="3">
        <v>1230284.2821290109</v>
      </c>
      <c r="E5" s="3">
        <v>94580.340012330009</v>
      </c>
      <c r="F5" s="10">
        <v>4.1181927359240046E-3</v>
      </c>
      <c r="G5" s="10">
        <v>2.9431664964802489E-3</v>
      </c>
    </row>
    <row r="6" spans="1:7" x14ac:dyDescent="0.25">
      <c r="A6" s="2" t="s">
        <v>89</v>
      </c>
      <c r="B6" s="2" t="s">
        <v>90</v>
      </c>
      <c r="C6" s="2">
        <v>2023</v>
      </c>
      <c r="D6" s="3">
        <v>1177149.00870383</v>
      </c>
      <c r="E6" s="3">
        <v>54257.120220599987</v>
      </c>
      <c r="F6" s="10">
        <v>3.1222927114860181E-2</v>
      </c>
      <c r="G6" s="10">
        <v>4.4066793598312361E-3</v>
      </c>
    </row>
    <row r="7" spans="1:7" x14ac:dyDescent="0.25">
      <c r="A7" s="2" t="s">
        <v>89</v>
      </c>
      <c r="B7" s="2" t="s">
        <v>90</v>
      </c>
      <c r="C7" s="2">
        <v>2024</v>
      </c>
      <c r="D7" s="3">
        <v>1104497.8864203531</v>
      </c>
      <c r="E7" s="3">
        <v>55926.329561999992</v>
      </c>
      <c r="F7" s="10">
        <v>1.456969533637424E-2</v>
      </c>
      <c r="G7" s="10">
        <v>1.725521704280945E-3</v>
      </c>
    </row>
    <row r="8" spans="1:7" x14ac:dyDescent="0.25">
      <c r="A8" s="2" t="s">
        <v>89</v>
      </c>
      <c r="B8" s="2" t="s">
        <v>90</v>
      </c>
      <c r="C8" s="2">
        <v>2021</v>
      </c>
      <c r="D8" s="3">
        <v>1083208.9167629869</v>
      </c>
      <c r="E8" s="3">
        <v>110639.49239553</v>
      </c>
      <c r="F8" s="10">
        <v>6.9333248439685724E-3</v>
      </c>
      <c r="G8" s="10">
        <v>1.1143475296256969E-3</v>
      </c>
    </row>
    <row r="9" spans="1:7" x14ac:dyDescent="0.25">
      <c r="A9" s="2" t="s">
        <v>89</v>
      </c>
      <c r="B9" s="2" t="s">
        <v>90</v>
      </c>
      <c r="C9" s="2">
        <v>2022</v>
      </c>
      <c r="D9" s="3">
        <v>1077864.821598877</v>
      </c>
      <c r="E9" s="3">
        <v>73997.227386940009</v>
      </c>
      <c r="F9" s="10">
        <v>9.7692142174449353E-3</v>
      </c>
      <c r="G9" s="10">
        <v>9.558347653642385E-3</v>
      </c>
    </row>
    <row r="10" spans="1:7" x14ac:dyDescent="0.25">
      <c r="A10" s="2" t="s">
        <v>91</v>
      </c>
      <c r="B10" s="2" t="s">
        <v>92</v>
      </c>
      <c r="C10" s="2">
        <v>2024</v>
      </c>
      <c r="D10" s="3">
        <v>729412.67096789309</v>
      </c>
      <c r="E10" s="3">
        <v>60313.34351775</v>
      </c>
      <c r="F10" s="10">
        <v>3.7694938920620688E-4</v>
      </c>
      <c r="G10" s="10">
        <v>1.654533485954597E-3</v>
      </c>
    </row>
    <row r="11" spans="1:7" x14ac:dyDescent="0.25">
      <c r="A11" s="2" t="s">
        <v>91</v>
      </c>
      <c r="B11" s="2" t="s">
        <v>92</v>
      </c>
      <c r="C11" s="2">
        <v>2021</v>
      </c>
      <c r="D11" s="3">
        <v>648447.24948227091</v>
      </c>
      <c r="E11" s="3">
        <v>22130.276711350001</v>
      </c>
      <c r="F11" s="10">
        <v>1.068848483528837E-2</v>
      </c>
      <c r="G11" s="10">
        <v>8.5913209572516789E-4</v>
      </c>
    </row>
    <row r="12" spans="1:7" x14ac:dyDescent="0.25">
      <c r="A12" s="2" t="s">
        <v>91</v>
      </c>
      <c r="B12" s="2" t="s">
        <v>92</v>
      </c>
      <c r="C12" s="2">
        <v>2023</v>
      </c>
      <c r="D12" s="3">
        <v>647963.01508706179</v>
      </c>
      <c r="E12" s="3">
        <v>30679.58334573</v>
      </c>
      <c r="F12" s="10">
        <v>6.9744795028248326E-4</v>
      </c>
      <c r="G12" s="10">
        <v>1.104087647419581E-4</v>
      </c>
    </row>
    <row r="13" spans="1:7" x14ac:dyDescent="0.25">
      <c r="A13" s="2" t="s">
        <v>91</v>
      </c>
      <c r="B13" s="2" t="s">
        <v>92</v>
      </c>
      <c r="C13" s="2">
        <v>2022</v>
      </c>
      <c r="D13" s="3">
        <v>585416.38894337451</v>
      </c>
      <c r="E13" s="3">
        <v>80201.013479729998</v>
      </c>
      <c r="F13" s="10">
        <v>3.0546519921711193E-4</v>
      </c>
      <c r="G13" s="10">
        <v>1.7612261076438901E-4</v>
      </c>
    </row>
    <row r="15" spans="1:7" x14ac:dyDescent="0.25">
      <c r="B15" s="5" t="s">
        <v>13</v>
      </c>
      <c r="D15" s="3">
        <f>MEDIAN(D2:D13)</f>
        <v>1093853.40159167</v>
      </c>
    </row>
    <row r="17" spans="2:7" x14ac:dyDescent="0.25">
      <c r="B17" s="6" t="s">
        <v>14</v>
      </c>
      <c r="D17" s="3">
        <f>AVERAGE(D2:D7)</f>
        <v>1598973.9542343842</v>
      </c>
      <c r="E17" s="3">
        <f t="shared" ref="E17:G17" si="0">AVERAGE(E2:E7)</f>
        <v>58752.201807741658</v>
      </c>
      <c r="F17" s="4">
        <f t="shared" si="0"/>
        <v>1.2079395573083082E-2</v>
      </c>
      <c r="G17" s="4">
        <f t="shared" si="0"/>
        <v>2.5947743971152693E-3</v>
      </c>
    </row>
    <row r="18" spans="2:7" x14ac:dyDescent="0.25">
      <c r="B18" s="6" t="s">
        <v>15</v>
      </c>
      <c r="D18" s="3">
        <f>AVERAGE(D8:D13)</f>
        <v>795385.51047374401</v>
      </c>
      <c r="E18" s="3">
        <f t="shared" ref="E18:G18" si="1">AVERAGE(E8:E13)</f>
        <v>62993.48947283833</v>
      </c>
      <c r="F18" s="4">
        <f t="shared" si="1"/>
        <v>4.7951477392346132E-3</v>
      </c>
      <c r="G18" s="4">
        <f t="shared" si="1"/>
        <v>2.2454820234090326E-3</v>
      </c>
    </row>
    <row r="20" spans="2:7" x14ac:dyDescent="0.25">
      <c r="B20" s="6" t="s">
        <v>52</v>
      </c>
      <c r="D20" s="3">
        <f>D17/D18</f>
        <v>2.0103131540352179</v>
      </c>
      <c r="E20" s="3">
        <f t="shared" ref="E20:G20" si="2">E17/E18</f>
        <v>0.93267101567812905</v>
      </c>
      <c r="F20" s="3">
        <f t="shared" si="2"/>
        <v>2.5190872586151345</v>
      </c>
      <c r="G20" s="3">
        <f t="shared" si="2"/>
        <v>1.1555534045986038</v>
      </c>
    </row>
  </sheetData>
  <conditionalFormatting sqref="D2:D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activeCell="D17" sqref="D17:G17"/>
    </sheetView>
  </sheetViews>
  <sheetFormatPr defaultRowHeight="15" x14ac:dyDescent="0.25"/>
  <cols>
    <col min="1" max="1" width="51.85546875" customWidth="1"/>
    <col min="4" max="4" width="16.5703125" customWidth="1"/>
    <col min="5" max="5" width="12.7109375" customWidth="1"/>
    <col min="6" max="6" width="13.5703125" customWidth="1"/>
    <col min="7" max="7" width="14.7109375" customWidth="1"/>
  </cols>
  <sheetData>
    <row r="1" spans="1:7" x14ac:dyDescent="0.25">
      <c r="A1" s="11" t="s">
        <v>0</v>
      </c>
      <c r="B1" s="11" t="s">
        <v>1</v>
      </c>
      <c r="C1" s="11" t="s">
        <v>2</v>
      </c>
      <c r="D1" s="11" t="s">
        <v>63</v>
      </c>
      <c r="E1" s="11" t="s">
        <v>4</v>
      </c>
      <c r="F1" s="11" t="s">
        <v>5</v>
      </c>
      <c r="G1" s="11" t="s">
        <v>6</v>
      </c>
    </row>
    <row r="2" spans="1:7" x14ac:dyDescent="0.25">
      <c r="A2" s="2" t="s">
        <v>93</v>
      </c>
      <c r="B2" s="2" t="s">
        <v>94</v>
      </c>
      <c r="C2" s="2">
        <v>2021</v>
      </c>
      <c r="D2" s="3">
        <v>3162049.709016114</v>
      </c>
      <c r="E2" s="3">
        <v>28754.301122820001</v>
      </c>
      <c r="F2" s="4">
        <v>4.4816202664626553E-3</v>
      </c>
      <c r="G2" s="4">
        <v>8.4653638062801126E-4</v>
      </c>
    </row>
    <row r="3" spans="1:7" x14ac:dyDescent="0.25">
      <c r="A3" s="2" t="s">
        <v>93</v>
      </c>
      <c r="B3" s="2" t="s">
        <v>94</v>
      </c>
      <c r="C3" s="2">
        <v>2023</v>
      </c>
      <c r="D3" s="3">
        <v>3063178.2048380482</v>
      </c>
      <c r="E3" s="3">
        <v>4552.0415732800002</v>
      </c>
      <c r="F3" s="4">
        <v>5.8592278586730327E-3</v>
      </c>
      <c r="G3" s="4">
        <v>6.9752471915851143E-4</v>
      </c>
    </row>
    <row r="4" spans="1:7" x14ac:dyDescent="0.25">
      <c r="A4" s="2" t="s">
        <v>93</v>
      </c>
      <c r="B4" s="2" t="s">
        <v>94</v>
      </c>
      <c r="C4" s="2">
        <v>2022</v>
      </c>
      <c r="D4" s="3">
        <v>2844592.645754816</v>
      </c>
      <c r="E4" s="3">
        <v>13495.267380560001</v>
      </c>
      <c r="F4" s="4">
        <v>9.4137314672996359E-4</v>
      </c>
      <c r="G4" s="4">
        <v>4.9632040263599883E-4</v>
      </c>
    </row>
    <row r="5" spans="1:7" x14ac:dyDescent="0.25">
      <c r="A5" s="2" t="s">
        <v>95</v>
      </c>
      <c r="B5" s="2" t="s">
        <v>96</v>
      </c>
      <c r="C5" s="2">
        <v>2023</v>
      </c>
      <c r="D5" s="3">
        <v>1986156.080578048</v>
      </c>
      <c r="E5" s="3">
        <v>10023.30762064</v>
      </c>
      <c r="F5" s="4">
        <v>8.3094423869115915E-3</v>
      </c>
      <c r="G5" s="4">
        <v>2.6112463660302979E-4</v>
      </c>
    </row>
    <row r="6" spans="1:7" x14ac:dyDescent="0.25">
      <c r="A6" s="2" t="s">
        <v>95</v>
      </c>
      <c r="B6" s="2" t="s">
        <v>96</v>
      </c>
      <c r="C6" s="2">
        <v>2022</v>
      </c>
      <c r="D6" s="3">
        <v>1956784.5814760141</v>
      </c>
      <c r="E6" s="3">
        <v>13840.213139900001</v>
      </c>
      <c r="F6" s="4">
        <v>5.5526598631959554E-4</v>
      </c>
      <c r="G6" s="4">
        <v>1.7115461706084071E-4</v>
      </c>
    </row>
    <row r="7" spans="1:7" x14ac:dyDescent="0.25">
      <c r="A7" s="2" t="s">
        <v>97</v>
      </c>
      <c r="B7" s="2" t="s">
        <v>98</v>
      </c>
      <c r="C7" s="2">
        <v>2021</v>
      </c>
      <c r="D7" s="3">
        <v>1934582.820337062</v>
      </c>
      <c r="E7" s="3">
        <v>4804.5085313400004</v>
      </c>
      <c r="F7" s="4">
        <v>1.828511270756302E-3</v>
      </c>
      <c r="G7" s="4">
        <v>2.0188332181595189E-3</v>
      </c>
    </row>
    <row r="8" spans="1:7" x14ac:dyDescent="0.25">
      <c r="A8" s="2" t="s">
        <v>95</v>
      </c>
      <c r="B8" s="2" t="s">
        <v>96</v>
      </c>
      <c r="C8" s="2">
        <v>2021</v>
      </c>
      <c r="D8" s="3">
        <v>1929006.46472436</v>
      </c>
      <c r="E8" s="3">
        <v>30751.247821140001</v>
      </c>
      <c r="F8" s="4">
        <v>3.6624865779454649E-4</v>
      </c>
      <c r="G8" s="4">
        <v>3.3220418369420449E-4</v>
      </c>
    </row>
    <row r="9" spans="1:7" x14ac:dyDescent="0.25">
      <c r="A9" s="2" t="s">
        <v>97</v>
      </c>
      <c r="B9" s="2" t="s">
        <v>98</v>
      </c>
      <c r="C9" s="2">
        <v>2023</v>
      </c>
      <c r="D9" s="3">
        <v>1847753.5707314</v>
      </c>
      <c r="E9" s="3">
        <v>3004.4345673600001</v>
      </c>
      <c r="F9" s="4">
        <v>4.726564124336423E-3</v>
      </c>
      <c r="G9" s="4">
        <v>4.5218654277226359E-4</v>
      </c>
    </row>
    <row r="10" spans="1:7" x14ac:dyDescent="0.25">
      <c r="A10" s="2" t="s">
        <v>97</v>
      </c>
      <c r="B10" s="2" t="s">
        <v>98</v>
      </c>
      <c r="C10" s="2">
        <v>2022</v>
      </c>
      <c r="D10" s="3">
        <v>1771136.789893996</v>
      </c>
      <c r="E10" s="3">
        <v>2860.9363756799999</v>
      </c>
      <c r="F10" s="4">
        <v>2.9910971431393869E-3</v>
      </c>
      <c r="G10" s="4">
        <v>5.8399632169480961E-4</v>
      </c>
    </row>
    <row r="12" spans="1:7" x14ac:dyDescent="0.25">
      <c r="B12" s="5" t="s">
        <v>13</v>
      </c>
      <c r="D12" s="3">
        <f>MEDIAN(D2:D10)</f>
        <v>1956784.5814760141</v>
      </c>
    </row>
    <row r="14" spans="1:7" x14ac:dyDescent="0.25">
      <c r="B14" s="6" t="s">
        <v>14</v>
      </c>
      <c r="D14" s="3">
        <f>AVERAGE(D2:D5)</f>
        <v>2763994.1600467563</v>
      </c>
      <c r="E14" s="3">
        <f t="shared" ref="E14:G14" si="0">AVERAGE(E2:E5)</f>
        <v>14206.229424325</v>
      </c>
      <c r="F14" s="4">
        <f t="shared" si="0"/>
        <v>4.8979159146943108E-3</v>
      </c>
      <c r="G14" s="4">
        <f t="shared" si="0"/>
        <v>5.7537653475638788E-4</v>
      </c>
    </row>
    <row r="15" spans="1:7" x14ac:dyDescent="0.25">
      <c r="B15" s="6" t="s">
        <v>15</v>
      </c>
      <c r="D15" s="3">
        <f>AVERAGE(D7:D10)</f>
        <v>1870619.9114217046</v>
      </c>
      <c r="E15" s="3">
        <f t="shared" ref="E15:G15" si="1">AVERAGE(E7:E10)</f>
        <v>10355.281823879999</v>
      </c>
      <c r="F15" s="4">
        <f t="shared" si="1"/>
        <v>2.4781052990066645E-3</v>
      </c>
      <c r="G15" s="4">
        <f t="shared" si="1"/>
        <v>8.468050665801991E-4</v>
      </c>
    </row>
    <row r="17" spans="2:7" x14ac:dyDescent="0.25">
      <c r="B17" t="s">
        <v>52</v>
      </c>
      <c r="D17">
        <f>D14/D15</f>
        <v>1.4775819198599631</v>
      </c>
      <c r="E17">
        <f t="shared" ref="E17:G17" si="2">E14/E15</f>
        <v>1.3718824524470641</v>
      </c>
      <c r="F17">
        <f t="shared" si="2"/>
        <v>1.9764761072330601</v>
      </c>
      <c r="G17">
        <f t="shared" si="2"/>
        <v>0.6794675155641563</v>
      </c>
    </row>
  </sheetData>
  <conditionalFormatting sqref="D2:D10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0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0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:D15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:E15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:F15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:G1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workbookViewId="0">
      <selection activeCell="D20" sqref="D20:G20"/>
    </sheetView>
  </sheetViews>
  <sheetFormatPr defaultRowHeight="15" x14ac:dyDescent="0.25"/>
  <cols>
    <col min="1" max="1" width="93" customWidth="1"/>
    <col min="4" max="4" width="14.85546875" customWidth="1"/>
    <col min="5" max="5" width="13" customWidth="1"/>
    <col min="6" max="6" width="13.5703125" customWidth="1"/>
    <col min="7" max="7" width="14.425781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81</v>
      </c>
      <c r="B2" s="2" t="s">
        <v>82</v>
      </c>
      <c r="C2" s="2">
        <v>2022</v>
      </c>
      <c r="D2" s="3">
        <v>9937990.5894197039</v>
      </c>
      <c r="E2" s="3">
        <v>137654.50809200999</v>
      </c>
      <c r="F2" s="4">
        <v>2.451646095414645E-3</v>
      </c>
      <c r="G2" s="4">
        <v>7.6188786690442915E-4</v>
      </c>
    </row>
    <row r="3" spans="1:7" x14ac:dyDescent="0.25">
      <c r="A3" s="2" t="s">
        <v>81</v>
      </c>
      <c r="B3" s="2" t="s">
        <v>82</v>
      </c>
      <c r="C3" s="2">
        <v>2021</v>
      </c>
      <c r="D3" s="3">
        <v>9153211.3096406423</v>
      </c>
      <c r="E3" s="3">
        <v>158802.14720132999</v>
      </c>
      <c r="F3" s="4">
        <v>2.8137256066412789E-3</v>
      </c>
      <c r="G3" s="4">
        <v>2.4032687441319662E-3</v>
      </c>
    </row>
    <row r="4" spans="1:7" x14ac:dyDescent="0.25">
      <c r="A4" s="2" t="s">
        <v>81</v>
      </c>
      <c r="B4" s="2" t="s">
        <v>82</v>
      </c>
      <c r="C4" s="2">
        <v>2023</v>
      </c>
      <c r="D4" s="3">
        <v>8323850.3002414759</v>
      </c>
      <c r="E4" s="3">
        <v>69747.682037220002</v>
      </c>
      <c r="F4" s="4">
        <v>3.3950559124479012E-3</v>
      </c>
      <c r="G4" s="4">
        <v>9.6936097165093425E-4</v>
      </c>
    </row>
    <row r="5" spans="1:7" x14ac:dyDescent="0.25">
      <c r="A5" s="2" t="s">
        <v>81</v>
      </c>
      <c r="B5" s="2" t="s">
        <v>82</v>
      </c>
      <c r="C5" s="2">
        <v>2024</v>
      </c>
      <c r="D5" s="3">
        <v>7695797.0900557945</v>
      </c>
      <c r="E5" s="3">
        <v>86242.724574749998</v>
      </c>
      <c r="F5" s="4">
        <v>2.8921735657111581E-3</v>
      </c>
      <c r="G5" s="4">
        <v>1.1051378185227779E-3</v>
      </c>
    </row>
    <row r="6" spans="1:7" x14ac:dyDescent="0.25">
      <c r="A6" s="2" t="s">
        <v>83</v>
      </c>
      <c r="B6" s="2" t="s">
        <v>84</v>
      </c>
      <c r="C6" s="2">
        <v>2024</v>
      </c>
      <c r="D6" s="3">
        <v>5034263.5495518269</v>
      </c>
      <c r="E6" s="3">
        <v>65873.429441999993</v>
      </c>
      <c r="F6" s="4">
        <v>2.9423350149191101E-3</v>
      </c>
      <c r="G6" s="4">
        <v>3.4897071466789652E-4</v>
      </c>
    </row>
    <row r="7" spans="1:7" x14ac:dyDescent="0.25">
      <c r="A7" s="2" t="s">
        <v>83</v>
      </c>
      <c r="B7" s="2" t="s">
        <v>84</v>
      </c>
      <c r="C7" s="2">
        <v>2023</v>
      </c>
      <c r="D7" s="3">
        <v>4961117.4365704898</v>
      </c>
      <c r="E7" s="3">
        <v>63209.692581750001</v>
      </c>
      <c r="F7" s="4">
        <v>4.351387458407175E-3</v>
      </c>
      <c r="G7" s="4">
        <v>5.6592795928781631E-4</v>
      </c>
    </row>
    <row r="8" spans="1:7" x14ac:dyDescent="0.25">
      <c r="A8" s="2" t="s">
        <v>83</v>
      </c>
      <c r="B8" s="2" t="s">
        <v>84</v>
      </c>
      <c r="C8" s="2">
        <v>2022</v>
      </c>
      <c r="D8" s="3">
        <v>4783385.1798815951</v>
      </c>
      <c r="E8" s="3">
        <v>64669.840333150009</v>
      </c>
      <c r="F8" s="4">
        <v>2.0954023999737231E-3</v>
      </c>
      <c r="G8" s="4">
        <v>5.9056880507593645E-4</v>
      </c>
    </row>
    <row r="9" spans="1:7" x14ac:dyDescent="0.25">
      <c r="A9" s="2" t="s">
        <v>83</v>
      </c>
      <c r="B9" s="2" t="s">
        <v>84</v>
      </c>
      <c r="C9" s="2">
        <v>2021</v>
      </c>
      <c r="D9" s="3">
        <v>4448196.0441567702</v>
      </c>
      <c r="E9" s="3">
        <v>96473.926682400008</v>
      </c>
      <c r="F9" s="4">
        <v>4.425446074207404E-4</v>
      </c>
      <c r="G9" s="4">
        <v>2.154034060250509E-4</v>
      </c>
    </row>
    <row r="10" spans="1:7" x14ac:dyDescent="0.25">
      <c r="A10" s="2" t="s">
        <v>85</v>
      </c>
      <c r="B10" s="2" t="s">
        <v>86</v>
      </c>
      <c r="C10" s="2">
        <v>2023</v>
      </c>
      <c r="D10" s="3">
        <v>1252686.154182706</v>
      </c>
      <c r="E10" s="3">
        <v>9796.3168782600005</v>
      </c>
      <c r="F10" s="4">
        <v>0.13430184443805829</v>
      </c>
      <c r="G10" s="4">
        <v>5.218380319387952E-4</v>
      </c>
    </row>
    <row r="11" spans="1:7" x14ac:dyDescent="0.25">
      <c r="A11" s="2" t="s">
        <v>85</v>
      </c>
      <c r="B11" s="2" t="s">
        <v>86</v>
      </c>
      <c r="C11" s="2">
        <v>2021</v>
      </c>
      <c r="D11" s="3">
        <v>1194490.274669243</v>
      </c>
      <c r="E11" s="3">
        <v>19231.118310289999</v>
      </c>
      <c r="F11" s="4">
        <v>5.2147019888250969E-3</v>
      </c>
      <c r="G11" s="4">
        <v>4.9058279907476332E-4</v>
      </c>
    </row>
    <row r="12" spans="1:7" x14ac:dyDescent="0.25">
      <c r="A12" s="2" t="s">
        <v>85</v>
      </c>
      <c r="B12" s="2" t="s">
        <v>86</v>
      </c>
      <c r="C12" s="2">
        <v>2024</v>
      </c>
      <c r="D12" s="3">
        <v>1165717.934645507</v>
      </c>
      <c r="E12" s="3">
        <v>8785.8682089999984</v>
      </c>
      <c r="F12" s="4">
        <v>1.025148686019859E-2</v>
      </c>
      <c r="G12" s="4">
        <v>1.7444704536200269E-4</v>
      </c>
    </row>
    <row r="13" spans="1:7" x14ac:dyDescent="0.25">
      <c r="A13" s="2" t="s">
        <v>85</v>
      </c>
      <c r="B13" s="2" t="s">
        <v>86</v>
      </c>
      <c r="C13" s="2">
        <v>2022</v>
      </c>
      <c r="D13" s="3">
        <v>1063712.5319653209</v>
      </c>
      <c r="E13" s="3">
        <v>8180.2586681400007</v>
      </c>
      <c r="F13" s="4">
        <v>1.6866644248961379E-2</v>
      </c>
      <c r="G13" s="4">
        <v>6.3103132179727491E-4</v>
      </c>
    </row>
    <row r="15" spans="1:7" x14ac:dyDescent="0.25">
      <c r="B15" s="5" t="s">
        <v>13</v>
      </c>
      <c r="D15" s="3">
        <f>MEDIAN(D2:D13)</f>
        <v>4872251.3082260424</v>
      </c>
    </row>
    <row r="16" spans="1:7" x14ac:dyDescent="0.25">
      <c r="B16" s="6"/>
    </row>
    <row r="17" spans="1:7" x14ac:dyDescent="0.25">
      <c r="B17" s="6" t="s">
        <v>14</v>
      </c>
      <c r="D17" s="3">
        <f>AVERAGE(D2:D7)</f>
        <v>7517705.0459133228</v>
      </c>
      <c r="E17" s="3">
        <f t="shared" ref="E17:G17" si="0">AVERAGE(E2:E7)</f>
        <v>96921.697321510001</v>
      </c>
      <c r="F17" s="4">
        <f t="shared" si="0"/>
        <v>3.141053942256878E-3</v>
      </c>
      <c r="G17" s="4">
        <f t="shared" si="0"/>
        <v>1.0257590125276369E-3</v>
      </c>
    </row>
    <row r="18" spans="1:7" x14ac:dyDescent="0.25">
      <c r="B18" s="6" t="s">
        <v>15</v>
      </c>
      <c r="D18" s="3">
        <f>AVERAGE(D8:D13)</f>
        <v>2318031.3532501906</v>
      </c>
      <c r="E18" s="3">
        <f t="shared" ref="E18:G18" si="1">AVERAGE(E8:E13)</f>
        <v>34522.888180206675</v>
      </c>
      <c r="F18" s="4">
        <f t="shared" si="1"/>
        <v>2.8195437423906299E-2</v>
      </c>
      <c r="G18" s="4">
        <f t="shared" si="1"/>
        <v>4.3731190154563726E-4</v>
      </c>
    </row>
    <row r="20" spans="1:7" x14ac:dyDescent="0.25">
      <c r="D20">
        <f>D17/D18</f>
        <v>3.243142089244174</v>
      </c>
      <c r="E20">
        <f t="shared" ref="E20:G20" si="2">E17/E18</f>
        <v>2.8074620181135077</v>
      </c>
      <c r="F20">
        <f t="shared" si="2"/>
        <v>0.11140291583466078</v>
      </c>
      <c r="G20">
        <f t="shared" si="2"/>
        <v>2.3456004945261939</v>
      </c>
    </row>
    <row r="23" spans="1:7" x14ac:dyDescent="0.25">
      <c r="A23" s="2" t="s">
        <v>83</v>
      </c>
      <c r="B23" s="2" t="s">
        <v>84</v>
      </c>
      <c r="C23" s="2">
        <v>2024</v>
      </c>
      <c r="D23" s="3">
        <v>5034263.5495518269</v>
      </c>
      <c r="E23" s="3">
        <v>65873.429441999993</v>
      </c>
      <c r="F23" s="4">
        <v>2.9423350149191101E-3</v>
      </c>
      <c r="G23" s="4">
        <v>3.4897071466789652E-4</v>
      </c>
    </row>
    <row r="24" spans="1:7" x14ac:dyDescent="0.25">
      <c r="A24" s="2" t="s">
        <v>83</v>
      </c>
      <c r="B24" s="2" t="s">
        <v>84</v>
      </c>
      <c r="C24" s="2">
        <v>2023</v>
      </c>
      <c r="D24" s="3">
        <v>4961117.4365704898</v>
      </c>
      <c r="E24" s="3">
        <v>63209.692581750001</v>
      </c>
      <c r="F24" s="4">
        <v>4.351387458407175E-3</v>
      </c>
      <c r="G24" s="4">
        <v>5.6592795928781631E-4</v>
      </c>
    </row>
    <row r="25" spans="1:7" x14ac:dyDescent="0.25">
      <c r="A25" s="2" t="s">
        <v>83</v>
      </c>
      <c r="B25" s="2" t="s">
        <v>84</v>
      </c>
      <c r="C25" s="2">
        <v>2022</v>
      </c>
      <c r="D25" s="3">
        <v>4783385.1798815951</v>
      </c>
      <c r="E25" s="3">
        <v>64669.840333150009</v>
      </c>
      <c r="F25" s="4">
        <v>2.0954023999737231E-3</v>
      </c>
      <c r="G25" s="4">
        <v>5.9056880507593645E-4</v>
      </c>
    </row>
    <row r="26" spans="1:7" x14ac:dyDescent="0.25">
      <c r="A26" s="2" t="s">
        <v>83</v>
      </c>
      <c r="B26" s="2" t="s">
        <v>84</v>
      </c>
      <c r="C26" s="2">
        <v>2021</v>
      </c>
      <c r="D26" s="3">
        <v>4448196.0441567702</v>
      </c>
      <c r="E26" s="3">
        <v>96473.926682400008</v>
      </c>
      <c r="F26" s="4">
        <v>4.425446074207404E-4</v>
      </c>
      <c r="G26" s="4">
        <v>2.154034060250509E-4</v>
      </c>
    </row>
    <row r="28" spans="1:7" x14ac:dyDescent="0.25">
      <c r="B28" s="6" t="s">
        <v>14</v>
      </c>
      <c r="D28" s="3">
        <f>AVERAGE(D23:D24)</f>
        <v>4997690.4930611588</v>
      </c>
      <c r="E28" s="3">
        <f t="shared" ref="E28:G28" si="3">AVERAGE(E23:E24)</f>
        <v>64541.561011874997</v>
      </c>
      <c r="F28" s="4">
        <f t="shared" si="3"/>
        <v>3.6468612366631426E-3</v>
      </c>
      <c r="G28" s="4">
        <f t="shared" si="3"/>
        <v>4.5744933697785639E-4</v>
      </c>
    </row>
    <row r="29" spans="1:7" x14ac:dyDescent="0.25">
      <c r="B29" s="6" t="s">
        <v>15</v>
      </c>
      <c r="D29" s="3">
        <f>AVERAGE(D25:D26)</f>
        <v>4615790.6120191831</v>
      </c>
      <c r="E29" s="3">
        <f t="shared" ref="E29:G29" si="4">AVERAGE(E25:E26)</f>
        <v>80571.883507775012</v>
      </c>
      <c r="F29" s="4">
        <f t="shared" si="4"/>
        <v>1.2689735036972318E-3</v>
      </c>
      <c r="G29" s="4">
        <f t="shared" si="4"/>
        <v>4.0298610555049367E-4</v>
      </c>
    </row>
    <row r="31" spans="1:7" x14ac:dyDescent="0.25">
      <c r="B31" s="6" t="s">
        <v>52</v>
      </c>
      <c r="D31" s="3">
        <f>D28/D29</f>
        <v>1.0827376961267559</v>
      </c>
      <c r="E31" s="3">
        <f t="shared" ref="E31:G31" si="5">E28/E29</f>
        <v>0.80104322006630113</v>
      </c>
      <c r="F31" s="3">
        <f t="shared" si="5"/>
        <v>2.8738671264906555</v>
      </c>
      <c r="G31" s="3">
        <f t="shared" si="5"/>
        <v>1.1351491544676557</v>
      </c>
    </row>
  </sheetData>
  <conditionalFormatting sqref="D2:D1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3:D2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3:E2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3:F2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3:G2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:D2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8:E2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F2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8:G2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2"/>
  <sheetViews>
    <sheetView workbookViewId="0">
      <selection activeCell="D20" sqref="D20:G20"/>
    </sheetView>
  </sheetViews>
  <sheetFormatPr defaultRowHeight="15" x14ac:dyDescent="0.25"/>
  <cols>
    <col min="1" max="1" width="97.85546875" customWidth="1"/>
    <col min="4" max="4" width="13.85546875" customWidth="1"/>
    <col min="5" max="5" width="13.140625" customWidth="1"/>
    <col min="6" max="6" width="15" customWidth="1"/>
    <col min="7" max="7" width="14.2851562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2021</v>
      </c>
      <c r="D2" s="3">
        <v>3292837.3871137551</v>
      </c>
      <c r="E2" s="3">
        <v>5258.5701260400001</v>
      </c>
      <c r="F2" s="4">
        <v>1.0604360748915839E-2</v>
      </c>
      <c r="G2" s="4">
        <v>1.868819729404374E-3</v>
      </c>
    </row>
    <row r="3" spans="1:7" x14ac:dyDescent="0.25">
      <c r="A3" s="2" t="s">
        <v>7</v>
      </c>
      <c r="B3" s="2" t="s">
        <v>8</v>
      </c>
      <c r="C3" s="2">
        <v>2022</v>
      </c>
      <c r="D3" s="3">
        <v>3097084.3107878752</v>
      </c>
      <c r="E3" s="3">
        <v>4162.4721680000002</v>
      </c>
      <c r="F3" s="4">
        <v>1.4081114307645259E-3</v>
      </c>
      <c r="G3" s="4">
        <v>3.9573959548935052E-3</v>
      </c>
    </row>
    <row r="4" spans="1:7" x14ac:dyDescent="0.25">
      <c r="A4" s="2" t="s">
        <v>7</v>
      </c>
      <c r="B4" s="2" t="s">
        <v>8</v>
      </c>
      <c r="C4" s="2">
        <v>2023</v>
      </c>
      <c r="D4" s="3">
        <v>2652658.7944572391</v>
      </c>
      <c r="E4" s="3">
        <v>4253.6615775199998</v>
      </c>
      <c r="F4" s="4">
        <v>2.8806641846538372E-3</v>
      </c>
      <c r="G4" s="4">
        <v>1.8380008135386839E-3</v>
      </c>
    </row>
    <row r="5" spans="1:7" x14ac:dyDescent="0.25">
      <c r="A5" s="2" t="s">
        <v>7</v>
      </c>
      <c r="B5" s="2" t="s">
        <v>8</v>
      </c>
      <c r="C5" s="2">
        <v>2024</v>
      </c>
      <c r="D5" s="3">
        <v>2480166.278394436</v>
      </c>
      <c r="E5" s="3">
        <v>4510.0316159999993</v>
      </c>
      <c r="F5" s="4">
        <v>1.003512255644462E-3</v>
      </c>
      <c r="G5" s="4">
        <v>1.2206708220113729E-3</v>
      </c>
    </row>
    <row r="6" spans="1:7" x14ac:dyDescent="0.25">
      <c r="A6" s="2" t="s">
        <v>11</v>
      </c>
      <c r="B6" s="2" t="s">
        <v>12</v>
      </c>
      <c r="C6" s="2">
        <v>2021</v>
      </c>
      <c r="D6" s="3">
        <v>331647.0310656284</v>
      </c>
      <c r="E6" s="3">
        <v>964.84556195999994</v>
      </c>
      <c r="F6" s="4">
        <v>7.4163848413873461E-4</v>
      </c>
      <c r="G6" s="4">
        <v>3.6380912535570372E-4</v>
      </c>
    </row>
    <row r="7" spans="1:7" x14ac:dyDescent="0.25">
      <c r="A7" s="2" t="s">
        <v>11</v>
      </c>
      <c r="B7" s="2" t="s">
        <v>12</v>
      </c>
      <c r="C7" s="2">
        <v>2023</v>
      </c>
      <c r="D7" s="3">
        <v>255261.79722573471</v>
      </c>
      <c r="E7" s="3">
        <v>888.20773440000005</v>
      </c>
      <c r="F7" s="4">
        <v>1.2066660967819649E-3</v>
      </c>
      <c r="G7" s="4">
        <v>2.863735386990569E-3</v>
      </c>
    </row>
    <row r="8" spans="1:7" x14ac:dyDescent="0.25">
      <c r="A8" s="2" t="s">
        <v>11</v>
      </c>
      <c r="B8" s="2" t="s">
        <v>12</v>
      </c>
      <c r="C8" s="2">
        <v>2022</v>
      </c>
      <c r="D8" s="3">
        <v>238996.75153477999</v>
      </c>
      <c r="E8" s="3">
        <v>863.40619829999991</v>
      </c>
      <c r="F8" s="4">
        <v>7.0023981897559661E-4</v>
      </c>
      <c r="G8" s="4">
        <v>9.1753228267274999E-4</v>
      </c>
    </row>
    <row r="9" spans="1:7" x14ac:dyDescent="0.25">
      <c r="A9" s="2" t="s">
        <v>11</v>
      </c>
      <c r="B9" s="2" t="s">
        <v>12</v>
      </c>
      <c r="C9" s="2">
        <v>2024</v>
      </c>
      <c r="D9" s="3">
        <v>218314.63160777459</v>
      </c>
      <c r="E9" s="3">
        <v>897.65553599999998</v>
      </c>
      <c r="F9" s="4">
        <v>4.6312642581418888E-4</v>
      </c>
      <c r="G9" s="4">
        <v>5.3328786021100191E-3</v>
      </c>
    </row>
    <row r="10" spans="1:7" x14ac:dyDescent="0.25">
      <c r="A10" s="2" t="s">
        <v>9</v>
      </c>
      <c r="B10" s="2" t="s">
        <v>10</v>
      </c>
      <c r="C10" s="2">
        <v>2021</v>
      </c>
      <c r="D10" s="3">
        <v>177476.11420904889</v>
      </c>
      <c r="E10" s="3">
        <v>1454.99992092</v>
      </c>
      <c r="F10" s="4">
        <v>2.7347370558508639E-4</v>
      </c>
      <c r="G10" s="4">
        <v>8.7625687236728058E-4</v>
      </c>
    </row>
    <row r="11" spans="1:7" x14ac:dyDescent="0.25">
      <c r="A11" s="2" t="s">
        <v>9</v>
      </c>
      <c r="B11" s="2" t="s">
        <v>10</v>
      </c>
      <c r="C11" s="2">
        <v>2022</v>
      </c>
      <c r="D11" s="3">
        <v>149725.9222474432</v>
      </c>
      <c r="E11" s="3">
        <v>1319.2765561000001</v>
      </c>
      <c r="F11" s="4">
        <v>9.5143491498901212E-3</v>
      </c>
      <c r="G11" s="4">
        <v>8.6555389370039323E-4</v>
      </c>
    </row>
    <row r="12" spans="1:7" x14ac:dyDescent="0.25">
      <c r="A12" s="2" t="s">
        <v>9</v>
      </c>
      <c r="B12" s="2" t="s">
        <v>10</v>
      </c>
      <c r="C12" s="2">
        <v>2024</v>
      </c>
      <c r="D12" s="3">
        <v>123407.0292947656</v>
      </c>
      <c r="E12" s="3">
        <v>769.72569599999997</v>
      </c>
      <c r="F12" s="4">
        <v>1.643806367093142E-3</v>
      </c>
      <c r="G12" s="4">
        <v>4.963035559098705E-3</v>
      </c>
    </row>
    <row r="13" spans="1:7" x14ac:dyDescent="0.25">
      <c r="A13" s="2" t="s">
        <v>9</v>
      </c>
      <c r="B13" s="2" t="s">
        <v>10</v>
      </c>
      <c r="C13" s="2">
        <v>2023</v>
      </c>
      <c r="D13" s="3">
        <v>118648.02708896549</v>
      </c>
      <c r="E13" s="3">
        <v>640.62859736000007</v>
      </c>
      <c r="F13" s="4">
        <v>4.2703506076277667E-2</v>
      </c>
      <c r="G13" s="4">
        <v>7.645975624855611E-3</v>
      </c>
    </row>
    <row r="15" spans="1:7" x14ac:dyDescent="0.25">
      <c r="B15" s="5" t="s">
        <v>13</v>
      </c>
      <c r="D15" s="3">
        <f>MEDIAN(D2:D13)</f>
        <v>247129.27438025735</v>
      </c>
    </row>
    <row r="16" spans="1:7" x14ac:dyDescent="0.25">
      <c r="B16" s="6"/>
    </row>
    <row r="17" spans="1:7" x14ac:dyDescent="0.25">
      <c r="B17" s="6" t="s">
        <v>14</v>
      </c>
      <c r="D17" s="3">
        <f>AVERAGE(D2:D7)</f>
        <v>2018275.9331741116</v>
      </c>
      <c r="E17" s="3">
        <f t="shared" ref="E17:G17" si="0">AVERAGE(E2:E7)</f>
        <v>3339.6314639866664</v>
      </c>
      <c r="F17" s="4">
        <f t="shared" si="0"/>
        <v>2.974158866816561E-3</v>
      </c>
      <c r="G17" s="4">
        <f t="shared" si="0"/>
        <v>2.0187386386990346E-3</v>
      </c>
    </row>
    <row r="18" spans="1:7" x14ac:dyDescent="0.25">
      <c r="B18" s="6" t="s">
        <v>15</v>
      </c>
      <c r="D18" s="3">
        <f>AVERAGE(D8:D13)</f>
        <v>171094.74599712962</v>
      </c>
      <c r="E18" s="3">
        <f t="shared" ref="E18:G18" si="1">AVERAGE(E8:E13)</f>
        <v>990.94875077999995</v>
      </c>
      <c r="F18" s="4">
        <f t="shared" si="1"/>
        <v>9.2164169239392999E-3</v>
      </c>
      <c r="G18" s="4">
        <f t="shared" si="1"/>
        <v>3.4335388058007936E-3</v>
      </c>
    </row>
    <row r="20" spans="1:7" x14ac:dyDescent="0.25">
      <c r="B20" s="6" t="s">
        <v>52</v>
      </c>
      <c r="D20" s="3">
        <f>D17/D18</f>
        <v>11.796247286330882</v>
      </c>
      <c r="E20" s="3">
        <f t="shared" ref="E20:G20" si="2">E17/E18</f>
        <v>3.3701353993917049</v>
      </c>
      <c r="F20" s="3">
        <f t="shared" si="2"/>
        <v>0.32270229215556578</v>
      </c>
      <c r="G20" s="3">
        <f t="shared" si="2"/>
        <v>0.58794694129813696</v>
      </c>
    </row>
    <row r="24" spans="1:7" x14ac:dyDescent="0.25">
      <c r="A24" s="2" t="s">
        <v>7</v>
      </c>
      <c r="B24" s="2" t="s">
        <v>8</v>
      </c>
      <c r="C24" s="2">
        <v>2021</v>
      </c>
      <c r="D24" s="3">
        <v>3292837.3871137551</v>
      </c>
      <c r="E24" s="3">
        <v>5258.5701260400001</v>
      </c>
      <c r="F24" s="4">
        <v>1.0604360748915839E-2</v>
      </c>
      <c r="G24" s="4">
        <v>1.868819729404374E-3</v>
      </c>
    </row>
    <row r="25" spans="1:7" x14ac:dyDescent="0.25">
      <c r="A25" s="2" t="s">
        <v>7</v>
      </c>
      <c r="B25" s="2" t="s">
        <v>8</v>
      </c>
      <c r="C25" s="2">
        <v>2022</v>
      </c>
      <c r="D25" s="3">
        <v>3097084.3107878752</v>
      </c>
      <c r="E25" s="3">
        <v>4162.4721680000002</v>
      </c>
      <c r="F25" s="4">
        <v>1.4081114307645259E-3</v>
      </c>
      <c r="G25" s="4">
        <v>3.9573959548935052E-3</v>
      </c>
    </row>
    <row r="26" spans="1:7" x14ac:dyDescent="0.25">
      <c r="A26" s="2" t="s">
        <v>7</v>
      </c>
      <c r="B26" s="2" t="s">
        <v>8</v>
      </c>
      <c r="C26" s="2">
        <v>2023</v>
      </c>
      <c r="D26" s="3">
        <v>2652658.7944572391</v>
      </c>
      <c r="E26" s="3">
        <v>4253.6615775199998</v>
      </c>
      <c r="F26" s="4">
        <v>2.8806641846538372E-3</v>
      </c>
      <c r="G26" s="4">
        <v>1.8380008135386839E-3</v>
      </c>
    </row>
    <row r="27" spans="1:7" x14ac:dyDescent="0.25">
      <c r="A27" s="2" t="s">
        <v>7</v>
      </c>
      <c r="B27" s="2" t="s">
        <v>8</v>
      </c>
      <c r="C27" s="2">
        <v>2024</v>
      </c>
      <c r="D27" s="3">
        <v>2480166.278394436</v>
      </c>
      <c r="E27" s="3">
        <v>4510.0316159999993</v>
      </c>
      <c r="F27" s="4">
        <v>1.003512255644462E-3</v>
      </c>
      <c r="G27" s="4">
        <v>1.2206708220113729E-3</v>
      </c>
    </row>
    <row r="29" spans="1:7" x14ac:dyDescent="0.25">
      <c r="B29" s="6" t="s">
        <v>14</v>
      </c>
      <c r="D29" s="3">
        <f>AVERAGE(D24:D25)</f>
        <v>3194960.8489508154</v>
      </c>
      <c r="E29" s="3">
        <f t="shared" ref="E29:G29" si="3">AVERAGE(E24:E25)</f>
        <v>4710.5211470200002</v>
      </c>
      <c r="F29" s="4">
        <f t="shared" si="3"/>
        <v>6.0062360898401829E-3</v>
      </c>
      <c r="G29" s="4">
        <f t="shared" si="3"/>
        <v>2.9131078421489398E-3</v>
      </c>
    </row>
    <row r="30" spans="1:7" x14ac:dyDescent="0.25">
      <c r="B30" s="6" t="s">
        <v>15</v>
      </c>
      <c r="D30" s="3">
        <f>AVERAGE(D26:D27)</f>
        <v>2566412.5364258373</v>
      </c>
      <c r="E30" s="3">
        <f t="shared" ref="E30:G30" si="4">AVERAGE(E26:E27)</f>
        <v>4381.8465967599996</v>
      </c>
      <c r="F30" s="4">
        <f t="shared" si="4"/>
        <v>1.9420882201491496E-3</v>
      </c>
      <c r="G30" s="4">
        <f t="shared" si="4"/>
        <v>1.5293358177750284E-3</v>
      </c>
    </row>
    <row r="32" spans="1:7" x14ac:dyDescent="0.25">
      <c r="B32" s="6" t="s">
        <v>52</v>
      </c>
      <c r="D32" s="3">
        <f>D29/D30</f>
        <v>1.2449132022244318</v>
      </c>
      <c r="E32" s="3">
        <f t="shared" ref="E32:G32" si="5">E29/E30</f>
        <v>1.0750082283809359</v>
      </c>
      <c r="F32" s="3">
        <f t="shared" si="5"/>
        <v>3.092669028896593</v>
      </c>
      <c r="G32" s="3">
        <f t="shared" si="5"/>
        <v>1.9048189470819483</v>
      </c>
    </row>
  </sheetData>
  <sortState ref="A2:G13">
    <sortCondition descending="1" ref="D2:D13"/>
  </sortState>
  <conditionalFormatting sqref="D2:D13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:D2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:E27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:F2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:G27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:D3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:E30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:F3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:G3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workbookViewId="0">
      <selection activeCell="D15" sqref="D15:G15"/>
    </sheetView>
  </sheetViews>
  <sheetFormatPr defaultRowHeight="15" x14ac:dyDescent="0.25"/>
  <cols>
    <col min="1" max="1" width="73" customWidth="1"/>
    <col min="4" max="4" width="14" customWidth="1"/>
    <col min="5" max="5" width="13.7109375" customWidth="1"/>
    <col min="6" max="6" width="14" customWidth="1"/>
    <col min="7" max="7" width="16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16</v>
      </c>
      <c r="B2" s="2" t="s">
        <v>17</v>
      </c>
      <c r="C2" s="2">
        <v>2022</v>
      </c>
      <c r="D2" s="3">
        <v>971947.1589226143</v>
      </c>
      <c r="E2" s="3">
        <v>21731.663739110001</v>
      </c>
      <c r="F2" s="4">
        <v>3.0282081846115981E-5</v>
      </c>
      <c r="G2" s="4">
        <v>5.0206173563068553E-3</v>
      </c>
    </row>
    <row r="3" spans="1:7" x14ac:dyDescent="0.25">
      <c r="A3" s="2" t="s">
        <v>16</v>
      </c>
      <c r="B3" s="2" t="s">
        <v>17</v>
      </c>
      <c r="C3" s="2">
        <v>2021</v>
      </c>
      <c r="D3" s="3">
        <v>950234.48563991196</v>
      </c>
      <c r="E3" s="3">
        <v>3253.0570836699999</v>
      </c>
      <c r="F3" s="4">
        <v>3.2666995157709352E-4</v>
      </c>
      <c r="G3" s="4">
        <v>1.167450820049999E-3</v>
      </c>
    </row>
    <row r="4" spans="1:7" x14ac:dyDescent="0.25">
      <c r="A4" s="2" t="s">
        <v>16</v>
      </c>
      <c r="B4" s="2" t="s">
        <v>17</v>
      </c>
      <c r="C4" s="2">
        <v>2024</v>
      </c>
      <c r="D4" s="3">
        <v>840420.70663642394</v>
      </c>
      <c r="E4" s="3">
        <v>22097.462448999999</v>
      </c>
      <c r="F4" s="4">
        <v>1.047846559460851E-5</v>
      </c>
      <c r="G4" s="4">
        <v>8.9257472528899238E-3</v>
      </c>
    </row>
    <row r="5" spans="1:7" x14ac:dyDescent="0.25">
      <c r="A5" s="2" t="s">
        <v>18</v>
      </c>
      <c r="B5" s="2" t="s">
        <v>19</v>
      </c>
      <c r="C5" s="2">
        <v>2024</v>
      </c>
      <c r="D5" s="3">
        <v>130071.2900498806</v>
      </c>
      <c r="E5" s="3">
        <v>866.32844524999996</v>
      </c>
      <c r="F5" s="4">
        <v>1.8830176464184379E-3</v>
      </c>
      <c r="G5" s="4">
        <v>2.5735129813919731E-4</v>
      </c>
    </row>
    <row r="6" spans="1:7" x14ac:dyDescent="0.25">
      <c r="A6" s="2" t="s">
        <v>18</v>
      </c>
      <c r="B6" s="2" t="s">
        <v>19</v>
      </c>
      <c r="C6" s="2">
        <v>2023</v>
      </c>
      <c r="D6" s="3">
        <v>118956.3612196709</v>
      </c>
      <c r="E6" s="3">
        <v>1090.8420791399999</v>
      </c>
      <c r="F6" s="4">
        <v>6.857037460360029E-4</v>
      </c>
      <c r="G6" s="4">
        <v>4.8025762850386331E-4</v>
      </c>
    </row>
    <row r="7" spans="1:7" x14ac:dyDescent="0.25">
      <c r="A7" s="2" t="s">
        <v>18</v>
      </c>
      <c r="B7" s="2" t="s">
        <v>19</v>
      </c>
      <c r="C7" s="2">
        <v>2022</v>
      </c>
      <c r="D7" s="3">
        <v>106346.7598437235</v>
      </c>
      <c r="E7" s="3">
        <v>1736.36278023</v>
      </c>
      <c r="F7" s="4">
        <v>2.7534118528886658E-3</v>
      </c>
      <c r="G7" s="4">
        <v>9.5257384161442811E-3</v>
      </c>
    </row>
    <row r="8" spans="1:7" x14ac:dyDescent="0.25">
      <c r="A8" s="2" t="s">
        <v>18</v>
      </c>
      <c r="B8" s="2" t="s">
        <v>19</v>
      </c>
      <c r="C8" s="2">
        <v>2021</v>
      </c>
      <c r="D8" s="3">
        <v>85809.083743767143</v>
      </c>
      <c r="E8" s="3">
        <v>2740.6294030899999</v>
      </c>
      <c r="F8" s="4">
        <v>3.444045779906578E-2</v>
      </c>
      <c r="G8" s="4">
        <v>2.7573625574766692E-4</v>
      </c>
    </row>
    <row r="10" spans="1:7" x14ac:dyDescent="0.25">
      <c r="B10" s="5" t="s">
        <v>13</v>
      </c>
      <c r="D10" s="3">
        <f>MEDIAN(D2:D8)</f>
        <v>130071.2900498806</v>
      </c>
    </row>
    <row r="11" spans="1:7" x14ac:dyDescent="0.25">
      <c r="B11" s="6"/>
    </row>
    <row r="12" spans="1:7" x14ac:dyDescent="0.25">
      <c r="B12" s="6" t="s">
        <v>14</v>
      </c>
      <c r="D12" s="3">
        <f>AVERAGE(D2:D4)</f>
        <v>920867.45039964991</v>
      </c>
      <c r="E12" s="3">
        <f t="shared" ref="E12:G12" si="0">AVERAGE(E2:E4)</f>
        <v>15694.061090593334</v>
      </c>
      <c r="F12" s="4">
        <f t="shared" si="0"/>
        <v>1.2247683300593934E-4</v>
      </c>
      <c r="G12" s="4">
        <f t="shared" si="0"/>
        <v>5.0379384764155924E-3</v>
      </c>
    </row>
    <row r="13" spans="1:7" x14ac:dyDescent="0.25">
      <c r="B13" s="6" t="s">
        <v>15</v>
      </c>
      <c r="D13" s="3">
        <f>AVERAGE(D6:D8)</f>
        <v>103704.06826905387</v>
      </c>
      <c r="E13" s="3">
        <f t="shared" ref="E13:G13" si="1">AVERAGE(E6:E8)</f>
        <v>1855.9447541533334</v>
      </c>
      <c r="F13" s="4">
        <f t="shared" si="1"/>
        <v>1.2626524465996816E-2</v>
      </c>
      <c r="G13" s="4">
        <f t="shared" si="1"/>
        <v>3.4272441001319369E-3</v>
      </c>
    </row>
    <row r="15" spans="1:7" x14ac:dyDescent="0.25">
      <c r="B15" s="6" t="s">
        <v>52</v>
      </c>
      <c r="D15" s="3">
        <f>D12/D13</f>
        <v>8.8797620553372667</v>
      </c>
      <c r="E15" s="3">
        <f t="shared" ref="E15:G15" si="2">E12/E13</f>
        <v>8.4561035857734002</v>
      </c>
      <c r="F15" s="3">
        <f t="shared" si="2"/>
        <v>9.6999640190591641E-3</v>
      </c>
      <c r="G15" s="3">
        <f t="shared" si="2"/>
        <v>1.469967801891219</v>
      </c>
    </row>
    <row r="19" spans="1:7" x14ac:dyDescent="0.25">
      <c r="A19" s="2"/>
      <c r="B19" s="2"/>
      <c r="C19" s="2"/>
      <c r="D19" s="3"/>
      <c r="E19" s="3"/>
      <c r="F19" s="4"/>
      <c r="G19" s="4"/>
    </row>
    <row r="20" spans="1:7" x14ac:dyDescent="0.25">
      <c r="A20" s="2"/>
      <c r="B20" s="2"/>
      <c r="C20" s="2"/>
      <c r="D20" s="3"/>
      <c r="E20" s="3"/>
      <c r="F20" s="4"/>
      <c r="G20" s="4"/>
    </row>
    <row r="21" spans="1:7" x14ac:dyDescent="0.25">
      <c r="A21" s="2"/>
      <c r="B21" s="2"/>
      <c r="C21" s="2"/>
      <c r="D21" s="3"/>
      <c r="E21" s="3"/>
      <c r="F21" s="4"/>
      <c r="G21" s="4"/>
    </row>
    <row r="22" spans="1:7" x14ac:dyDescent="0.25">
      <c r="A22" s="2"/>
      <c r="B22" s="2"/>
      <c r="C22" s="2"/>
      <c r="D22" s="3"/>
      <c r="E22" s="3"/>
      <c r="F22" s="4"/>
      <c r="G22" s="4"/>
    </row>
  </sheetData>
  <conditionalFormatting sqref="D2:D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:D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:E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:F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: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:D2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:E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:F2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:G2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5"/>
  <sheetViews>
    <sheetView workbookViewId="0">
      <selection activeCell="D25" sqref="D25:G25"/>
    </sheetView>
  </sheetViews>
  <sheetFormatPr defaultRowHeight="15" x14ac:dyDescent="0.25"/>
  <cols>
    <col min="1" max="1" width="67" customWidth="1"/>
    <col min="4" max="4" width="16.7109375" customWidth="1"/>
    <col min="5" max="5" width="16" customWidth="1"/>
    <col min="6" max="6" width="14" customWidth="1"/>
    <col min="7" max="7" width="14.85546875" customWidth="1"/>
    <col min="9" max="9" width="14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63</v>
      </c>
      <c r="E1" s="1" t="s">
        <v>4</v>
      </c>
      <c r="F1" s="1" t="s">
        <v>5</v>
      </c>
      <c r="G1" s="1" t="s">
        <v>6</v>
      </c>
      <c r="I1" s="8" t="s">
        <v>4</v>
      </c>
      <c r="J1" s="8" t="s">
        <v>64</v>
      </c>
    </row>
    <row r="2" spans="1:10" x14ac:dyDescent="0.25">
      <c r="A2" s="2" t="s">
        <v>65</v>
      </c>
      <c r="B2" s="2" t="s">
        <v>66</v>
      </c>
      <c r="C2" s="2">
        <v>2022</v>
      </c>
      <c r="D2" s="3">
        <v>12596210.486</v>
      </c>
      <c r="E2" s="3">
        <v>29618.176784399999</v>
      </c>
      <c r="F2" s="4">
        <v>1.244197192428451E-3</v>
      </c>
      <c r="G2" s="4">
        <v>9.1204876912707078E-4</v>
      </c>
      <c r="I2" s="8" t="s">
        <v>5</v>
      </c>
      <c r="J2" s="8" t="s">
        <v>67</v>
      </c>
    </row>
    <row r="3" spans="1:10" x14ac:dyDescent="0.25">
      <c r="A3" s="2" t="s">
        <v>65</v>
      </c>
      <c r="B3" s="2" t="s">
        <v>66</v>
      </c>
      <c r="C3" s="2">
        <v>2021</v>
      </c>
      <c r="D3" s="3">
        <v>12460128.155999999</v>
      </c>
      <c r="E3" s="3">
        <v>32672.95173072</v>
      </c>
      <c r="F3" s="4">
        <v>2.8388815641284579E-2</v>
      </c>
      <c r="G3" s="4">
        <v>1.009990774998547E-3</v>
      </c>
      <c r="I3" s="8" t="s">
        <v>6</v>
      </c>
      <c r="J3" s="8" t="s">
        <v>68</v>
      </c>
    </row>
    <row r="4" spans="1:10" x14ac:dyDescent="0.25">
      <c r="A4" s="2" t="s">
        <v>65</v>
      </c>
      <c r="B4" s="2" t="s">
        <v>66</v>
      </c>
      <c r="C4" s="2">
        <v>2023</v>
      </c>
      <c r="D4" s="3">
        <v>11423484.0792</v>
      </c>
      <c r="E4" s="3">
        <v>30582.725913679998</v>
      </c>
      <c r="F4" s="4">
        <v>8.6595807302297054E-5</v>
      </c>
      <c r="G4" s="4">
        <v>1.69804857508698E-3</v>
      </c>
    </row>
    <row r="5" spans="1:10" x14ac:dyDescent="0.25">
      <c r="A5" s="2" t="s">
        <v>65</v>
      </c>
      <c r="B5" s="2" t="s">
        <v>66</v>
      </c>
      <c r="C5" s="2">
        <v>2024</v>
      </c>
      <c r="D5" s="3">
        <v>11300772.48</v>
      </c>
      <c r="E5" s="3">
        <v>31974.339456000002</v>
      </c>
      <c r="F5" s="4">
        <v>5.7574468505698965E-4</v>
      </c>
      <c r="G5" s="4">
        <v>6.8807976565944413E-4</v>
      </c>
      <c r="I5" s="9" t="s">
        <v>69</v>
      </c>
    </row>
    <row r="6" spans="1:10" x14ac:dyDescent="0.25">
      <c r="A6" s="2" t="s">
        <v>70</v>
      </c>
      <c r="B6" s="2" t="s">
        <v>71</v>
      </c>
      <c r="C6" s="2">
        <v>2022</v>
      </c>
      <c r="D6" s="3">
        <v>1821631.94</v>
      </c>
      <c r="E6" s="3">
        <v>2075.48415338</v>
      </c>
      <c r="F6" s="4">
        <v>2.1284775510358608E-2</v>
      </c>
      <c r="G6" s="4">
        <v>9.5791533592884642E-4</v>
      </c>
    </row>
    <row r="7" spans="1:10" x14ac:dyDescent="0.25">
      <c r="A7" s="2" t="s">
        <v>72</v>
      </c>
      <c r="B7" s="2" t="s">
        <v>73</v>
      </c>
      <c r="C7" s="2">
        <v>2021</v>
      </c>
      <c r="D7" s="3">
        <v>1743254.7426</v>
      </c>
      <c r="E7" s="3">
        <v>5649.2667995399997</v>
      </c>
      <c r="F7" s="4">
        <v>4.3069526144492228E-2</v>
      </c>
      <c r="G7" s="4">
        <v>2.415866866318173E-3</v>
      </c>
    </row>
    <row r="8" spans="1:10" x14ac:dyDescent="0.25">
      <c r="A8" s="2" t="s">
        <v>74</v>
      </c>
      <c r="B8" s="2" t="s">
        <v>75</v>
      </c>
      <c r="C8" s="2">
        <v>2021</v>
      </c>
      <c r="D8" s="3">
        <v>1730400.6762000001</v>
      </c>
      <c r="E8" s="3">
        <v>11453.66344206</v>
      </c>
      <c r="F8" s="4">
        <v>3.6351540108211508E-4</v>
      </c>
      <c r="G8" s="4">
        <v>1.736681726385915E-4</v>
      </c>
    </row>
    <row r="9" spans="1:10" x14ac:dyDescent="0.25">
      <c r="A9" s="2" t="s">
        <v>74</v>
      </c>
      <c r="B9" s="2" t="s">
        <v>75</v>
      </c>
      <c r="C9" s="2">
        <v>2022</v>
      </c>
      <c r="D9" s="3">
        <v>1665422.6664</v>
      </c>
      <c r="E9" s="3">
        <v>8756.6848730599995</v>
      </c>
      <c r="F9" s="4">
        <v>7.9418686213037007E-3</v>
      </c>
      <c r="G9" s="4">
        <v>6.2767209962179716E-4</v>
      </c>
    </row>
    <row r="10" spans="1:10" x14ac:dyDescent="0.25">
      <c r="A10" s="2" t="s">
        <v>70</v>
      </c>
      <c r="B10" s="2" t="s">
        <v>71</v>
      </c>
      <c r="C10" s="2">
        <v>2021</v>
      </c>
      <c r="D10" s="3">
        <v>1647555.588</v>
      </c>
      <c r="E10" s="3">
        <v>2286.3627977400001</v>
      </c>
      <c r="F10" s="4">
        <v>3.8549628469778359E-3</v>
      </c>
      <c r="G10" s="4">
        <v>4.9060229684840982E-4</v>
      </c>
      <c r="H10" t="s">
        <v>76</v>
      </c>
    </row>
    <row r="11" spans="1:10" x14ac:dyDescent="0.25">
      <c r="A11" s="2" t="s">
        <v>74</v>
      </c>
      <c r="B11" s="2" t="s">
        <v>75</v>
      </c>
      <c r="C11" s="2">
        <v>2023</v>
      </c>
      <c r="D11" s="3">
        <v>1646977.0623999999</v>
      </c>
      <c r="E11" s="3">
        <v>8501.7368701600008</v>
      </c>
      <c r="F11" s="4">
        <v>3.13244725480416E-3</v>
      </c>
      <c r="G11" s="4">
        <v>3.3557754651448161E-4</v>
      </c>
    </row>
    <row r="12" spans="1:10" x14ac:dyDescent="0.25">
      <c r="A12" s="2" t="s">
        <v>74</v>
      </c>
      <c r="B12" s="2" t="s">
        <v>75</v>
      </c>
      <c r="C12" s="2">
        <v>2024</v>
      </c>
      <c r="D12" s="3">
        <v>1581936.48</v>
      </c>
      <c r="E12" s="3">
        <v>7766.5038239999994</v>
      </c>
      <c r="F12" s="4">
        <v>1.717868258658569E-2</v>
      </c>
      <c r="G12" s="4">
        <v>1.213271790439538E-4</v>
      </c>
    </row>
    <row r="13" spans="1:10" x14ac:dyDescent="0.25">
      <c r="A13" s="2" t="s">
        <v>72</v>
      </c>
      <c r="B13" s="2" t="s">
        <v>73</v>
      </c>
      <c r="C13" s="2">
        <v>2023</v>
      </c>
      <c r="D13" s="3">
        <v>1196714.5288</v>
      </c>
      <c r="E13" s="3">
        <v>5296.7583626400001</v>
      </c>
      <c r="F13" s="4">
        <v>0.1023070329623097</v>
      </c>
      <c r="G13" s="4">
        <v>6.5499992306063972E-4</v>
      </c>
    </row>
    <row r="14" spans="1:10" x14ac:dyDescent="0.25">
      <c r="A14" s="2" t="s">
        <v>72</v>
      </c>
      <c r="B14" s="2" t="s">
        <v>73</v>
      </c>
      <c r="C14" s="2">
        <v>2024</v>
      </c>
      <c r="D14" s="3">
        <v>1186586.3999999999</v>
      </c>
      <c r="E14" s="3">
        <v>4305.8265600000004</v>
      </c>
      <c r="F14" s="4">
        <v>7.4943726483957598E-2</v>
      </c>
      <c r="G14" s="4">
        <v>1.251650972211942E-3</v>
      </c>
    </row>
    <row r="15" spans="1:10" x14ac:dyDescent="0.25">
      <c r="A15" s="2" t="s">
        <v>72</v>
      </c>
      <c r="B15" s="2" t="s">
        <v>73</v>
      </c>
      <c r="C15" s="2">
        <v>2022</v>
      </c>
      <c r="D15" s="3">
        <v>1110225.9291999999</v>
      </c>
      <c r="E15" s="3">
        <v>5731.3955529599998</v>
      </c>
      <c r="F15" s="4">
        <v>2.961302102283718E-2</v>
      </c>
      <c r="G15" s="4">
        <v>1.1157895805494109E-3</v>
      </c>
    </row>
    <row r="16" spans="1:10" x14ac:dyDescent="0.25">
      <c r="A16" s="2" t="s">
        <v>77</v>
      </c>
      <c r="B16" s="2" t="s">
        <v>78</v>
      </c>
      <c r="C16" s="2">
        <v>2021</v>
      </c>
      <c r="D16" s="3">
        <v>556393.38299999991</v>
      </c>
      <c r="E16" s="3">
        <v>9537.5395684800005</v>
      </c>
      <c r="F16" s="4">
        <v>2.2354784320331711E-5</v>
      </c>
      <c r="G16" s="4">
        <v>0.66983975665100759</v>
      </c>
    </row>
    <row r="17" spans="1:7" x14ac:dyDescent="0.25">
      <c r="A17" s="2" t="s">
        <v>77</v>
      </c>
      <c r="B17" s="2" t="s">
        <v>78</v>
      </c>
      <c r="C17" s="2">
        <v>2024</v>
      </c>
      <c r="D17" s="3">
        <v>438367.2</v>
      </c>
      <c r="E17" s="3">
        <v>4244.5644000000002</v>
      </c>
      <c r="F17" s="4">
        <v>1.0462699069897489E-4</v>
      </c>
      <c r="G17" s="4">
        <v>1.199840435923177E-4</v>
      </c>
    </row>
    <row r="19" spans="1:7" x14ac:dyDescent="0.25">
      <c r="C19" s="6" t="s">
        <v>76</v>
      </c>
      <c r="D19">
        <f>MEDIAN(D2:D17)</f>
        <v>1656489.1272</v>
      </c>
    </row>
    <row r="20" spans="1:7" x14ac:dyDescent="0.25">
      <c r="C20" s="6"/>
    </row>
    <row r="21" spans="1:7" x14ac:dyDescent="0.25">
      <c r="C21" s="6"/>
      <c r="D21" s="1" t="s">
        <v>63</v>
      </c>
      <c r="E21" s="1" t="s">
        <v>4</v>
      </c>
      <c r="F21" s="1" t="s">
        <v>5</v>
      </c>
      <c r="G21" s="1" t="s">
        <v>6</v>
      </c>
    </row>
    <row r="22" spans="1:7" x14ac:dyDescent="0.25">
      <c r="C22" s="6" t="s">
        <v>79</v>
      </c>
      <c r="D22" s="2">
        <f>AVERAGE(D2:D9)</f>
        <v>6842663.1532999994</v>
      </c>
      <c r="E22" s="2">
        <f>AVERAGE(E2:E9)</f>
        <v>19097.911644105003</v>
      </c>
      <c r="F22" s="4">
        <f>AVERAGE(F2:F9)</f>
        <v>1.286937987541362E-2</v>
      </c>
      <c r="G22" s="4">
        <f>AVERAGE(G2:G9)</f>
        <v>1.0604112949224313E-3</v>
      </c>
    </row>
    <row r="23" spans="1:7" x14ac:dyDescent="0.25">
      <c r="C23" s="6" t="s">
        <v>80</v>
      </c>
      <c r="D23" s="2">
        <f>AVERAGE(D11:D17)</f>
        <v>1102457.2833428574</v>
      </c>
      <c r="E23" s="2">
        <f>AVERAGE(E11:E17)</f>
        <v>6483.4750197485719</v>
      </c>
      <c r="F23" s="4">
        <f>AVERAGE(F11:F17)</f>
        <v>3.2471698869359092E-2</v>
      </c>
      <c r="G23" s="4">
        <f>AVERAGE(G11:G17)</f>
        <v>9.6205583699425765E-2</v>
      </c>
    </row>
    <row r="25" spans="1:7" x14ac:dyDescent="0.25">
      <c r="C25" t="s">
        <v>52</v>
      </c>
      <c r="D25" s="2">
        <f>D22/D23</f>
        <v>6.2067376729116983</v>
      </c>
      <c r="E25" s="2">
        <f t="shared" ref="E25:G25" si="0">E22/E23</f>
        <v>2.9456289391002568</v>
      </c>
      <c r="F25" s="2">
        <f t="shared" si="0"/>
        <v>0.39632604155360068</v>
      </c>
      <c r="G25" s="2">
        <f t="shared" si="0"/>
        <v>1.1022346667896791E-2</v>
      </c>
    </row>
    <row r="26" spans="1:7" x14ac:dyDescent="0.25">
      <c r="A26" s="2"/>
      <c r="B26" s="2"/>
      <c r="C26" s="2"/>
      <c r="D26" s="3"/>
      <c r="E26" s="3"/>
      <c r="F26" s="4"/>
      <c r="G26" s="4"/>
    </row>
    <row r="27" spans="1:7" x14ac:dyDescent="0.25">
      <c r="A27" s="2"/>
      <c r="B27" s="2"/>
      <c r="C27" s="2"/>
      <c r="D27" s="3"/>
      <c r="E27" s="3"/>
      <c r="F27" s="4"/>
      <c r="G27" s="4"/>
    </row>
    <row r="28" spans="1:7" x14ac:dyDescent="0.25">
      <c r="A28" s="2"/>
      <c r="B28" s="2"/>
      <c r="C28" s="2"/>
      <c r="D28" s="3"/>
      <c r="E28" s="3"/>
      <c r="F28" s="4"/>
      <c r="G28" s="4"/>
    </row>
    <row r="29" spans="1:7" x14ac:dyDescent="0.25">
      <c r="A29" s="2"/>
      <c r="B29" s="2"/>
      <c r="C29" s="2"/>
      <c r="D29" s="3"/>
      <c r="E29" s="3"/>
      <c r="F29" s="4"/>
      <c r="G29" s="4"/>
    </row>
    <row r="31" spans="1:7" x14ac:dyDescent="0.25">
      <c r="B31" s="6"/>
      <c r="D31" s="3"/>
      <c r="E31" s="3"/>
      <c r="F31" s="4"/>
      <c r="G31" s="4"/>
    </row>
    <row r="32" spans="1:7" x14ac:dyDescent="0.25">
      <c r="B32" s="6"/>
      <c r="D32" s="3"/>
      <c r="E32" s="3"/>
      <c r="F32" s="4"/>
      <c r="G32" s="4"/>
    </row>
    <row r="34" spans="1:7" x14ac:dyDescent="0.25">
      <c r="B34" s="6"/>
      <c r="D34" s="3"/>
      <c r="E34" s="3"/>
      <c r="F34" s="3"/>
      <c r="G34" s="3"/>
    </row>
    <row r="37" spans="1:7" x14ac:dyDescent="0.25">
      <c r="A37" s="2"/>
      <c r="B37" s="2"/>
      <c r="C37" s="2"/>
      <c r="D37" s="3"/>
      <c r="E37" s="3"/>
      <c r="F37" s="4"/>
      <c r="G37" s="4"/>
    </row>
    <row r="38" spans="1:7" x14ac:dyDescent="0.25">
      <c r="A38" s="2"/>
      <c r="B38" s="2"/>
      <c r="C38" s="2"/>
      <c r="D38" s="3"/>
      <c r="E38" s="3"/>
      <c r="F38" s="4"/>
      <c r="G38" s="4"/>
    </row>
    <row r="39" spans="1:7" x14ac:dyDescent="0.25">
      <c r="A39" s="2"/>
      <c r="B39" s="2"/>
      <c r="C39" s="2"/>
      <c r="D39" s="3"/>
      <c r="E39" s="3"/>
      <c r="F39" s="4"/>
      <c r="G39" s="4"/>
    </row>
    <row r="40" spans="1:7" x14ac:dyDescent="0.25">
      <c r="A40" s="2"/>
      <c r="B40" s="2"/>
      <c r="C40" s="2"/>
      <c r="D40" s="3"/>
      <c r="E40" s="3"/>
      <c r="F40" s="4"/>
      <c r="G40" s="4"/>
    </row>
    <row r="42" spans="1:7" x14ac:dyDescent="0.25">
      <c r="B42" s="6"/>
      <c r="D42" s="3"/>
      <c r="E42" s="3"/>
      <c r="F42" s="4"/>
      <c r="G42" s="4"/>
    </row>
    <row r="43" spans="1:7" x14ac:dyDescent="0.25">
      <c r="B43" s="6"/>
      <c r="D43" s="3"/>
      <c r="E43" s="3"/>
      <c r="F43" s="4"/>
      <c r="G43" s="4"/>
    </row>
    <row r="45" spans="1:7" x14ac:dyDescent="0.25">
      <c r="B45" s="6"/>
      <c r="D45" s="3"/>
      <c r="E45" s="3"/>
      <c r="F45" s="3"/>
      <c r="G45" s="3"/>
    </row>
    <row r="47" spans="1:7" x14ac:dyDescent="0.25">
      <c r="A47" s="2"/>
      <c r="B47" s="2"/>
      <c r="C47" s="2"/>
      <c r="D47" s="3"/>
      <c r="E47" s="3"/>
      <c r="F47" s="4"/>
      <c r="G47" s="4"/>
    </row>
    <row r="48" spans="1:7" x14ac:dyDescent="0.25">
      <c r="A48" s="2"/>
      <c r="B48" s="2"/>
      <c r="C48" s="2"/>
      <c r="D48" s="3"/>
      <c r="E48" s="3"/>
      <c r="F48" s="4"/>
      <c r="G48" s="4"/>
    </row>
    <row r="49" spans="1:7" x14ac:dyDescent="0.25">
      <c r="A49" s="2"/>
      <c r="B49" s="2"/>
      <c r="C49" s="2"/>
      <c r="D49" s="3"/>
      <c r="E49" s="3"/>
      <c r="F49" s="4"/>
      <c r="G49" s="4"/>
    </row>
    <row r="50" spans="1:7" x14ac:dyDescent="0.25">
      <c r="A50" s="2"/>
      <c r="B50" s="2"/>
      <c r="C50" s="2"/>
      <c r="D50" s="3"/>
      <c r="E50" s="3"/>
      <c r="F50" s="4"/>
      <c r="G50" s="4"/>
    </row>
    <row r="52" spans="1:7" x14ac:dyDescent="0.25">
      <c r="B52" s="6"/>
      <c r="D52" s="3"/>
      <c r="E52" s="3"/>
      <c r="F52" s="4"/>
      <c r="G52" s="4"/>
    </row>
    <row r="53" spans="1:7" x14ac:dyDescent="0.25">
      <c r="B53" s="6"/>
      <c r="D53" s="3"/>
      <c r="E53" s="3"/>
      <c r="F53" s="4"/>
      <c r="G53" s="4"/>
    </row>
    <row r="55" spans="1:7" x14ac:dyDescent="0.25">
      <c r="B55" s="6"/>
      <c r="D55" s="3"/>
      <c r="E55" s="3"/>
      <c r="F55" s="3"/>
      <c r="G55" s="3"/>
    </row>
  </sheetData>
  <conditionalFormatting sqref="D2:D17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7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7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7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:D23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:E23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:F23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:G23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:D29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:E29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:F29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:G29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:D32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:E32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:F32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:G32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7:D40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:E40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7:F40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7:G40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2:D43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2:E43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2:F43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2:G43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7:D50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7:E50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7:F50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7:G5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2:D5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2:E5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2:F5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2:G5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Внутрисекторальная разница</vt:lpstr>
      <vt:lpstr>Пром. производство</vt:lpstr>
      <vt:lpstr>Логистика</vt:lpstr>
      <vt:lpstr>Наука</vt:lpstr>
      <vt:lpstr>Строительство</vt:lpstr>
      <vt:lpstr>Торговля</vt:lpstr>
      <vt:lpstr>Сельхоз</vt:lpstr>
      <vt:lpstr>Административный</vt:lpstr>
      <vt:lpstr>Добыча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2026-05-13T08:41:56Z</dcterms:created>
  <dcterms:modified xsi:type="dcterms:W3CDTF">2026-05-22T11:54:19Z</dcterms:modified>
</cp:coreProperties>
</file>