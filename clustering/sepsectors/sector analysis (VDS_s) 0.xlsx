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Внутрисекторальная разница" sheetId="9" r:id="rId1"/>
    <sheet name="Пром. производство" sheetId="3" r:id="rId2"/>
    <sheet name="Логистика" sheetId="4" r:id="rId3"/>
    <sheet name="Наука" sheetId="7" r:id="rId4"/>
    <sheet name="Строительство" sheetId="8" r:id="rId5"/>
    <sheet name="Торговля" sheetId="6" r:id="rId6"/>
    <sheet name="Сельхоз" sheetId="1" r:id="rId7"/>
    <sheet name="Административный" sheetId="2" r:id="rId8"/>
    <sheet name="Добыча" sheetId="5" r:id="rId9"/>
  </sheets>
  <calcPr calcId="162913"/>
</workbook>
</file>

<file path=xl/calcChain.xml><?xml version="1.0" encoding="utf-8"?>
<calcChain xmlns="http://schemas.openxmlformats.org/spreadsheetml/2006/main">
  <c r="E20" i="6" l="1"/>
  <c r="F20" i="6"/>
  <c r="G20" i="6"/>
  <c r="D20" i="6"/>
  <c r="E17" i="8"/>
  <c r="F17" i="8"/>
  <c r="G17" i="8"/>
  <c r="D17" i="8"/>
  <c r="E25" i="5"/>
  <c r="F25" i="5"/>
  <c r="G25" i="5"/>
  <c r="D25" i="5"/>
  <c r="C33" i="9" l="1"/>
  <c r="C32" i="9"/>
  <c r="G15" i="8" l="1"/>
  <c r="F15" i="8"/>
  <c r="E15" i="8"/>
  <c r="D15" i="8"/>
  <c r="G14" i="8"/>
  <c r="F14" i="8"/>
  <c r="E14" i="8"/>
  <c r="D14" i="8"/>
  <c r="D12" i="8"/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<sst xmlns="http://schemas.openxmlformats.org/spreadsheetml/2006/main" count="489" uniqueCount="115">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</sst>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'Внутрисекторальная разница'!$C$35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разница'!$C$36:$C$43</c:f>
              <c:numCache>
                <c:formatCode>0.00</c:formatCode>
                <c:ptCount val="8"/>
                <c:pt idx="0">
                  <c:v>4.7030669018119333</c:v>
                </c:pt>
                <c:pt idx="1">
                  <c:v>3.5865019899753703</c:v>
                </c:pt>
                <c:pt idx="2">
                  <c:v>2.0103131540352179</c:v>
                </c:pt>
                <c:pt idx="3">
                  <c:v>1.4775819198599631</c:v>
                </c:pt>
                <c:pt idx="4">
                  <c:v>6.2067376729116983</c:v>
                </c:pt>
                <c:pt idx="5">
                  <c:v>11.796247286330882</c:v>
                </c:pt>
                <c:pt idx="6">
                  <c:v>3.243142089244174</c:v>
                </c:pt>
                <c:pt idx="7">
                  <c:v>8.8797620553372667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A-4722-95A8-7F799FEBCB97}"/>
            </c:ext>
          </c:extLst>
        </c:ser>
        <c:ser>
          <c:idx val="1"/>
          <c:order val="1"/>
          <c:tx>
            <c:strRef>
              <c:f>'Внутрисекторальная разница'!$D$35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разница'!$D$36:$D$43</c:f>
              <c:numCache>
                <c:formatCode>0.00</c:formatCode>
                <c:ptCount val="8"/>
                <c:pt idx="0">
                  <c:v>2.8901298438864593</c:v>
                </c:pt>
                <c:pt idx="1">
                  <c:v>3.2537982636532159</c:v>
                </c:pt>
                <c:pt idx="2">
                  <c:v>0.93267101567812905</c:v>
                </c:pt>
                <c:pt idx="3">
                  <c:v>1.3718824524470641</c:v>
                </c:pt>
                <c:pt idx="4">
                  <c:v>2.9456289391002568</c:v>
                </c:pt>
                <c:pt idx="5">
                  <c:v>3.3701353993917049</c:v>
                </c:pt>
                <c:pt idx="6">
                  <c:v>2.8074620181135077</c:v>
                </c:pt>
                <c:pt idx="7">
                  <c:v>8.4561035857734002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3A-4722-95A8-7F799FEBCB97}"/>
            </c:ext>
          </c:extLst>
        </c:ser>
        <c:ser>
          <c:idx val="2"/>
          <c:order val="2"/>
          <c:tx>
            <c:strRef>
              <c:f>'Внутрисекторальная разница'!$E$35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разница'!$E$36:$E$43</c:f>
              <c:numCache>
                <c:formatCode>0.00</c:formatCode>
                <c:ptCount val="8"/>
                <c:pt idx="0">
                  <c:v>4.8551022339063907</c:v>
                </c:pt>
                <c:pt idx="1">
                  <c:v>4.4560052279624465</c:v>
                </c:pt>
                <c:pt idx="2">
                  <c:v>2.5190872586151345</c:v>
                </c:pt>
                <c:pt idx="3">
                  <c:v>1.9764761072330601</c:v>
                </c:pt>
                <c:pt idx="4">
                  <c:v>0.39632604155360068</c:v>
                </c:pt>
                <c:pt idx="5">
                  <c:v>0.32270229215556578</c:v>
                </c:pt>
                <c:pt idx="6">
                  <c:v>0.11140291583466078</c:v>
                </c:pt>
                <c:pt idx="7">
                  <c:v>9.6999640190591641E-3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3A-4722-95A8-7F799FEBCB97}"/>
            </c:ext>
          </c:extLst>
        </c:ser>
        <c:ser>
          <c:idx val="3"/>
          <c:order val="3"/>
          <c:tx>
            <c:strRef>
              <c:f>'Внутрисекторальная разница'!$F$35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разница'!$F$36:$F$43</c:f>
              <c:numCache>
                <c:formatCode>0.00</c:formatCode>
                <c:ptCount val="8"/>
                <c:pt idx="0">
                  <c:v>0.54338114633168244</c:v>
                </c:pt>
                <c:pt idx="1">
                  <c:v>1.1593793807464068</c:v>
                </c:pt>
                <c:pt idx="2">
                  <c:v>1.1555534045986038</c:v>
                </c:pt>
                <c:pt idx="3">
                  <c:v>0.6794675155641563</c:v>
                </c:pt>
                <c:pt idx="4">
                  <c:v>1.1022346667896791E-2</c:v>
                </c:pt>
                <c:pt idx="5">
                  <c:v>0.58794694129813696</c:v>
                </c:pt>
                <c:pt idx="6">
                  <c:v>2.3456004945261939</c:v>
                </c:pt>
                <c:pt idx="7">
                  <c:v>1.469967801891219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3A-4722-95A8-7F799FEBC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611215"/>
        <c:axId val="330612463"/>
      </c:radarChart>
      <c:catAx>
        <c:axId val="330611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612463"/>
        <c:crosses val="autoZero"/>
        <c:auto val="1"/>
        <c:lblAlgn val="ctr"/>
        <c:lblOffset val="100"/>
        <c:noMultiLvlLbl val="0"/>
      </c:catAx>
      <c:valAx>
        <c:axId val="33061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611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358588</xdr:colOff>
      <xdr:row>34</xdr:row>
      <xdr:rowOff>101973</xdr:rowOff>
    </xdr:from>
    <xdr:to>
      <xdr:col>18</xdr:col>
      <xdr:colOff>380999</xdr:colOff>
      <xdr:row>55</xdr:row>
      <xdr:rowOff>123265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tabSelected="1" zoomScale="85" zoomScaleNormal="85" workbookViewId="0">
      <selection activeCell="I16" sqref="I16"/>
    </sheetView>
  </sheetViews>
  <sheetFormatPr defaultRowHeight="15" x14ac:dyDescent="0.25"/>
  <cols>
    <col min="1" max="1" width="107.42578125" customWidth="1"/>
    <col min="2" max="2" width="13.42578125" customWidth="1"/>
    <col min="3" max="3" width="12.42578125" customWidth="1"/>
    <col min="4" max="4" width="11.42578125" customWidth="1"/>
    <col min="5" max="5" width="13.42578125" customWidth="1"/>
    <col min="6" max="6" width="15.5703125" customWidth="1"/>
    <col min="7" max="7" width="15.140625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s="2" t="s">
        <v>40</v>
      </c>
      <c r="B2" s="13" t="s">
        <v>41</v>
      </c>
      <c r="C2" s="3">
        <v>1.1520246843183004</v>
      </c>
      <c r="D2" s="3">
        <v>2.3213939799145842</v>
      </c>
      <c r="E2" s="3">
        <v>0.80614296667612206</v>
      </c>
      <c r="F2" s="3">
        <v>0.25898323939199175</v>
      </c>
    </row>
    <row r="3" spans="1:6" x14ac:dyDescent="0.25">
      <c r="A3" s="2" t="s">
        <v>9</v>
      </c>
      <c r="B3" s="13" t="s">
        <v>10</v>
      </c>
      <c r="C3" s="3">
        <v>1.3517669960910756</v>
      </c>
      <c r="D3" s="3">
        <v>1.9670776981935643</v>
      </c>
      <c r="E3" s="3">
        <v>0.22070836576565364</v>
      </c>
      <c r="F3" s="3">
        <v>0.13814015553291181</v>
      </c>
    </row>
    <row r="4" spans="1:6" x14ac:dyDescent="0.25">
      <c r="A4" s="2" t="s">
        <v>81</v>
      </c>
      <c r="B4" s="2" t="s">
        <v>82</v>
      </c>
      <c r="C4" s="3">
        <v>1.1917367114224651</v>
      </c>
      <c r="D4" s="3">
        <v>1.9004800470248358</v>
      </c>
      <c r="E4" s="3">
        <v>0.8374708956221617</v>
      </c>
      <c r="F4" s="3">
        <v>1.5257452190518532</v>
      </c>
    </row>
    <row r="5" spans="1:6" x14ac:dyDescent="0.25">
      <c r="A5" s="2" t="s">
        <v>53</v>
      </c>
      <c r="B5" s="2" t="s">
        <v>54</v>
      </c>
      <c r="C5" s="3">
        <v>1.0878384484836321</v>
      </c>
      <c r="D5" s="3">
        <v>1.7638605592859029</v>
      </c>
      <c r="E5" s="3">
        <v>0.17960036588529976</v>
      </c>
      <c r="F5" s="3">
        <v>1.1305356718336195</v>
      </c>
    </row>
    <row r="6" spans="1:6" x14ac:dyDescent="0.25">
      <c r="A6" s="2" t="s">
        <v>85</v>
      </c>
      <c r="B6" s="2" t="s">
        <v>86</v>
      </c>
      <c r="C6" s="3">
        <v>1.0976688735092679</v>
      </c>
      <c r="D6" s="3">
        <v>1.7109052289159346</v>
      </c>
      <c r="E6" s="3">
        <v>5.1447699646144658</v>
      </c>
      <c r="F6" s="3">
        <v>1.2569187110314528</v>
      </c>
    </row>
    <row r="7" spans="1:6" x14ac:dyDescent="0.25">
      <c r="A7" s="2" t="s">
        <v>38</v>
      </c>
      <c r="B7" s="13" t="s">
        <v>39</v>
      </c>
      <c r="C7" s="3">
        <v>1.3902001109844437</v>
      </c>
      <c r="D7" s="3">
        <v>1.462361279754929</v>
      </c>
      <c r="E7" s="3">
        <v>0.71207716480109773</v>
      </c>
      <c r="F7" s="3">
        <v>1.2647790839496653</v>
      </c>
    </row>
    <row r="8" spans="1:6" x14ac:dyDescent="0.25">
      <c r="A8" s="2" t="s">
        <v>30</v>
      </c>
      <c r="B8" s="13" t="s">
        <v>31</v>
      </c>
      <c r="C8" s="3">
        <v>1.1404823836685474</v>
      </c>
      <c r="D8" s="3">
        <v>1.2854689383527957</v>
      </c>
      <c r="E8" s="3">
        <v>0.8632074718882139</v>
      </c>
      <c r="F8" s="3">
        <v>2.5147412702861627</v>
      </c>
    </row>
    <row r="9" spans="1:6" x14ac:dyDescent="0.25">
      <c r="A9" s="2" t="s">
        <v>74</v>
      </c>
      <c r="B9" s="2" t="s">
        <v>75</v>
      </c>
      <c r="C9" s="3">
        <v>1.0516922481844897</v>
      </c>
      <c r="D9" s="3">
        <v>1.2423192338416251</v>
      </c>
      <c r="E9" s="3">
        <v>0.40890802664562625</v>
      </c>
      <c r="F9" s="3">
        <v>1.7538454461835107</v>
      </c>
    </row>
    <row r="10" spans="1:6" x14ac:dyDescent="0.25">
      <c r="A10" s="2" t="s">
        <v>26</v>
      </c>
      <c r="B10" s="13" t="s">
        <v>27</v>
      </c>
      <c r="C10" s="3">
        <v>1.2659566944389276</v>
      </c>
      <c r="D10" s="3">
        <v>1.1816122280015293</v>
      </c>
      <c r="E10" s="3">
        <v>4.0293347314057506</v>
      </c>
      <c r="F10" s="3">
        <v>12.618953438776055</v>
      </c>
    </row>
    <row r="11" spans="1:6" x14ac:dyDescent="0.25">
      <c r="A11" s="2" t="s">
        <v>32</v>
      </c>
      <c r="B11" s="13" t="s">
        <v>33</v>
      </c>
      <c r="C11" s="3">
        <v>1.2868516961482879</v>
      </c>
      <c r="D11" s="3">
        <v>1.1177412074865631</v>
      </c>
      <c r="E11" s="3">
        <v>0.10176095000792922</v>
      </c>
      <c r="F11" s="3">
        <v>1.2821795576565411</v>
      </c>
    </row>
    <row r="12" spans="1:6" x14ac:dyDescent="0.25">
      <c r="A12" s="2" t="s">
        <v>72</v>
      </c>
      <c r="B12" s="2" t="s">
        <v>73</v>
      </c>
      <c r="C12" s="3">
        <v>1.2800215472650383</v>
      </c>
      <c r="D12" s="3">
        <v>1.090543283688677</v>
      </c>
      <c r="E12" s="3">
        <v>1.3904082000767517</v>
      </c>
      <c r="F12" s="3">
        <v>1.297125195307224</v>
      </c>
    </row>
    <row r="13" spans="1:6" x14ac:dyDescent="0.25">
      <c r="A13" s="2" t="s">
        <v>7</v>
      </c>
      <c r="B13" s="13" t="s">
        <v>8</v>
      </c>
      <c r="C13" s="3">
        <v>1.2449132022244318</v>
      </c>
      <c r="D13" s="3">
        <v>1.0750082283809359</v>
      </c>
      <c r="E13" s="3">
        <v>3.092669028896593</v>
      </c>
      <c r="F13" s="3">
        <v>1.9048189470819483</v>
      </c>
    </row>
    <row r="14" spans="1:6" x14ac:dyDescent="0.25">
      <c r="A14" s="2" t="s">
        <v>11</v>
      </c>
      <c r="B14" s="13" t="s">
        <v>12</v>
      </c>
      <c r="C14" s="3">
        <v>1.2833899393849333</v>
      </c>
      <c r="D14" s="3">
        <v>1.0522364209432813</v>
      </c>
      <c r="E14" s="3">
        <v>1.6747130060256721</v>
      </c>
      <c r="F14" s="3">
        <v>0.51637317479464306</v>
      </c>
    </row>
    <row r="15" spans="1:6" x14ac:dyDescent="0.25">
      <c r="A15" s="2" t="s">
        <v>44</v>
      </c>
      <c r="B15" s="13" t="s">
        <v>45</v>
      </c>
      <c r="C15" s="3">
        <v>1.4503287429709963</v>
      </c>
      <c r="D15" s="3">
        <v>1.0419486207404769</v>
      </c>
      <c r="E15" s="3">
        <v>0.6663471741165341</v>
      </c>
      <c r="F15" s="3">
        <v>1.2983469738919464</v>
      </c>
    </row>
    <row r="16" spans="1:6" x14ac:dyDescent="0.25">
      <c r="A16" s="2" t="s">
        <v>65</v>
      </c>
      <c r="B16" s="2" t="s">
        <v>66</v>
      </c>
      <c r="C16" s="3">
        <v>1.1026252311808127</v>
      </c>
      <c r="D16" s="3">
        <v>0.99574889178403025</v>
      </c>
      <c r="E16" s="3">
        <v>44.739847820807242</v>
      </c>
      <c r="F16" s="3">
        <v>0.8055055175801521</v>
      </c>
    </row>
    <row r="17" spans="1:6" x14ac:dyDescent="0.25">
      <c r="A17" s="2" t="s">
        <v>36</v>
      </c>
      <c r="B17" s="13" t="s">
        <v>37</v>
      </c>
      <c r="C17" s="3">
        <v>1.0547425539337831</v>
      </c>
      <c r="D17" s="3">
        <v>0.9009903074402914</v>
      </c>
      <c r="E17" s="3">
        <v>0.59798991148430225</v>
      </c>
      <c r="F17" s="3">
        <v>3.0757485240645135</v>
      </c>
    </row>
    <row r="18" spans="1:6" x14ac:dyDescent="0.25">
      <c r="A18" s="2" t="s">
        <v>22</v>
      </c>
      <c r="B18" s="13" t="s">
        <v>23</v>
      </c>
      <c r="C18" s="3">
        <v>1.2859286844144691</v>
      </c>
      <c r="D18" s="3">
        <v>0.88933632105715787</v>
      </c>
      <c r="E18" s="3">
        <v>1.3200782438717298</v>
      </c>
      <c r="F18" s="3">
        <v>0.63162779932699387</v>
      </c>
    </row>
    <row r="19" spans="1:6" x14ac:dyDescent="0.25">
      <c r="A19" s="2" t="s">
        <v>46</v>
      </c>
      <c r="B19" s="13" t="s">
        <v>47</v>
      </c>
      <c r="C19" s="3">
        <v>1.0515020276116822</v>
      </c>
      <c r="D19" s="3">
        <v>0.88110216515673767</v>
      </c>
      <c r="E19" s="3">
        <v>1.5793790877321685</v>
      </c>
      <c r="F19" s="3">
        <v>1.5532186573951297</v>
      </c>
    </row>
    <row r="20" spans="1:6" x14ac:dyDescent="0.25">
      <c r="A20" s="2" t="s">
        <v>20</v>
      </c>
      <c r="B20" s="13" t="s">
        <v>21</v>
      </c>
      <c r="C20" s="3">
        <v>1.1718069796331221</v>
      </c>
      <c r="D20" s="3">
        <v>0.82231497292558131</v>
      </c>
      <c r="E20" s="3">
        <v>1.0066845075285169</v>
      </c>
      <c r="F20" s="3">
        <v>0.95392645329154935</v>
      </c>
    </row>
    <row r="21" spans="1:6" x14ac:dyDescent="0.25">
      <c r="A21" s="2" t="s">
        <v>83</v>
      </c>
      <c r="B21" s="2" t="s">
        <v>84</v>
      </c>
      <c r="C21" s="3">
        <v>1.0827376961267559</v>
      </c>
      <c r="D21" s="3">
        <v>0.80104322006630113</v>
      </c>
      <c r="E21" s="3">
        <v>2.8738671264906555</v>
      </c>
      <c r="F21" s="3">
        <v>1.1351491544676557</v>
      </c>
    </row>
    <row r="22" spans="1:6" x14ac:dyDescent="0.25">
      <c r="A22" s="2" t="s">
        <v>34</v>
      </c>
      <c r="B22" s="13" t="s">
        <v>35</v>
      </c>
      <c r="C22" s="3">
        <v>1.0607758459664012</v>
      </c>
      <c r="D22" s="3">
        <v>0.77167677289668257</v>
      </c>
      <c r="E22" s="3">
        <v>0.82036156049346076</v>
      </c>
      <c r="F22" s="3">
        <v>1.4287748577228767</v>
      </c>
    </row>
    <row r="23" spans="1:6" x14ac:dyDescent="0.25">
      <c r="A23" s="2" t="s">
        <v>91</v>
      </c>
      <c r="B23" s="2" t="s">
        <v>92</v>
      </c>
      <c r="C23" s="3">
        <v>1.1171419888702492</v>
      </c>
      <c r="D23" s="3">
        <v>0.74353514130949905</v>
      </c>
      <c r="E23" s="3">
        <v>11.033292593696363</v>
      </c>
      <c r="F23" s="3">
        <v>8.7727411256017351</v>
      </c>
    </row>
    <row r="24" spans="1:6" x14ac:dyDescent="0.25">
      <c r="A24" s="2" t="s">
        <v>24</v>
      </c>
      <c r="B24" s="13" t="s">
        <v>25</v>
      </c>
      <c r="C24" s="3">
        <v>1.1452682356283854</v>
      </c>
      <c r="D24" s="3">
        <v>0.71970300745850779</v>
      </c>
      <c r="E24" s="3">
        <v>6.5995587829731441</v>
      </c>
      <c r="F24" s="3">
        <v>4.1985328533946333</v>
      </c>
    </row>
    <row r="25" spans="1:6" x14ac:dyDescent="0.25">
      <c r="A25" s="2" t="s">
        <v>89</v>
      </c>
      <c r="B25" s="2" t="s">
        <v>90</v>
      </c>
      <c r="C25" s="3">
        <v>1.0557931710621387</v>
      </c>
      <c r="D25" s="3">
        <v>0.59675805501967727</v>
      </c>
      <c r="E25" s="3">
        <v>2.741656360321008</v>
      </c>
      <c r="F25" s="3">
        <v>0.57456911856021375</v>
      </c>
    </row>
    <row r="26" spans="1:6" x14ac:dyDescent="0.25">
      <c r="A26" s="2" t="s">
        <v>28</v>
      </c>
      <c r="B26" s="13" t="s">
        <v>29</v>
      </c>
      <c r="C26" s="3">
        <v>1.3306477779394272</v>
      </c>
      <c r="D26" s="3">
        <v>0.52497104851926879</v>
      </c>
      <c r="E26" s="3">
        <v>14.558529260558757</v>
      </c>
      <c r="F26" s="3">
        <v>0.20311492992969613</v>
      </c>
    </row>
    <row r="27" spans="1:6" x14ac:dyDescent="0.25">
      <c r="A27" s="2" t="s">
        <v>55</v>
      </c>
      <c r="B27" s="2" t="s">
        <v>56</v>
      </c>
      <c r="C27" s="3">
        <v>1.116815947298657</v>
      </c>
      <c r="D27" s="3">
        <v>0.51990063688275234</v>
      </c>
      <c r="E27" s="3">
        <v>2.5220307584192545</v>
      </c>
      <c r="F27" s="3">
        <v>0.22602584912178772</v>
      </c>
    </row>
    <row r="28" spans="1:6" x14ac:dyDescent="0.25">
      <c r="A28" s="2" t="s">
        <v>18</v>
      </c>
      <c r="B28" s="2" t="s">
        <v>19</v>
      </c>
      <c r="C28" s="3">
        <v>1.2959670995181913</v>
      </c>
      <c r="D28" s="3">
        <v>0.43716192574154161</v>
      </c>
      <c r="E28" s="3">
        <v>6.9063031528892316E-2</v>
      </c>
      <c r="F28" s="3">
        <v>7.525489289467116E-2</v>
      </c>
    </row>
    <row r="29" spans="1:6" x14ac:dyDescent="0.25">
      <c r="A29" s="2" t="s">
        <v>87</v>
      </c>
      <c r="B29" s="2" t="s">
        <v>88</v>
      </c>
      <c r="C29" s="3">
        <v>1.4842736816541999</v>
      </c>
      <c r="D29" s="3">
        <v>0.4121490248256805</v>
      </c>
      <c r="E29" s="3">
        <v>0.96137007040086431</v>
      </c>
      <c r="F29" s="3">
        <v>0.57263086143914699</v>
      </c>
    </row>
    <row r="30" spans="1:6" x14ac:dyDescent="0.25">
      <c r="A30" s="2" t="s">
        <v>42</v>
      </c>
      <c r="B30" s="13" t="s">
        <v>43</v>
      </c>
      <c r="C30" s="3">
        <v>1.2626658353400688</v>
      </c>
      <c r="D30" s="3">
        <v>0.23138177613322164</v>
      </c>
      <c r="E30" s="3">
        <v>15.780848016319494</v>
      </c>
      <c r="F30" s="3">
        <v>0.9262386419932308</v>
      </c>
    </row>
    <row r="31" spans="1:6" x14ac:dyDescent="0.25">
      <c r="B31" s="12"/>
      <c r="C31" s="3"/>
      <c r="D31" s="3"/>
      <c r="E31" s="3"/>
      <c r="F31" s="3"/>
    </row>
    <row r="32" spans="1:6" x14ac:dyDescent="0.25">
      <c r="B32" s="12"/>
      <c r="C32" s="3">
        <f>AVERAGE(C2:C16)</f>
        <v>1.2251665006850432</v>
      </c>
      <c r="D32" s="3"/>
      <c r="E32" s="3"/>
      <c r="F32" s="3"/>
    </row>
    <row r="33" spans="1:6" x14ac:dyDescent="0.25">
      <c r="B33" s="12"/>
      <c r="C33" s="3">
        <f>AVERAGE(C17:C30)</f>
        <v>1.1797191089283952</v>
      </c>
      <c r="D33" s="3"/>
      <c r="E33" s="3"/>
      <c r="F33" s="3"/>
    </row>
    <row r="34" spans="1:6" x14ac:dyDescent="0.25">
      <c r="B34" s="12"/>
      <c r="C34" s="3"/>
      <c r="D34" s="3"/>
      <c r="E34" s="3"/>
      <c r="F34" s="3"/>
    </row>
    <row r="35" spans="1:6" x14ac:dyDescent="0.25">
      <c r="A35" s="1" t="s">
        <v>0</v>
      </c>
      <c r="B35" s="1" t="s">
        <v>1</v>
      </c>
      <c r="C35" s="1" t="s">
        <v>3</v>
      </c>
      <c r="D35" s="1" t="s">
        <v>4</v>
      </c>
      <c r="E35" s="1" t="s">
        <v>5</v>
      </c>
      <c r="F35" s="1" t="s">
        <v>6</v>
      </c>
    </row>
    <row r="36" spans="1:6" x14ac:dyDescent="0.25">
      <c r="A36" s="2" t="s">
        <v>109</v>
      </c>
      <c r="B36" s="13" t="s">
        <v>110</v>
      </c>
      <c r="C36" s="3">
        <v>4.7030669018119333</v>
      </c>
      <c r="D36" s="3">
        <v>2.8901298438864593</v>
      </c>
      <c r="E36" s="3">
        <v>4.8551022339063907</v>
      </c>
      <c r="F36" s="3">
        <v>0.54338114633168244</v>
      </c>
    </row>
    <row r="37" spans="1:6" x14ac:dyDescent="0.25">
      <c r="A37" s="2" t="s">
        <v>103</v>
      </c>
      <c r="B37" s="13" t="s">
        <v>104</v>
      </c>
      <c r="C37" s="3">
        <v>3.5865019899753703</v>
      </c>
      <c r="D37" s="3">
        <v>3.2537982636532159</v>
      </c>
      <c r="E37" s="3">
        <v>4.4560052279624465</v>
      </c>
      <c r="F37" s="3">
        <v>1.1593793807464068</v>
      </c>
    </row>
    <row r="38" spans="1:6" x14ac:dyDescent="0.25">
      <c r="A38" s="2" t="s">
        <v>111</v>
      </c>
      <c r="B38" s="13" t="s">
        <v>112</v>
      </c>
      <c r="C38" s="3">
        <v>2.0103131540352179</v>
      </c>
      <c r="D38" s="3">
        <v>0.93267101567812905</v>
      </c>
      <c r="E38" s="3">
        <v>2.5190872586151345</v>
      </c>
      <c r="F38" s="3">
        <v>1.1555534045986038</v>
      </c>
    </row>
    <row r="39" spans="1:6" x14ac:dyDescent="0.25">
      <c r="A39" s="2" t="s">
        <v>105</v>
      </c>
      <c r="B39" s="13" t="s">
        <v>106</v>
      </c>
      <c r="C39" s="3">
        <v>1.4775819198599631</v>
      </c>
      <c r="D39" s="3">
        <v>1.3718824524470641</v>
      </c>
      <c r="E39" s="3">
        <v>1.9764761072330601</v>
      </c>
      <c r="F39" s="3">
        <v>0.6794675155641563</v>
      </c>
    </row>
    <row r="40" spans="1:6" x14ac:dyDescent="0.25">
      <c r="A40" s="2" t="s">
        <v>101</v>
      </c>
      <c r="B40" s="13" t="s">
        <v>102</v>
      </c>
      <c r="C40" s="3">
        <v>6.2067376729116983</v>
      </c>
      <c r="D40" s="3">
        <v>2.9456289391002568</v>
      </c>
      <c r="E40" s="3">
        <v>0.39632604155360068</v>
      </c>
      <c r="F40" s="3">
        <v>1.1022346667896791E-2</v>
      </c>
    </row>
    <row r="41" spans="1:6" x14ac:dyDescent="0.25">
      <c r="A41" s="2" t="s">
        <v>99</v>
      </c>
      <c r="B41" s="13" t="s">
        <v>100</v>
      </c>
      <c r="C41" s="3">
        <v>11.796247286330882</v>
      </c>
      <c r="D41" s="3">
        <v>3.3701353993917049</v>
      </c>
      <c r="E41" s="3">
        <v>0.32270229215556578</v>
      </c>
      <c r="F41" s="3">
        <v>0.58794694129813696</v>
      </c>
    </row>
    <row r="42" spans="1:6" x14ac:dyDescent="0.25">
      <c r="A42" s="2" t="s">
        <v>107</v>
      </c>
      <c r="B42" s="13" t="s">
        <v>108</v>
      </c>
      <c r="C42" s="3">
        <v>3.243142089244174</v>
      </c>
      <c r="D42" s="3">
        <v>2.8074620181135077</v>
      </c>
      <c r="E42" s="3">
        <v>0.11140291583466078</v>
      </c>
      <c r="F42" s="3">
        <v>2.3456004945261939</v>
      </c>
    </row>
    <row r="43" spans="1:6" x14ac:dyDescent="0.25">
      <c r="A43" s="2" t="s">
        <v>113</v>
      </c>
      <c r="B43" s="13" t="s">
        <v>114</v>
      </c>
      <c r="C43" s="3">
        <v>8.8797620553372667</v>
      </c>
      <c r="D43" s="3">
        <v>8.4561035857734002</v>
      </c>
      <c r="E43" s="3">
        <v>9.6999640190591641E-3</v>
      </c>
      <c r="F43" s="3">
        <v>1.469967801891219</v>
      </c>
    </row>
    <row r="44" spans="1:6" x14ac:dyDescent="0.25">
      <c r="B44" s="13"/>
      <c r="C44" s="3"/>
      <c r="D44" s="3"/>
      <c r="E44" s="3"/>
      <c r="F44" s="3"/>
    </row>
    <row r="45" spans="1:6" x14ac:dyDescent="0.25">
      <c r="B45" s="13"/>
      <c r="C45" s="3"/>
      <c r="D45" s="3"/>
      <c r="E45" s="3"/>
      <c r="F45" s="3"/>
    </row>
    <row r="46" spans="1:6" x14ac:dyDescent="0.25">
      <c r="B46" s="13"/>
      <c r="C46" s="3"/>
      <c r="D46" s="3"/>
      <c r="E46" s="3"/>
      <c r="F46" s="3"/>
    </row>
    <row r="47" spans="1:6" x14ac:dyDescent="0.25">
      <c r="B47" s="13"/>
      <c r="C47" s="3"/>
      <c r="D47" s="3"/>
      <c r="E47" s="3"/>
      <c r="F47" s="3"/>
    </row>
    <row r="48" spans="1:6" x14ac:dyDescent="0.25">
      <c r="B48" s="13"/>
      <c r="C48" s="3"/>
      <c r="D48" s="3"/>
      <c r="E48" s="3"/>
      <c r="F48" s="3"/>
    </row>
    <row r="49" spans="2:6" x14ac:dyDescent="0.25">
      <c r="B49" s="13"/>
      <c r="C49" s="3"/>
      <c r="D49" s="3"/>
      <c r="E49" s="3"/>
      <c r="F49" s="3"/>
    </row>
    <row r="50" spans="2:6" x14ac:dyDescent="0.25">
      <c r="B50" s="13"/>
      <c r="C50" s="3"/>
      <c r="D50" s="3"/>
      <c r="E50" s="3"/>
      <c r="F50" s="3"/>
    </row>
    <row r="51" spans="2:6" x14ac:dyDescent="0.25">
      <c r="B51" s="12"/>
      <c r="C51" s="3"/>
      <c r="D51" s="3"/>
      <c r="E51" s="3"/>
      <c r="F51" s="3"/>
    </row>
    <row r="52" spans="2:6" x14ac:dyDescent="0.25">
      <c r="B52" s="12"/>
      <c r="C52" s="3"/>
      <c r="D52" s="3"/>
      <c r="E52" s="3"/>
      <c r="F52" s="3"/>
    </row>
    <row r="53" spans="2:6" x14ac:dyDescent="0.25">
      <c r="B53" s="12"/>
      <c r="C53" s="3"/>
      <c r="D53" s="3"/>
      <c r="E53" s="3"/>
      <c r="F53" s="3"/>
    </row>
    <row r="54" spans="2:6" x14ac:dyDescent="0.25">
      <c r="B54" s="12"/>
      <c r="C54" s="3"/>
      <c r="D54" s="3"/>
      <c r="E54" s="3"/>
      <c r="F54" s="3"/>
    </row>
    <row r="55" spans="2:6" x14ac:dyDescent="0.25">
      <c r="B55" s="12"/>
      <c r="C55" s="3"/>
      <c r="D55" s="3"/>
      <c r="E55" s="3"/>
      <c r="F55" s="3"/>
    </row>
    <row r="56" spans="2:6" x14ac:dyDescent="0.25">
      <c r="B56" s="12"/>
      <c r="C56" s="3"/>
      <c r="D56" s="3"/>
      <c r="E56" s="3"/>
      <c r="F56" s="3"/>
    </row>
    <row r="57" spans="2:6" x14ac:dyDescent="0.25">
      <c r="B57" s="12"/>
      <c r="C57" s="3"/>
      <c r="D57" s="3"/>
      <c r="E57" s="3"/>
      <c r="F57" s="3"/>
    </row>
    <row r="58" spans="2:6" x14ac:dyDescent="0.25">
      <c r="C58" s="3"/>
      <c r="D58" s="3"/>
      <c r="E58" s="3"/>
      <c r="F58" s="3"/>
    </row>
  </sheetData>
  <sortState ref="A36:F43">
    <sortCondition descending="1" ref="E36:E43"/>
  </sortState>
  <conditionalFormatting sqref="E36:E4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49" zoomScaleNormal="100" workbookViewId="0">
      <selection activeCell="D69" sqref="D69:G69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17" sqref="D17:G17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63</v>
      </c>
      <c r="E1" s="11" t="s">
        <v>4</v>
      </c>
      <c r="F1" s="11" t="s">
        <v>5</v>
      </c>
      <c r="G1" s="11" t="s">
        <v>6</v>
      </c>
    </row>
    <row r="2" spans="1:7" x14ac:dyDescent="0.25">
      <c r="A2" s="2" t="s">
        <v>93</v>
      </c>
      <c r="B2" s="2" t="s">
        <v>94</v>
      </c>
      <c r="C2" s="2">
        <v>2021</v>
      </c>
      <c r="D2" s="3">
        <v>3162049.709016114</v>
      </c>
      <c r="E2" s="3">
        <v>28754.301122820001</v>
      </c>
      <c r="F2" s="4">
        <v>4.4816202664626553E-3</v>
      </c>
      <c r="G2" s="4">
        <v>8.4653638062801126E-4</v>
      </c>
    </row>
    <row r="3" spans="1:7" x14ac:dyDescent="0.25">
      <c r="A3" s="2" t="s">
        <v>93</v>
      </c>
      <c r="B3" s="2" t="s">
        <v>94</v>
      </c>
      <c r="C3" s="2">
        <v>2023</v>
      </c>
      <c r="D3" s="3">
        <v>3063178.2048380482</v>
      </c>
      <c r="E3" s="3">
        <v>4552.0415732800002</v>
      </c>
      <c r="F3" s="4">
        <v>5.8592278586730327E-3</v>
      </c>
      <c r="G3" s="4">
        <v>6.9752471915851143E-4</v>
      </c>
    </row>
    <row r="4" spans="1:7" x14ac:dyDescent="0.25">
      <c r="A4" s="2" t="s">
        <v>93</v>
      </c>
      <c r="B4" s="2" t="s">
        <v>94</v>
      </c>
      <c r="C4" s="2">
        <v>2022</v>
      </c>
      <c r="D4" s="3">
        <v>2844592.645754816</v>
      </c>
      <c r="E4" s="3">
        <v>13495.267380560001</v>
      </c>
      <c r="F4" s="4">
        <v>9.4137314672996359E-4</v>
      </c>
      <c r="G4" s="4">
        <v>4.9632040263599883E-4</v>
      </c>
    </row>
    <row r="5" spans="1:7" x14ac:dyDescent="0.25">
      <c r="A5" s="2" t="s">
        <v>95</v>
      </c>
      <c r="B5" s="2" t="s">
        <v>96</v>
      </c>
      <c r="C5" s="2">
        <v>2023</v>
      </c>
      <c r="D5" s="3">
        <v>1986156.080578048</v>
      </c>
      <c r="E5" s="3">
        <v>10023.30762064</v>
      </c>
      <c r="F5" s="4">
        <v>8.3094423869115915E-3</v>
      </c>
      <c r="G5" s="4">
        <v>2.6112463660302979E-4</v>
      </c>
    </row>
    <row r="6" spans="1:7" x14ac:dyDescent="0.25">
      <c r="A6" s="2" t="s">
        <v>95</v>
      </c>
      <c r="B6" s="2" t="s">
        <v>96</v>
      </c>
      <c r="C6" s="2">
        <v>2022</v>
      </c>
      <c r="D6" s="3">
        <v>1956784.5814760141</v>
      </c>
      <c r="E6" s="3">
        <v>13840.213139900001</v>
      </c>
      <c r="F6" s="4">
        <v>5.5526598631959554E-4</v>
      </c>
      <c r="G6" s="4">
        <v>1.7115461706084071E-4</v>
      </c>
    </row>
    <row r="7" spans="1:7" x14ac:dyDescent="0.25">
      <c r="A7" s="2" t="s">
        <v>97</v>
      </c>
      <c r="B7" s="2" t="s">
        <v>98</v>
      </c>
      <c r="C7" s="2">
        <v>2021</v>
      </c>
      <c r="D7" s="3">
        <v>1934582.820337062</v>
      </c>
      <c r="E7" s="3">
        <v>4804.5085313400004</v>
      </c>
      <c r="F7" s="4">
        <v>1.828511270756302E-3</v>
      </c>
      <c r="G7" s="4">
        <v>2.0188332181595189E-3</v>
      </c>
    </row>
    <row r="8" spans="1:7" x14ac:dyDescent="0.25">
      <c r="A8" s="2" t="s">
        <v>95</v>
      </c>
      <c r="B8" s="2" t="s">
        <v>96</v>
      </c>
      <c r="C8" s="2">
        <v>2021</v>
      </c>
      <c r="D8" s="3">
        <v>1929006.46472436</v>
      </c>
      <c r="E8" s="3">
        <v>30751.247821140001</v>
      </c>
      <c r="F8" s="4">
        <v>3.6624865779454649E-4</v>
      </c>
      <c r="G8" s="4">
        <v>3.3220418369420449E-4</v>
      </c>
    </row>
    <row r="9" spans="1:7" x14ac:dyDescent="0.25">
      <c r="A9" s="2" t="s">
        <v>97</v>
      </c>
      <c r="B9" s="2" t="s">
        <v>98</v>
      </c>
      <c r="C9" s="2">
        <v>2023</v>
      </c>
      <c r="D9" s="3">
        <v>1847753.5707314</v>
      </c>
      <c r="E9" s="3">
        <v>3004.4345673600001</v>
      </c>
      <c r="F9" s="4">
        <v>4.726564124336423E-3</v>
      </c>
      <c r="G9" s="4">
        <v>4.5218654277226359E-4</v>
      </c>
    </row>
    <row r="10" spans="1:7" x14ac:dyDescent="0.25">
      <c r="A10" s="2" t="s">
        <v>97</v>
      </c>
      <c r="B10" s="2" t="s">
        <v>98</v>
      </c>
      <c r="C10" s="2">
        <v>2022</v>
      </c>
      <c r="D10" s="3">
        <v>1771136.789893996</v>
      </c>
      <c r="E10" s="3">
        <v>2860.9363756799999</v>
      </c>
      <c r="F10" s="4">
        <v>2.9910971431393869E-3</v>
      </c>
      <c r="G10" s="4">
        <v>5.8399632169480961E-4</v>
      </c>
    </row>
    <row r="12" spans="1:7" x14ac:dyDescent="0.25">
      <c r="B12" s="5" t="s">
        <v>13</v>
      </c>
      <c r="D12" s="3">
        <f>MEDIAN(D2:D10)</f>
        <v>1956784.5814760141</v>
      </c>
    </row>
    <row r="14" spans="1:7" x14ac:dyDescent="0.25">
      <c r="B14" s="6" t="s">
        <v>14</v>
      </c>
      <c r="D14" s="3">
        <f>AVERAGE(D2:D5)</f>
        <v>2763994.1600467563</v>
      </c>
      <c r="E14" s="3">
        <f t="shared" ref="E14:G14" si="0">AVERAGE(E2:E5)</f>
        <v>14206.229424325</v>
      </c>
      <c r="F14" s="4">
        <f t="shared" si="0"/>
        <v>4.8979159146943108E-3</v>
      </c>
      <c r="G14" s="4">
        <f t="shared" si="0"/>
        <v>5.7537653475638788E-4</v>
      </c>
    </row>
    <row r="15" spans="1:7" x14ac:dyDescent="0.25">
      <c r="B15" s="6" t="s">
        <v>15</v>
      </c>
      <c r="D15" s="3">
        <f>AVERAGE(D7:D10)</f>
        <v>1870619.9114217046</v>
      </c>
      <c r="E15" s="3">
        <f t="shared" ref="E15:G15" si="1">AVERAGE(E7:E10)</f>
        <v>10355.281823879999</v>
      </c>
      <c r="F15" s="4">
        <f t="shared" si="1"/>
        <v>2.4781052990066645E-3</v>
      </c>
      <c r="G15" s="4">
        <f t="shared" si="1"/>
        <v>8.468050665801991E-4</v>
      </c>
    </row>
    <row r="17" spans="2:7" x14ac:dyDescent="0.25">
      <c r="B17" t="s">
        <v>52</v>
      </c>
      <c r="D17">
        <f>D14/D15</f>
        <v>1.4775819198599631</v>
      </c>
      <c r="E17">
        <f t="shared" ref="E17:G17" si="2">E14/E15</f>
        <v>1.3718824524470641</v>
      </c>
      <c r="F17">
        <f t="shared" si="2"/>
        <v>1.9764761072330601</v>
      </c>
      <c r="G17">
        <f t="shared" si="2"/>
        <v>0.6794675155641563</v>
      </c>
    </row>
  </sheetData>
  <conditionalFormatting sqref="D2:D1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D20" sqref="D20:G20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0" spans="1:7" x14ac:dyDescent="0.25">
      <c r="D20">
        <f>D17/D18</f>
        <v>3.243142089244174</v>
      </c>
      <c r="E20">
        <f t="shared" ref="E20:G20" si="2">E17/E18</f>
        <v>2.8074620181135077</v>
      </c>
      <c r="F20">
        <f t="shared" si="2"/>
        <v>0.11140291583466078</v>
      </c>
      <c r="G20">
        <f t="shared" si="2"/>
        <v>2.3456004945261939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3">AVERAGE(E23:E24)</f>
        <v>64541.561011874997</v>
      </c>
      <c r="F28" s="4">
        <f t="shared" si="3"/>
        <v>3.6468612366631426E-3</v>
      </c>
      <c r="G28" s="4">
        <f t="shared" si="3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4">AVERAGE(E25:E26)</f>
        <v>80571.883507775012</v>
      </c>
      <c r="F29" s="4">
        <f t="shared" si="4"/>
        <v>1.2689735036972318E-3</v>
      </c>
      <c r="G29" s="4">
        <f t="shared" si="4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5">E28/E29</f>
        <v>0.80104322006630113</v>
      </c>
      <c r="F31" s="3">
        <f t="shared" si="5"/>
        <v>2.8738671264906555</v>
      </c>
      <c r="G31" s="3">
        <f t="shared" si="5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D20" sqref="D20:G20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29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D15" sqref="D15:G15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selection activeCell="D25" sqref="D25:G25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  <row r="25" spans="1:7" x14ac:dyDescent="0.25">
      <c r="C25" t="s">
        <v>52</v>
      </c>
      <c r="D25" s="2">
        <f>D22/D23</f>
        <v>6.2067376729116983</v>
      </c>
      <c r="E25" s="2">
        <f t="shared" ref="E25:G25" si="0">E22/E23</f>
        <v>2.9456289391002568</v>
      </c>
      <c r="F25" s="2">
        <f t="shared" si="0"/>
        <v>0.39632604155360068</v>
      </c>
      <c r="G25" s="2">
        <f t="shared" si="0"/>
        <v>1.1022346667896791E-2</v>
      </c>
    </row>
    <row r="26" spans="1:7" x14ac:dyDescent="0.25">
      <c r="A26" s="2"/>
      <c r="B26" s="2"/>
      <c r="C26" s="2"/>
      <c r="D26" s="3"/>
      <c r="E26" s="3"/>
      <c r="F26" s="4"/>
      <c r="G26" s="4"/>
    </row>
    <row r="27" spans="1:7" x14ac:dyDescent="0.25">
      <c r="A27" s="2"/>
      <c r="B27" s="2"/>
      <c r="C27" s="2"/>
      <c r="D27" s="3"/>
      <c r="E27" s="3"/>
      <c r="F27" s="4"/>
      <c r="G27" s="4"/>
    </row>
    <row r="28" spans="1:7" x14ac:dyDescent="0.25">
      <c r="A28" s="2"/>
      <c r="B28" s="2"/>
      <c r="C28" s="2"/>
      <c r="D28" s="3"/>
      <c r="E28" s="3"/>
      <c r="F28" s="4"/>
      <c r="G28" s="4"/>
    </row>
    <row r="29" spans="1:7" x14ac:dyDescent="0.25">
      <c r="A29" s="2"/>
      <c r="B29" s="2"/>
      <c r="C29" s="2"/>
      <c r="D29" s="3"/>
      <c r="E29" s="3"/>
      <c r="F29" s="4"/>
      <c r="G29" s="4"/>
    </row>
    <row r="31" spans="1:7" x14ac:dyDescent="0.25">
      <c r="B31" s="6"/>
      <c r="D31" s="3"/>
      <c r="E31" s="3"/>
      <c r="F31" s="4"/>
      <c r="G31" s="4"/>
    </row>
    <row r="32" spans="1:7" x14ac:dyDescent="0.25">
      <c r="B32" s="6"/>
      <c r="D32" s="3"/>
      <c r="E32" s="3"/>
      <c r="F32" s="4"/>
      <c r="G32" s="4"/>
    </row>
    <row r="34" spans="1:7" x14ac:dyDescent="0.25">
      <c r="B34" s="6"/>
      <c r="D34" s="3"/>
      <c r="E34" s="3"/>
      <c r="F34" s="3"/>
      <c r="G34" s="3"/>
    </row>
    <row r="37" spans="1:7" x14ac:dyDescent="0.25">
      <c r="A37" s="2"/>
      <c r="B37" s="2"/>
      <c r="C37" s="2"/>
      <c r="D37" s="3"/>
      <c r="E37" s="3"/>
      <c r="F37" s="4"/>
      <c r="G37" s="4"/>
    </row>
    <row r="38" spans="1:7" x14ac:dyDescent="0.25">
      <c r="A38" s="2"/>
      <c r="B38" s="2"/>
      <c r="C38" s="2"/>
      <c r="D38" s="3"/>
      <c r="E38" s="3"/>
      <c r="F38" s="4"/>
      <c r="G38" s="4"/>
    </row>
    <row r="39" spans="1:7" x14ac:dyDescent="0.25">
      <c r="A39" s="2"/>
      <c r="B39" s="2"/>
      <c r="C39" s="2"/>
      <c r="D39" s="3"/>
      <c r="E39" s="3"/>
      <c r="F39" s="4"/>
      <c r="G39" s="4"/>
    </row>
    <row r="40" spans="1:7" x14ac:dyDescent="0.25">
      <c r="A40" s="2"/>
      <c r="B40" s="2"/>
      <c r="C40" s="2"/>
      <c r="D40" s="3"/>
      <c r="E40" s="3"/>
      <c r="F40" s="4"/>
      <c r="G40" s="4"/>
    </row>
    <row r="42" spans="1:7" x14ac:dyDescent="0.25">
      <c r="B42" s="6"/>
      <c r="D42" s="3"/>
      <c r="E42" s="3"/>
      <c r="F42" s="4"/>
      <c r="G42" s="4"/>
    </row>
    <row r="43" spans="1:7" x14ac:dyDescent="0.25">
      <c r="B43" s="6"/>
      <c r="D43" s="3"/>
      <c r="E43" s="3"/>
      <c r="F43" s="4"/>
      <c r="G43" s="4"/>
    </row>
    <row r="45" spans="1:7" x14ac:dyDescent="0.25">
      <c r="B45" s="6"/>
      <c r="D45" s="3"/>
      <c r="E45" s="3"/>
      <c r="F45" s="3"/>
      <c r="G45" s="3"/>
    </row>
    <row r="47" spans="1:7" x14ac:dyDescent="0.25">
      <c r="A47" s="2"/>
      <c r="B47" s="2"/>
      <c r="C47" s="2"/>
      <c r="D47" s="3"/>
      <c r="E47" s="3"/>
      <c r="F47" s="4"/>
      <c r="G47" s="4"/>
    </row>
    <row r="48" spans="1:7" x14ac:dyDescent="0.25">
      <c r="A48" s="2"/>
      <c r="B48" s="2"/>
      <c r="C48" s="2"/>
      <c r="D48" s="3"/>
      <c r="E48" s="3"/>
      <c r="F48" s="4"/>
      <c r="G48" s="4"/>
    </row>
    <row r="49" spans="1:7" x14ac:dyDescent="0.25">
      <c r="A49" s="2"/>
      <c r="B49" s="2"/>
      <c r="C49" s="2"/>
      <c r="D49" s="3"/>
      <c r="E49" s="3"/>
      <c r="F49" s="4"/>
      <c r="G49" s="4"/>
    </row>
    <row r="50" spans="1:7" x14ac:dyDescent="0.25">
      <c r="A50" s="2"/>
      <c r="B50" s="2"/>
      <c r="C50" s="2"/>
      <c r="D50" s="3"/>
      <c r="E50" s="3"/>
      <c r="F50" s="4"/>
      <c r="G50" s="4"/>
    </row>
    <row r="52" spans="1:7" x14ac:dyDescent="0.25">
      <c r="B52" s="6"/>
      <c r="D52" s="3"/>
      <c r="E52" s="3"/>
      <c r="F52" s="4"/>
      <c r="G52" s="4"/>
    </row>
    <row r="53" spans="1:7" x14ac:dyDescent="0.25">
      <c r="B53" s="6"/>
      <c r="D53" s="3"/>
      <c r="E53" s="3"/>
      <c r="F53" s="4"/>
      <c r="G53" s="4"/>
    </row>
    <row r="55" spans="1:7" x14ac:dyDescent="0.25">
      <c r="B55" s="6"/>
      <c r="D55" s="3"/>
      <c r="E55" s="3"/>
      <c r="F55" s="3"/>
      <c r="G55" s="3"/>
    </row>
  </sheetData>
  <conditionalFormatting sqref="D2:D1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:D4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E40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:F40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:G4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D4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2:E4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2:F4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2:G4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Внутрисекторальная разница</vt:lpstr>
      <vt:lpstr>Пром. производство</vt:lpstr>
      <vt:lpstr>Логистика</vt:lpstr>
      <vt:lpstr>Наука</vt:lpstr>
      <vt:lpstr>Строительство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2026-05-27T11:09:45Z</dcterms:modified>
</cp:coreProperties>
</file>