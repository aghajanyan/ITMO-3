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Desktop\"/>
    </mc:Choice>
  </mc:AlternateContent>
  <bookViews>
    <workbookView xWindow="0" yWindow="0" windowWidth="28800" windowHeight="12885" activeTab="6"/>
  </bookViews>
  <sheets>
    <sheet name="Пром. производство" sheetId="3" r:id="rId1"/>
    <sheet name="Сельхоз" sheetId="1" r:id="rId2"/>
    <sheet name="Административный" sheetId="2" r:id="rId3"/>
    <sheet name="Логистика" sheetId="4" r:id="rId4"/>
    <sheet name="Добыча" sheetId="5" r:id="rId5"/>
    <sheet name="Торговля" sheetId="6" r:id="rId6"/>
    <sheet name="Наука" sheetId="7" r:id="rId7"/>
  </sheets>
  <calcPr calcId="162913"/>
</workbook>
</file>

<file path=xl/calcChain.xml><?xml version="1.0" encoding="utf-8"?>
<calcChain xmlns="http://schemas.openxmlformats.org/spreadsheetml/2006/main">
  <c r="G18" i="7" l="1"/>
  <c r="F18" i="7"/>
  <c r="E18" i="7"/>
  <c r="D18" i="7"/>
  <c r="G17" i="7"/>
  <c r="G20" i="7" s="1"/>
  <c r="F17" i="7"/>
  <c r="F20" i="7" s="1"/>
  <c r="E17" i="7"/>
  <c r="E20" i="7" s="1"/>
  <c r="D17" i="7"/>
  <c r="D20" i="7" s="1"/>
  <c r="D15" i="7"/>
  <c r="G18" i="6" l="1"/>
  <c r="F18" i="6"/>
  <c r="E18" i="6"/>
  <c r="D18" i="6"/>
  <c r="G17" i="6"/>
  <c r="F17" i="6"/>
  <c r="E17" i="6"/>
  <c r="D17" i="6"/>
  <c r="D15" i="6"/>
  <c r="G23" i="5" l="1"/>
  <c r="F23" i="5"/>
  <c r="E23" i="5"/>
  <c r="D23" i="5"/>
  <c r="G22" i="5"/>
  <c r="F22" i="5"/>
  <c r="E22" i="5"/>
  <c r="D22" i="5"/>
  <c r="D19" i="5"/>
  <c r="G18" i="4" l="1"/>
  <c r="F18" i="4"/>
  <c r="E18" i="4"/>
  <c r="D18" i="4"/>
  <c r="G17" i="4"/>
  <c r="G20" i="4" s="1"/>
  <c r="F17" i="4"/>
  <c r="F20" i="4" s="1"/>
  <c r="E17" i="4"/>
  <c r="E20" i="4" s="1"/>
  <c r="D17" i="4"/>
  <c r="D20" i="4" s="1"/>
  <c r="D15" i="4"/>
  <c r="G67" i="3" l="1"/>
  <c r="F67" i="3"/>
  <c r="E67" i="3"/>
  <c r="D67" i="3"/>
  <c r="G66" i="3"/>
  <c r="G69" i="3" s="1"/>
  <c r="F66" i="3"/>
  <c r="F69" i="3" s="1"/>
  <c r="E66" i="3"/>
  <c r="E69" i="3" s="1"/>
  <c r="D66" i="3"/>
  <c r="D69" i="3" s="1"/>
  <c r="D64" i="3"/>
  <c r="G13" i="2" l="1"/>
  <c r="F13" i="2"/>
  <c r="E13" i="2"/>
  <c r="D13" i="2"/>
  <c r="G12" i="2"/>
  <c r="F12" i="2"/>
  <c r="E12" i="2"/>
  <c r="D12" i="2"/>
  <c r="D10" i="2"/>
  <c r="E18" i="1" l="1"/>
  <c r="F18" i="1"/>
  <c r="G18" i="1"/>
  <c r="D18" i="1"/>
  <c r="E17" i="1"/>
  <c r="F17" i="1"/>
  <c r="G17" i="1"/>
  <c r="D17" i="1"/>
  <c r="D15" i="1"/>
</calcChain>
</file>

<file path=xl/sharedStrings.xml><?xml version="1.0" encoding="utf-8"?>
<sst xmlns="http://schemas.openxmlformats.org/spreadsheetml/2006/main" count="349" uniqueCount="93">
  <si>
    <t>sector</t>
  </si>
  <si>
    <t>okved2</t>
  </si>
  <si>
    <t>year</t>
  </si>
  <si>
    <t>VDS_s</t>
  </si>
  <si>
    <t>ITcosts_s</t>
  </si>
  <si>
    <t>skvozcosts_s</t>
  </si>
  <si>
    <t>trainingcosts_s</t>
  </si>
  <si>
    <t>Растениеводство и животноводство, охота и предоставление соответствующих услуг в этих областях</t>
  </si>
  <si>
    <t>01</t>
  </si>
  <si>
    <t>Лесоводство и лесозаготовки</t>
  </si>
  <si>
    <t>02</t>
  </si>
  <si>
    <t>Рыболовство и рыбоводство</t>
  </si>
  <si>
    <t>03</t>
  </si>
  <si>
    <t>медиана ВДС:</t>
  </si>
  <si>
    <t>верхний кластер:</t>
  </si>
  <si>
    <t>нижний кластер:</t>
  </si>
  <si>
    <t>Аренда и лизинг</t>
  </si>
  <si>
    <t>77</t>
  </si>
  <si>
    <t>Деятельность по трудоустройству и подбору персонала</t>
  </si>
  <si>
    <t>78</t>
  </si>
  <si>
    <t xml:space="preserve"> Производство металлургическое</t>
  </si>
  <si>
    <t>24</t>
  </si>
  <si>
    <t xml:space="preserve"> Производство кокса и нефтепродуктов</t>
  </si>
  <si>
    <t>19</t>
  </si>
  <si>
    <t xml:space="preserve"> Производство химических веществ и химических продуктов</t>
  </si>
  <si>
    <t>20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</si>
  <si>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</si>
  <si>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</si>
  <si>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</si>
  <si>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</si>
  <si>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прочих транспортных средств и оборудования</t>
  </si>
  <si>
    <t>30</t>
  </si>
  <si>
    <t>Производство машин и оборудования, не включенных в другие группировки</t>
  </si>
  <si>
    <t>28</t>
  </si>
  <si>
    <t>Производство прочей неметаллической минеральной продукции</t>
  </si>
  <si>
    <t>23</t>
  </si>
  <si>
    <t>Ремонт и монтаж машин и оборудования</t>
  </si>
  <si>
    <t>33</t>
  </si>
  <si>
    <t xml:space="preserve"> Производство автотранспортных средств, прицепов и полуприцепов</t>
  </si>
  <si>
    <t>29</t>
  </si>
  <si>
    <t>Производство лекарственных средств и материалов, применяемых в медицинских целях</t>
  </si>
  <si>
    <t>21</t>
  </si>
  <si>
    <t>Производство электрического оборудования</t>
  </si>
  <si>
    <t>27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</si>
  <si>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</si>
  <si>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>16</t>
  </si>
  <si>
    <t xml:space="preserve"> Производство резиновых и пластмассовых изделий</t>
  </si>
  <si>
    <t>22</t>
  </si>
  <si>
    <t>Производство бумаги и бумажных изделий</t>
  </si>
  <si>
    <t>17</t>
  </si>
  <si>
    <t>Деятельность полиграфическая и копирование носителей информации</t>
  </si>
  <si>
    <t>18</t>
  </si>
  <si>
    <t>разница</t>
  </si>
  <si>
    <t>Деятельность сухопутного и трубопроводного транспорта</t>
  </si>
  <si>
    <t>49</t>
  </si>
  <si>
    <t>Складское хозяйство и вспомогательная транспортная деятельность</t>
  </si>
  <si>
    <t>52</t>
  </si>
  <si>
    <t>Деятельность воздушного и космического транспорта</t>
  </si>
  <si>
    <t>51</t>
  </si>
  <si>
    <t>Деятельность почтовой связи и курьерская деятельность</t>
  </si>
  <si>
    <t>53</t>
  </si>
  <si>
    <t>Деятельность водного транспорта</t>
  </si>
  <si>
    <t>50</t>
  </si>
  <si>
    <t>factoriescap_s</t>
  </si>
  <si>
    <t>Затраты организации на внедрение и использование цифровых технологий, всего</t>
  </si>
  <si>
    <t>Добыча нефти и природного газа</t>
  </si>
  <si>
    <t>06</t>
  </si>
  <si>
    <t>Затраты на "сквозные" цифровые технологии</t>
  </si>
  <si>
    <t>Затраты на обучение сотрудников, связанное с внедрением и использованием цифровых технологий</t>
  </si>
  <si>
    <t xml:space="preserve">Доли сквозных техн. и обучения персонала получены от ITcosts_s </t>
  </si>
  <si>
    <t>Добыча угля</t>
  </si>
  <si>
    <t>05</t>
  </si>
  <si>
    <t>Добыча металлических руд</t>
  </si>
  <si>
    <t>07</t>
  </si>
  <si>
    <t>Предоставление услуг в области добычи полезных ископаемых</t>
  </si>
  <si>
    <t>09</t>
  </si>
  <si>
    <t>Медиана</t>
  </si>
  <si>
    <t>Добыча прочих полезных ископаемых</t>
  </si>
  <si>
    <t>08</t>
  </si>
  <si>
    <t>Верхний</t>
  </si>
  <si>
    <t>Нижний</t>
  </si>
  <si>
    <t>Торговля оптовая,  кроме оптовой торговли автотранспортными средствами и мотоциклами</t>
  </si>
  <si>
    <t>46</t>
  </si>
  <si>
    <t>Торговля розничная, кроме торговли автотранспортными средствами и мотоциклами</t>
  </si>
  <si>
    <t>47</t>
  </si>
  <si>
    <t>Торговля оптовая и розничная автотранспортными средствами и мотоциклами и их ремонт</t>
  </si>
  <si>
    <t>45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</si>
  <si>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</si>
  <si>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</t>
  </si>
  <si>
    <t>Научные исследования и разработки</t>
  </si>
  <si>
    <t>72</t>
  </si>
  <si>
    <t>Деятельность рекламная и исследование конъюнктуры рынка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</si>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</sst>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4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A59" sqref="A59"/>
    </sheetView>
  </sheetViews>
  <sheetFormatPr defaultRowHeight="15" x14ac:dyDescent="0.25"/>
  <cols>
    <col min="1" max="1" width="107.42578125" customWidth="1"/>
    <col min="2" max="2" width="8.7109375" customWidth="1"/>
    <col min="4" max="4" width="13.28515625" customWidth="1"/>
    <col min="5" max="5" width="14.85546875" customWidth="1"/>
    <col min="6" max="6" width="14.28515625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20</v>
      </c>
      <c r="B2" s="2" t="s">
        <v>21</v>
      </c>
      <c r="C2" s="2">
        <v>2021</v>
      </c>
      <c r="D2" s="3">
        <v>2688475.9724428668</v>
      </c>
      <c r="E2" s="3">
        <v>22918.622383440001</v>
      </c>
      <c r="F2" s="4">
        <v>1.411209606183382E-2</v>
      </c>
      <c r="G2" s="4">
        <v>6.7540592802753808E-4</v>
      </c>
    </row>
    <row r="3" spans="1:7" x14ac:dyDescent="0.25">
      <c r="A3" s="2" t="s">
        <v>22</v>
      </c>
      <c r="B3" s="2" t="s">
        <v>23</v>
      </c>
      <c r="C3" s="2">
        <v>2022</v>
      </c>
      <c r="D3" s="3">
        <v>2237559.59010129</v>
      </c>
      <c r="E3" s="3">
        <v>28962.7912646</v>
      </c>
      <c r="F3" s="4">
        <v>0.18094518011478611</v>
      </c>
      <c r="G3" s="4">
        <v>2.339677504868966E-4</v>
      </c>
    </row>
    <row r="4" spans="1:7" x14ac:dyDescent="0.25">
      <c r="A4" s="2" t="s">
        <v>20</v>
      </c>
      <c r="B4" s="2" t="s">
        <v>21</v>
      </c>
      <c r="C4" s="2">
        <v>2022</v>
      </c>
      <c r="D4" s="3">
        <v>2199098.9702055152</v>
      </c>
      <c r="E4" s="3">
        <v>27186.587841839999</v>
      </c>
      <c r="F4" s="4">
        <v>1.428164445640567E-2</v>
      </c>
      <c r="G4" s="4">
        <v>1.063284111568874E-3</v>
      </c>
    </row>
    <row r="5" spans="1:7" x14ac:dyDescent="0.25">
      <c r="A5" s="2" t="s">
        <v>22</v>
      </c>
      <c r="B5" s="2" t="s">
        <v>23</v>
      </c>
      <c r="C5" s="2">
        <v>2021</v>
      </c>
      <c r="D5" s="3">
        <v>2136662.9096641121</v>
      </c>
      <c r="E5" s="3">
        <v>34419.6404244</v>
      </c>
      <c r="F5" s="4">
        <v>1.2450489874850871E-3</v>
      </c>
      <c r="G5" s="4">
        <v>2.6914455891389468E-4</v>
      </c>
    </row>
    <row r="6" spans="1:7" x14ac:dyDescent="0.25">
      <c r="A6" s="2" t="s">
        <v>20</v>
      </c>
      <c r="B6" s="2" t="s">
        <v>21</v>
      </c>
      <c r="C6" s="2">
        <v>2023</v>
      </c>
      <c r="D6" s="3">
        <v>2110825.0242093089</v>
      </c>
      <c r="E6" s="3">
        <v>36820.330575920001</v>
      </c>
      <c r="F6" s="4">
        <v>1.1388913987487259E-2</v>
      </c>
      <c r="G6" s="4">
        <v>1.346627653376551E-3</v>
      </c>
    </row>
    <row r="7" spans="1:7" x14ac:dyDescent="0.25">
      <c r="A7" s="2" t="s">
        <v>20</v>
      </c>
      <c r="B7" s="2" t="s">
        <v>21</v>
      </c>
      <c r="C7" s="2">
        <v>2024</v>
      </c>
      <c r="D7" s="3">
        <v>2060147.693651289</v>
      </c>
      <c r="E7" s="3">
        <v>24111.565200000001</v>
      </c>
      <c r="F7" s="4">
        <v>1.6816288641435851E-2</v>
      </c>
      <c r="G7" s="4">
        <v>4.7603910840263489E-4</v>
      </c>
    </row>
    <row r="8" spans="1:7" x14ac:dyDescent="0.25">
      <c r="A8" s="2" t="s">
        <v>22</v>
      </c>
      <c r="B8" s="2" t="s">
        <v>23</v>
      </c>
      <c r="C8" s="2">
        <v>2023</v>
      </c>
      <c r="D8" s="3">
        <v>1963532.5336935241</v>
      </c>
      <c r="E8" s="3">
        <v>38266.632667600003</v>
      </c>
      <c r="F8" s="4">
        <v>0.1254843771395045</v>
      </c>
      <c r="G8" s="4">
        <v>3.2594779133939081E-4</v>
      </c>
    </row>
    <row r="9" spans="1:7" x14ac:dyDescent="0.25">
      <c r="A9" s="2" t="s">
        <v>24</v>
      </c>
      <c r="B9" s="2" t="s">
        <v>25</v>
      </c>
      <c r="C9" s="2">
        <v>2022</v>
      </c>
      <c r="D9" s="3">
        <v>1501058.080583167</v>
      </c>
      <c r="E9" s="3">
        <v>10016.90090194</v>
      </c>
      <c r="F9" s="4">
        <v>4.8543989239808157E-3</v>
      </c>
      <c r="G9" s="4">
        <v>2.722411311338672E-3</v>
      </c>
    </row>
    <row r="10" spans="1:7" x14ac:dyDescent="0.25">
      <c r="A10" s="2" t="s">
        <v>22</v>
      </c>
      <c r="B10" s="2" t="s">
        <v>23</v>
      </c>
      <c r="C10" s="2">
        <v>2024</v>
      </c>
      <c r="D10" s="3">
        <v>1438073.2884498299</v>
      </c>
      <c r="E10" s="3">
        <v>33002.728752000003</v>
      </c>
      <c r="F10" s="4">
        <v>1.2530342781881009E-2</v>
      </c>
      <c r="G10" s="4">
        <v>4.7058508757579111E-4</v>
      </c>
    </row>
    <row r="11" spans="1:7" x14ac:dyDescent="0.25">
      <c r="A11" s="2" t="s">
        <v>24</v>
      </c>
      <c r="B11" s="2" t="s">
        <v>25</v>
      </c>
      <c r="C11" s="2">
        <v>2021</v>
      </c>
      <c r="D11" s="3">
        <v>1291276.529800517</v>
      </c>
      <c r="E11" s="3">
        <v>12420.628572240001</v>
      </c>
      <c r="F11" s="4">
        <v>9.5505969516812179E-3</v>
      </c>
      <c r="G11" s="4">
        <v>7.1947529628030547E-3</v>
      </c>
    </row>
    <row r="12" spans="1:7" x14ac:dyDescent="0.25">
      <c r="A12" s="2" t="s">
        <v>24</v>
      </c>
      <c r="B12" s="2" t="s">
        <v>25</v>
      </c>
      <c r="C12" s="2">
        <v>2024</v>
      </c>
      <c r="D12" s="3">
        <v>1235191.2922385989</v>
      </c>
      <c r="E12" s="3">
        <v>17766.839759999999</v>
      </c>
      <c r="F12" s="4">
        <v>9.3958949512133153E-4</v>
      </c>
      <c r="G12" s="4">
        <v>8.8262764857625984E-4</v>
      </c>
    </row>
    <row r="13" spans="1:7" x14ac:dyDescent="0.25">
      <c r="A13" s="2" t="s">
        <v>24</v>
      </c>
      <c r="B13" s="2" t="s">
        <v>25</v>
      </c>
      <c r="C13" s="2">
        <v>2023</v>
      </c>
      <c r="D13" s="3">
        <v>1202957.7138338401</v>
      </c>
      <c r="E13" s="3">
        <v>13409.25543712</v>
      </c>
      <c r="F13" s="4">
        <v>1.2431315547808089E-3</v>
      </c>
      <c r="G13" s="4">
        <v>1.4794270549193711E-3</v>
      </c>
    </row>
    <row r="14" spans="1:7" x14ac:dyDescent="0.25">
      <c r="A14" s="2" t="s">
        <v>26</v>
      </c>
      <c r="B14" s="2" t="s">
        <v>27</v>
      </c>
      <c r="C14" s="2">
        <v>2024</v>
      </c>
      <c r="D14" s="3">
        <v>1079590.799601601</v>
      </c>
      <c r="E14" s="3">
        <v>29824.255583999999</v>
      </c>
      <c r="F14" s="4">
        <v>1.7700063980245699E-2</v>
      </c>
      <c r="G14" s="4">
        <v>1.8406361575525849E-2</v>
      </c>
    </row>
    <row r="15" spans="1:7" x14ac:dyDescent="0.25">
      <c r="A15" s="2" t="s">
        <v>26</v>
      </c>
      <c r="B15" s="2" t="s">
        <v>27</v>
      </c>
      <c r="C15" s="2">
        <v>2023</v>
      </c>
      <c r="D15" s="3">
        <v>917032.53729645221</v>
      </c>
      <c r="E15" s="3">
        <v>21948.7441788</v>
      </c>
      <c r="F15" s="4">
        <v>5.1385668600091312E-2</v>
      </c>
      <c r="G15" s="4">
        <v>1.045825844659099E-3</v>
      </c>
    </row>
    <row r="16" spans="1:7" x14ac:dyDescent="0.25">
      <c r="A16" s="2" t="s">
        <v>26</v>
      </c>
      <c r="B16" s="2" t="s">
        <v>27</v>
      </c>
      <c r="C16" s="2">
        <v>2022</v>
      </c>
      <c r="D16" s="3">
        <v>802566.08061441511</v>
      </c>
      <c r="E16" s="3">
        <v>12046.641059559999</v>
      </c>
      <c r="F16" s="4">
        <v>1.264319260007594E-2</v>
      </c>
      <c r="G16" s="4">
        <v>9.2646432850616075E-4</v>
      </c>
    </row>
    <row r="17" spans="1:7" x14ac:dyDescent="0.25">
      <c r="A17" s="2" t="s">
        <v>26</v>
      </c>
      <c r="B17" s="2" t="s">
        <v>27</v>
      </c>
      <c r="C17" s="2">
        <v>2021</v>
      </c>
      <c r="D17" s="3">
        <v>774599.50938466226</v>
      </c>
      <c r="E17" s="3">
        <v>31768.917493320001</v>
      </c>
      <c r="F17" s="4">
        <v>4.5024994770462897E-3</v>
      </c>
      <c r="G17" s="4">
        <v>6.1504127372638605E-4</v>
      </c>
    </row>
    <row r="18" spans="1:7" x14ac:dyDescent="0.25">
      <c r="A18" s="2" t="s">
        <v>28</v>
      </c>
      <c r="B18" s="2" t="s">
        <v>29</v>
      </c>
      <c r="C18" s="2">
        <v>2024</v>
      </c>
      <c r="D18" s="3">
        <v>702640.28510284843</v>
      </c>
      <c r="E18" s="3">
        <v>24692.815392</v>
      </c>
      <c r="F18" s="4">
        <v>1.2473785395074479E-2</v>
      </c>
      <c r="G18" s="4">
        <v>1.210844187888221E-3</v>
      </c>
    </row>
    <row r="19" spans="1:7" x14ac:dyDescent="0.25">
      <c r="A19" s="2" t="s">
        <v>28</v>
      </c>
      <c r="B19" s="2" t="s">
        <v>29</v>
      </c>
      <c r="C19" s="2">
        <v>2023</v>
      </c>
      <c r="D19" s="3">
        <v>648523.59030139784</v>
      </c>
      <c r="E19" s="3">
        <v>20365.73930736</v>
      </c>
      <c r="F19" s="4">
        <v>2.3285205202868371E-2</v>
      </c>
      <c r="G19" s="4">
        <v>1.5783067550306741E-3</v>
      </c>
    </row>
    <row r="20" spans="1:7" x14ac:dyDescent="0.25">
      <c r="A20" s="2" t="s">
        <v>30</v>
      </c>
      <c r="B20" s="2" t="s">
        <v>31</v>
      </c>
      <c r="C20" s="2">
        <v>2024</v>
      </c>
      <c r="D20" s="3">
        <v>624490.81179662514</v>
      </c>
      <c r="E20" s="3">
        <v>23490.718752000001</v>
      </c>
      <c r="F20" s="4">
        <v>1.927088927244758E-3</v>
      </c>
      <c r="G20" s="4">
        <v>1.8760825696850091E-3</v>
      </c>
    </row>
    <row r="21" spans="1:7" x14ac:dyDescent="0.25">
      <c r="A21" s="2" t="s">
        <v>32</v>
      </c>
      <c r="B21" s="2" t="s">
        <v>33</v>
      </c>
      <c r="C21" s="2">
        <v>2024</v>
      </c>
      <c r="D21" s="3">
        <v>615324.90182869229</v>
      </c>
      <c r="E21" s="3">
        <v>12188.037840000001</v>
      </c>
      <c r="F21" s="4">
        <v>3.5563801629943082E-3</v>
      </c>
      <c r="G21" s="4">
        <v>2.3262126662383252E-3</v>
      </c>
    </row>
    <row r="22" spans="1:7" x14ac:dyDescent="0.25">
      <c r="A22" s="2" t="s">
        <v>30</v>
      </c>
      <c r="B22" s="2" t="s">
        <v>31</v>
      </c>
      <c r="C22" s="2">
        <v>2023</v>
      </c>
      <c r="D22" s="3">
        <v>615005.46689121344</v>
      </c>
      <c r="E22" s="3">
        <v>18304.5266156</v>
      </c>
      <c r="F22" s="4">
        <v>2.0544865338363899E-3</v>
      </c>
      <c r="G22" s="4">
        <v>2.397692315221963E-3</v>
      </c>
    </row>
    <row r="23" spans="1:7" x14ac:dyDescent="0.25">
      <c r="A23" s="2" t="s">
        <v>34</v>
      </c>
      <c r="B23" s="2" t="s">
        <v>35</v>
      </c>
      <c r="C23" s="2">
        <v>2024</v>
      </c>
      <c r="D23" s="3">
        <v>589836.07301855378</v>
      </c>
      <c r="E23" s="3">
        <v>3459.2387039999999</v>
      </c>
      <c r="F23" s="4">
        <v>2.6129124854981389E-3</v>
      </c>
      <c r="G23" s="4">
        <v>2.2962786554205951E-3</v>
      </c>
    </row>
    <row r="24" spans="1:7" x14ac:dyDescent="0.25">
      <c r="A24" s="2" t="s">
        <v>34</v>
      </c>
      <c r="B24" s="2" t="s">
        <v>35</v>
      </c>
      <c r="C24" s="2">
        <v>2022</v>
      </c>
      <c r="D24" s="3">
        <v>585427.26654459862</v>
      </c>
      <c r="E24" s="3">
        <v>4854.6591208600003</v>
      </c>
      <c r="F24" s="4">
        <v>3.7612999688359748E-4</v>
      </c>
      <c r="G24" s="4">
        <v>2.0756040556386131E-3</v>
      </c>
    </row>
    <row r="25" spans="1:7" x14ac:dyDescent="0.25">
      <c r="A25" s="2" t="s">
        <v>34</v>
      </c>
      <c r="B25" s="2" t="s">
        <v>35</v>
      </c>
      <c r="C25" s="2">
        <v>2023</v>
      </c>
      <c r="D25" s="3">
        <v>575669.32501484314</v>
      </c>
      <c r="E25" s="3">
        <v>4774.9529707199999</v>
      </c>
      <c r="F25" s="4">
        <v>2.8738600116371028E-4</v>
      </c>
      <c r="G25" s="4">
        <v>1.316480132589062E-3</v>
      </c>
    </row>
    <row r="26" spans="1:7" x14ac:dyDescent="0.25">
      <c r="A26" s="2" t="s">
        <v>30</v>
      </c>
      <c r="B26" s="2" t="s">
        <v>31</v>
      </c>
      <c r="C26" s="2">
        <v>2021</v>
      </c>
      <c r="D26" s="3">
        <v>557880.96074185451</v>
      </c>
      <c r="E26" s="3">
        <v>17673.58753398</v>
      </c>
      <c r="F26" s="4">
        <v>1.2639185721094849E-3</v>
      </c>
      <c r="G26" s="4">
        <v>7.224852054202324E-4</v>
      </c>
    </row>
    <row r="27" spans="1:7" x14ac:dyDescent="0.25">
      <c r="A27" s="2" t="s">
        <v>34</v>
      </c>
      <c r="B27" s="2" t="s">
        <v>35</v>
      </c>
      <c r="C27" s="2">
        <v>2021</v>
      </c>
      <c r="D27" s="3">
        <v>532258.74860418728</v>
      </c>
      <c r="E27" s="3">
        <v>5998.8555937799993</v>
      </c>
      <c r="F27" s="4">
        <v>3.3561812091085249E-3</v>
      </c>
      <c r="G27" s="4">
        <v>1.7434020366891251E-3</v>
      </c>
    </row>
    <row r="28" spans="1:7" x14ac:dyDescent="0.25">
      <c r="A28" s="2" t="s">
        <v>30</v>
      </c>
      <c r="B28" s="2" t="s">
        <v>31</v>
      </c>
      <c r="C28" s="2">
        <v>2022</v>
      </c>
      <c r="D28" s="3">
        <v>528936.59684355662</v>
      </c>
      <c r="E28" s="3">
        <v>14840.029964359999</v>
      </c>
      <c r="F28" s="4">
        <v>3.348617336982791E-3</v>
      </c>
      <c r="G28" s="4">
        <v>9.7700369843055682E-4</v>
      </c>
    </row>
    <row r="29" spans="1:7" x14ac:dyDescent="0.25">
      <c r="A29" s="2" t="s">
        <v>28</v>
      </c>
      <c r="B29" s="2" t="s">
        <v>29</v>
      </c>
      <c r="C29" s="2">
        <v>2022</v>
      </c>
      <c r="D29" s="3">
        <v>525586.90611574077</v>
      </c>
      <c r="E29" s="3">
        <v>57596.7124071</v>
      </c>
      <c r="F29" s="4">
        <v>6.9328647193893768E-4</v>
      </c>
      <c r="G29" s="4">
        <v>1.2640594598421069E-2</v>
      </c>
    </row>
    <row r="30" spans="1:7" x14ac:dyDescent="0.25">
      <c r="A30" s="2" t="s">
        <v>36</v>
      </c>
      <c r="B30" s="2" t="s">
        <v>37</v>
      </c>
      <c r="C30" s="2">
        <v>2021</v>
      </c>
      <c r="D30" s="3">
        <v>496312.33844584553</v>
      </c>
      <c r="E30" s="3">
        <v>6058.6276942799996</v>
      </c>
      <c r="F30" s="4">
        <v>1.149126975828702E-3</v>
      </c>
      <c r="G30" s="4">
        <v>4.3326889923906344E-3</v>
      </c>
    </row>
    <row r="31" spans="1:7" x14ac:dyDescent="0.25">
      <c r="A31" s="2" t="s">
        <v>28</v>
      </c>
      <c r="B31" s="2" t="s">
        <v>29</v>
      </c>
      <c r="C31" s="2">
        <v>2021</v>
      </c>
      <c r="D31" s="3">
        <v>489831.22166003252</v>
      </c>
      <c r="E31" s="3">
        <v>28233.8392518</v>
      </c>
      <c r="F31" s="4">
        <v>1.7629362658082969E-3</v>
      </c>
      <c r="G31" s="4">
        <v>1.091290811894655E-3</v>
      </c>
    </row>
    <row r="32" spans="1:7" x14ac:dyDescent="0.25">
      <c r="A32" s="8" t="s">
        <v>36</v>
      </c>
      <c r="B32" s="8" t="s">
        <v>37</v>
      </c>
      <c r="C32" s="8">
        <v>2023</v>
      </c>
      <c r="D32" s="3">
        <v>481190.63450056087</v>
      </c>
      <c r="E32" s="3">
        <v>5659.2905294400007</v>
      </c>
      <c r="F32" s="4">
        <v>2.7642536319032169E-4</v>
      </c>
      <c r="G32" s="4">
        <v>2.609783923120391E-3</v>
      </c>
    </row>
    <row r="33" spans="1:7" x14ac:dyDescent="0.25">
      <c r="A33" s="2" t="s">
        <v>38</v>
      </c>
      <c r="B33" s="2" t="s">
        <v>39</v>
      </c>
      <c r="C33" s="2">
        <v>2021</v>
      </c>
      <c r="D33" s="3">
        <v>480752.63075950177</v>
      </c>
      <c r="E33" s="3">
        <v>13713.99982974</v>
      </c>
      <c r="F33" s="4">
        <v>1.8909555433829729E-4</v>
      </c>
      <c r="G33" s="4">
        <v>1.421912259449817E-2</v>
      </c>
    </row>
    <row r="34" spans="1:7" x14ac:dyDescent="0.25">
      <c r="A34" s="2" t="s">
        <v>36</v>
      </c>
      <c r="B34" s="2" t="s">
        <v>37</v>
      </c>
      <c r="C34" s="2">
        <v>2022</v>
      </c>
      <c r="D34" s="3">
        <v>463554.2380744408</v>
      </c>
      <c r="E34" s="3">
        <v>6405.1162323599992</v>
      </c>
      <c r="F34" s="4">
        <v>1.36542870460566E-3</v>
      </c>
      <c r="G34" s="4">
        <v>1.06191448730258E-3</v>
      </c>
    </row>
    <row r="35" spans="1:7" x14ac:dyDescent="0.25">
      <c r="A35" s="2" t="s">
        <v>32</v>
      </c>
      <c r="B35" s="2" t="s">
        <v>33</v>
      </c>
      <c r="C35" s="2">
        <v>2023</v>
      </c>
      <c r="D35" s="3">
        <v>463470.71898289572</v>
      </c>
      <c r="E35" s="3">
        <v>9380.3853557600014</v>
      </c>
      <c r="F35" s="4">
        <v>2.4821681068467739E-3</v>
      </c>
      <c r="G35" s="4">
        <v>1.7821392198706289E-3</v>
      </c>
    </row>
    <row r="36" spans="1:7" x14ac:dyDescent="0.25">
      <c r="A36" s="2" t="s">
        <v>36</v>
      </c>
      <c r="B36" s="2" t="s">
        <v>37</v>
      </c>
      <c r="C36" s="2">
        <v>2024</v>
      </c>
      <c r="D36" s="3">
        <v>463215.01884109463</v>
      </c>
      <c r="E36" s="3">
        <v>6600.4823040000001</v>
      </c>
      <c r="F36" s="4">
        <v>1.0184783005820781E-3</v>
      </c>
      <c r="G36" s="4">
        <v>1.1952508372333631E-3</v>
      </c>
    </row>
    <row r="37" spans="1:7" x14ac:dyDescent="0.25">
      <c r="A37" s="2" t="s">
        <v>32</v>
      </c>
      <c r="B37" s="2" t="s">
        <v>33</v>
      </c>
      <c r="C37" s="2">
        <v>2022</v>
      </c>
      <c r="D37" s="3">
        <v>441905.15975913568</v>
      </c>
      <c r="E37" s="3">
        <v>8680.9984719799995</v>
      </c>
      <c r="F37" s="4">
        <v>5.3628300774693723E-2</v>
      </c>
      <c r="G37" s="4">
        <v>1.9809359137092151E-3</v>
      </c>
    </row>
    <row r="38" spans="1:7" x14ac:dyDescent="0.25">
      <c r="A38" s="2" t="s">
        <v>38</v>
      </c>
      <c r="B38" s="2" t="s">
        <v>39</v>
      </c>
      <c r="C38" s="2">
        <v>2024</v>
      </c>
      <c r="D38" s="3">
        <v>430680.74778667098</v>
      </c>
      <c r="E38" s="3">
        <v>9650.7308639999992</v>
      </c>
      <c r="F38" s="4">
        <v>3.2382873836611008E-4</v>
      </c>
      <c r="G38" s="4">
        <v>1.307147425181787E-3</v>
      </c>
    </row>
    <row r="39" spans="1:7" x14ac:dyDescent="0.25">
      <c r="A39" s="2" t="s">
        <v>32</v>
      </c>
      <c r="B39" s="2" t="s">
        <v>33</v>
      </c>
      <c r="C39" s="2">
        <v>2021</v>
      </c>
      <c r="D39" s="3">
        <v>396416.47748978873</v>
      </c>
      <c r="E39" s="3">
        <v>10615.43888874</v>
      </c>
      <c r="F39" s="4">
        <v>5.7122249315871114E-3</v>
      </c>
      <c r="G39" s="4">
        <v>1.223257961926933E-3</v>
      </c>
    </row>
    <row r="40" spans="1:7" x14ac:dyDescent="0.25">
      <c r="A40" s="2" t="s">
        <v>40</v>
      </c>
      <c r="B40" s="2" t="s">
        <v>41</v>
      </c>
      <c r="C40" s="2">
        <v>2021</v>
      </c>
      <c r="D40" s="3">
        <v>391236.03926557873</v>
      </c>
      <c r="E40" s="3">
        <v>9174.7777388399991</v>
      </c>
      <c r="F40" s="4">
        <v>7.2720955318134649E-3</v>
      </c>
      <c r="G40" s="4">
        <v>4.0538663342816288E-4</v>
      </c>
    </row>
    <row r="41" spans="1:7" x14ac:dyDescent="0.25">
      <c r="A41" s="2" t="s">
        <v>38</v>
      </c>
      <c r="B41" s="2" t="s">
        <v>39</v>
      </c>
      <c r="C41" s="2">
        <v>2023</v>
      </c>
      <c r="D41" s="3">
        <v>344818.33344279532</v>
      </c>
      <c r="E41" s="3">
        <v>7766.5175531200011</v>
      </c>
      <c r="F41" s="4">
        <v>5.6879237956854514E-4</v>
      </c>
      <c r="G41" s="4">
        <v>9.2862762115340628E-4</v>
      </c>
    </row>
    <row r="42" spans="1:7" x14ac:dyDescent="0.25">
      <c r="A42" s="2" t="s">
        <v>42</v>
      </c>
      <c r="B42" s="2" t="s">
        <v>43</v>
      </c>
      <c r="C42" s="2">
        <v>2024</v>
      </c>
      <c r="D42" s="3">
        <v>333902.21266145178</v>
      </c>
      <c r="E42" s="3">
        <v>6590.0541599999997</v>
      </c>
      <c r="F42" s="4">
        <v>3.968817154607421E-3</v>
      </c>
      <c r="G42" s="4">
        <v>1.4273582237145071E-3</v>
      </c>
    </row>
    <row r="43" spans="1:7" x14ac:dyDescent="0.25">
      <c r="A43" s="2" t="s">
        <v>44</v>
      </c>
      <c r="B43" s="2" t="s">
        <v>45</v>
      </c>
      <c r="C43" s="2">
        <v>2021</v>
      </c>
      <c r="D43" s="3">
        <v>332033.64455055603</v>
      </c>
      <c r="E43" s="3">
        <v>1720.9347523199999</v>
      </c>
      <c r="F43" s="4">
        <v>5.4438237053266124E-4</v>
      </c>
      <c r="G43" s="4">
        <v>1.095196036606934E-3</v>
      </c>
    </row>
    <row r="44" spans="1:7" x14ac:dyDescent="0.25">
      <c r="A44" s="2" t="s">
        <v>40</v>
      </c>
      <c r="B44" s="2" t="s">
        <v>41</v>
      </c>
      <c r="C44" s="2">
        <v>2022</v>
      </c>
      <c r="D44" s="3">
        <v>331000.25434189721</v>
      </c>
      <c r="E44" s="3">
        <v>7502.6813292799998</v>
      </c>
      <c r="F44" s="4">
        <v>1.753601618218082E-3</v>
      </c>
      <c r="G44" s="4">
        <v>3.3407912051630981E-4</v>
      </c>
    </row>
    <row r="45" spans="1:7" x14ac:dyDescent="0.25">
      <c r="A45" s="2" t="s">
        <v>46</v>
      </c>
      <c r="B45" s="2" t="s">
        <v>47</v>
      </c>
      <c r="C45" s="2">
        <v>2022</v>
      </c>
      <c r="D45" s="3">
        <v>327266.01547195681</v>
      </c>
      <c r="E45" s="3">
        <v>2736.7203125999999</v>
      </c>
      <c r="F45" s="4">
        <v>6.5575458761258591E-4</v>
      </c>
      <c r="G45" s="4">
        <v>9.6186040198574876E-4</v>
      </c>
    </row>
    <row r="46" spans="1:7" x14ac:dyDescent="0.25">
      <c r="A46" s="2" t="s">
        <v>46</v>
      </c>
      <c r="B46" s="2" t="s">
        <v>47</v>
      </c>
      <c r="C46" s="2">
        <v>2023</v>
      </c>
      <c r="D46" s="3">
        <v>323997.44760210218</v>
      </c>
      <c r="E46" s="3">
        <v>2594.2840083999999</v>
      </c>
      <c r="F46" s="4">
        <v>4.4144095106468531E-4</v>
      </c>
      <c r="G46" s="4">
        <v>4.2813564143465432E-3</v>
      </c>
    </row>
    <row r="47" spans="1:7" x14ac:dyDescent="0.25">
      <c r="A47" s="2" t="s">
        <v>46</v>
      </c>
      <c r="B47" s="2" t="s">
        <v>47</v>
      </c>
      <c r="C47" s="2">
        <v>2024</v>
      </c>
      <c r="D47" s="3">
        <v>321762.90970591619</v>
      </c>
      <c r="E47" s="3">
        <v>2793.945984</v>
      </c>
      <c r="F47" s="4">
        <v>3.0877619142976242E-4</v>
      </c>
      <c r="G47" s="4">
        <v>1.0062327675981299E-3</v>
      </c>
    </row>
    <row r="48" spans="1:7" x14ac:dyDescent="0.25">
      <c r="A48" s="2" t="s">
        <v>48</v>
      </c>
      <c r="B48" s="2" t="s">
        <v>49</v>
      </c>
      <c r="C48" s="2">
        <v>2021</v>
      </c>
      <c r="D48" s="3">
        <v>320449.11322310509</v>
      </c>
      <c r="E48" s="3">
        <v>3164.1185242800002</v>
      </c>
      <c r="F48" s="4">
        <v>6.7699852441129374E-3</v>
      </c>
      <c r="G48" s="4">
        <v>2.6803313639870169E-3</v>
      </c>
    </row>
    <row r="49" spans="1:7" x14ac:dyDescent="0.25">
      <c r="A49" s="2" t="s">
        <v>40</v>
      </c>
      <c r="B49" s="2" t="s">
        <v>41</v>
      </c>
      <c r="C49" s="2">
        <v>2024</v>
      </c>
      <c r="D49" s="3">
        <v>315114.80271184049</v>
      </c>
      <c r="E49" s="3">
        <v>3780.5631839999992</v>
      </c>
      <c r="F49" s="4">
        <v>1.04121883656369E-2</v>
      </c>
      <c r="G49" s="4">
        <v>1.4970467955548929E-3</v>
      </c>
    </row>
    <row r="50" spans="1:7" x14ac:dyDescent="0.25">
      <c r="A50" s="2" t="s">
        <v>40</v>
      </c>
      <c r="B50" s="2" t="s">
        <v>41</v>
      </c>
      <c r="C50" s="2">
        <v>2023</v>
      </c>
      <c r="D50" s="3">
        <v>311812.99097068148</v>
      </c>
      <c r="E50" s="3">
        <v>3403.6800820799999</v>
      </c>
      <c r="F50" s="4">
        <v>7.8396110552474759E-4</v>
      </c>
      <c r="G50" s="4">
        <v>1.35821810761219E-3</v>
      </c>
    </row>
    <row r="51" spans="1:7" x14ac:dyDescent="0.25">
      <c r="A51" s="2" t="s">
        <v>38</v>
      </c>
      <c r="B51" s="2" t="s">
        <v>39</v>
      </c>
      <c r="C51" s="2">
        <v>2022</v>
      </c>
      <c r="D51" s="3">
        <v>310794.74797233898</v>
      </c>
      <c r="E51" s="3">
        <v>8210.8821614400003</v>
      </c>
      <c r="F51" s="4">
        <v>1.515288413031857E-4</v>
      </c>
      <c r="G51" s="4">
        <v>1.134724744407487E-2</v>
      </c>
    </row>
    <row r="52" spans="1:7" x14ac:dyDescent="0.25">
      <c r="A52" s="2" t="s">
        <v>46</v>
      </c>
      <c r="B52" s="2" t="s">
        <v>47</v>
      </c>
      <c r="C52" s="2">
        <v>2021</v>
      </c>
      <c r="D52" s="3">
        <v>297602.00445720641</v>
      </c>
      <c r="E52" s="3">
        <v>3256.4356082999998</v>
      </c>
      <c r="F52" s="4">
        <v>3.8592436982227681E-4</v>
      </c>
      <c r="G52" s="4">
        <v>2.369477916386043E-3</v>
      </c>
    </row>
    <row r="53" spans="1:7" x14ac:dyDescent="0.25">
      <c r="A53" s="2" t="s">
        <v>42</v>
      </c>
      <c r="B53" s="2" t="s">
        <v>43</v>
      </c>
      <c r="C53" s="2">
        <v>2023</v>
      </c>
      <c r="D53" s="3">
        <v>289865.32010952412</v>
      </c>
      <c r="E53" s="3">
        <v>5130.8202951200001</v>
      </c>
      <c r="F53" s="4">
        <v>7.1409024001186736E-3</v>
      </c>
      <c r="G53" s="4">
        <v>1.6292149323472839E-3</v>
      </c>
    </row>
    <row r="54" spans="1:7" x14ac:dyDescent="0.25">
      <c r="A54" s="2" t="s">
        <v>48</v>
      </c>
      <c r="B54" s="2" t="s">
        <v>49</v>
      </c>
      <c r="C54" s="2">
        <v>2024</v>
      </c>
      <c r="D54" s="3">
        <v>269939.47590449912</v>
      </c>
      <c r="E54" s="3">
        <v>2592.956784</v>
      </c>
      <c r="F54" s="4">
        <v>1.8052595511364291E-3</v>
      </c>
      <c r="G54" s="4">
        <v>8.4950123873718997E-4</v>
      </c>
    </row>
    <row r="55" spans="1:7" x14ac:dyDescent="0.25">
      <c r="A55" s="2" t="s">
        <v>44</v>
      </c>
      <c r="B55" s="2" t="s">
        <v>45</v>
      </c>
      <c r="C55" s="2">
        <v>2022</v>
      </c>
      <c r="D55" s="3">
        <v>262055.5197426404</v>
      </c>
      <c r="E55" s="3">
        <v>1735.1564722600001</v>
      </c>
      <c r="F55" s="4">
        <v>3.0591654094954831E-3</v>
      </c>
      <c r="G55" s="4">
        <v>7.4264450532327117E-4</v>
      </c>
    </row>
    <row r="56" spans="1:7" x14ac:dyDescent="0.25">
      <c r="A56" s="2" t="s">
        <v>42</v>
      </c>
      <c r="B56" s="2" t="s">
        <v>43</v>
      </c>
      <c r="C56" s="2">
        <v>2022</v>
      </c>
      <c r="D56" s="3">
        <v>259818.50988372459</v>
      </c>
      <c r="E56" s="3">
        <v>45922.658233419999</v>
      </c>
      <c r="F56" s="4">
        <v>4.0433840100499702E-5</v>
      </c>
      <c r="G56" s="4">
        <v>1.5232724169502069E-4</v>
      </c>
    </row>
    <row r="57" spans="1:7" x14ac:dyDescent="0.25">
      <c r="A57" s="2" t="s">
        <v>42</v>
      </c>
      <c r="B57" s="2" t="s">
        <v>43</v>
      </c>
      <c r="C57" s="2">
        <v>2021</v>
      </c>
      <c r="D57" s="3">
        <v>234189.89306239539</v>
      </c>
      <c r="E57" s="3">
        <v>4733.3383234200001</v>
      </c>
      <c r="F57" s="4">
        <v>6.6356632156617178E-4</v>
      </c>
      <c r="G57" s="4">
        <v>3.1476572520248271E-3</v>
      </c>
    </row>
    <row r="58" spans="1:7" x14ac:dyDescent="0.25">
      <c r="A58" s="2" t="s">
        <v>44</v>
      </c>
      <c r="B58" s="2" t="s">
        <v>45</v>
      </c>
      <c r="C58" s="2">
        <v>2024</v>
      </c>
      <c r="D58" s="3">
        <v>208604.95707132079</v>
      </c>
      <c r="E58" s="3">
        <v>1402.2910079999999</v>
      </c>
      <c r="F58" s="4">
        <v>2.940331198358508E-3</v>
      </c>
      <c r="G58" s="4">
        <v>9.1745863922704425E-4</v>
      </c>
    </row>
    <row r="59" spans="1:7" x14ac:dyDescent="0.25">
      <c r="A59" s="2" t="s">
        <v>44</v>
      </c>
      <c r="B59" s="2" t="s">
        <v>45</v>
      </c>
      <c r="C59" s="2">
        <v>2023</v>
      </c>
      <c r="D59" s="3">
        <v>201018.8383422663</v>
      </c>
      <c r="E59" s="3">
        <v>1914.6587492000001</v>
      </c>
      <c r="F59" s="4">
        <v>2.4675821537253392E-3</v>
      </c>
      <c r="G59" s="4">
        <v>4.9806477545852595E-4</v>
      </c>
    </row>
    <row r="60" spans="1:7" x14ac:dyDescent="0.25">
      <c r="A60" s="2" t="s">
        <v>50</v>
      </c>
      <c r="B60" s="2" t="s">
        <v>51</v>
      </c>
      <c r="C60" s="2">
        <v>2022</v>
      </c>
      <c r="D60" s="3">
        <v>97959.145876195587</v>
      </c>
      <c r="E60" s="3">
        <v>683.65838265999992</v>
      </c>
      <c r="F60" s="4">
        <v>5.6993377084615887E-5</v>
      </c>
      <c r="G60" s="4">
        <v>2.003412193486057E-3</v>
      </c>
    </row>
    <row r="61" spans="1:7" x14ac:dyDescent="0.25">
      <c r="A61" s="2" t="s">
        <v>50</v>
      </c>
      <c r="B61" s="2" t="s">
        <v>51</v>
      </c>
      <c r="C61" s="2">
        <v>2023</v>
      </c>
      <c r="D61" s="3">
        <v>95591.120637130909</v>
      </c>
      <c r="E61" s="3">
        <v>1766.41918304</v>
      </c>
      <c r="F61" s="4">
        <v>1.0827214844375309E-3</v>
      </c>
      <c r="G61" s="4">
        <v>1.157616504413661E-3</v>
      </c>
    </row>
    <row r="62" spans="1:7" x14ac:dyDescent="0.25">
      <c r="A62" s="2" t="s">
        <v>50</v>
      </c>
      <c r="B62" s="2" t="s">
        <v>51</v>
      </c>
      <c r="C62" s="2">
        <v>2021</v>
      </c>
      <c r="D62" s="3">
        <v>82867.321381128873</v>
      </c>
      <c r="E62" s="3">
        <v>2276.6300928000001</v>
      </c>
      <c r="F62" s="4">
        <v>2.6907058899788261E-3</v>
      </c>
      <c r="G62" s="4">
        <v>8.8722397476340717E-4</v>
      </c>
    </row>
    <row r="64" spans="1:7" x14ac:dyDescent="0.25">
      <c r="B64" s="6" t="s">
        <v>13</v>
      </c>
      <c r="D64" s="3">
        <f>MEDIAN(D2:D62)</f>
        <v>481190.63450056087</v>
      </c>
    </row>
    <row r="65" spans="2:7" x14ac:dyDescent="0.25">
      <c r="B65" s="7"/>
    </row>
    <row r="66" spans="2:7" x14ac:dyDescent="0.25">
      <c r="B66" s="7" t="s">
        <v>14</v>
      </c>
      <c r="D66" s="3">
        <f>AVERAGE(D2:D31)</f>
        <v>1124212.4339560324</v>
      </c>
      <c r="E66" s="3">
        <f t="shared" ref="E66:G66" si="0">AVERAGE(E2:E31)</f>
        <v>21247.447441487337</v>
      </c>
      <c r="F66" s="4">
        <f t="shared" si="0"/>
        <v>1.7925682509706109E-2</v>
      </c>
      <c r="G66" s="4">
        <f t="shared" si="0"/>
        <v>2.4906293556901716E-3</v>
      </c>
    </row>
    <row r="67" spans="2:7" x14ac:dyDescent="0.25">
      <c r="B67" s="7" t="s">
        <v>15</v>
      </c>
      <c r="D67" s="3">
        <f>AVERAGE(D33:D62)</f>
        <v>313456.52033605945</v>
      </c>
      <c r="E67" s="3">
        <f t="shared" ref="E67:G67" si="1">AVERAGE(E33:E62)</f>
        <v>6530.0444956386673</v>
      </c>
      <c r="F67" s="4">
        <f t="shared" si="1"/>
        <v>4.0228145149423019E-3</v>
      </c>
      <c r="G67" s="4">
        <f t="shared" si="1"/>
        <v>2.1482436181387908E-3</v>
      </c>
    </row>
    <row r="69" spans="2:7" x14ac:dyDescent="0.25">
      <c r="C69" s="7" t="s">
        <v>52</v>
      </c>
      <c r="D69" s="3">
        <f>D66/D67</f>
        <v>3.5865019899753703</v>
      </c>
      <c r="E69" s="3">
        <f t="shared" ref="E69:G69" si="2">E66/E67</f>
        <v>3.2537982636532159</v>
      </c>
      <c r="F69" s="3">
        <f t="shared" si="2"/>
        <v>4.4560052279624465</v>
      </c>
      <c r="G69" s="3">
        <f t="shared" si="2"/>
        <v>1.1593793807464068</v>
      </c>
    </row>
  </sheetData>
  <conditionalFormatting sqref="D2:D6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6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6:D6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6:E6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6:F6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6:G6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23" sqref="A23"/>
    </sheetView>
  </sheetViews>
  <sheetFormatPr defaultRowHeight="15" x14ac:dyDescent="0.25"/>
  <cols>
    <col min="1" max="1" width="97.85546875" customWidth="1"/>
    <col min="4" max="4" width="13.85546875" customWidth="1"/>
    <col min="5" max="5" width="13.140625" customWidth="1"/>
    <col min="6" max="6" width="15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2021</v>
      </c>
      <c r="D2" s="3">
        <v>3292837.3871137551</v>
      </c>
      <c r="E2" s="3">
        <v>5258.5701260400001</v>
      </c>
      <c r="F2" s="4">
        <v>1.0604360748915839E-2</v>
      </c>
      <c r="G2" s="4">
        <v>1.868819729404374E-3</v>
      </c>
    </row>
    <row r="3" spans="1:7" x14ac:dyDescent="0.25">
      <c r="A3" s="2" t="s">
        <v>7</v>
      </c>
      <c r="B3" s="2" t="s">
        <v>8</v>
      </c>
      <c r="C3" s="2">
        <v>2022</v>
      </c>
      <c r="D3" s="3">
        <v>3097084.3107878752</v>
      </c>
      <c r="E3" s="3">
        <v>4162.4721680000002</v>
      </c>
      <c r="F3" s="4">
        <v>1.4081114307645259E-3</v>
      </c>
      <c r="G3" s="4">
        <v>3.9573959548935052E-3</v>
      </c>
    </row>
    <row r="4" spans="1:7" x14ac:dyDescent="0.25">
      <c r="A4" s="2" t="s">
        <v>7</v>
      </c>
      <c r="B4" s="2" t="s">
        <v>8</v>
      </c>
      <c r="C4" s="2">
        <v>2023</v>
      </c>
      <c r="D4" s="3">
        <v>2652658.7944572391</v>
      </c>
      <c r="E4" s="3">
        <v>4253.6615775199998</v>
      </c>
      <c r="F4" s="4">
        <v>2.8806641846538372E-3</v>
      </c>
      <c r="G4" s="4">
        <v>1.8380008135386839E-3</v>
      </c>
    </row>
    <row r="5" spans="1:7" x14ac:dyDescent="0.25">
      <c r="A5" s="2" t="s">
        <v>7</v>
      </c>
      <c r="B5" s="2" t="s">
        <v>8</v>
      </c>
      <c r="C5" s="2">
        <v>2024</v>
      </c>
      <c r="D5" s="3">
        <v>2480166.278394436</v>
      </c>
      <c r="E5" s="3">
        <v>4510.0316159999993</v>
      </c>
      <c r="F5" s="4">
        <v>1.003512255644462E-3</v>
      </c>
      <c r="G5" s="4">
        <v>1.2206708220113729E-3</v>
      </c>
    </row>
    <row r="6" spans="1:7" x14ac:dyDescent="0.25">
      <c r="A6" s="2" t="s">
        <v>11</v>
      </c>
      <c r="B6" s="2" t="s">
        <v>12</v>
      </c>
      <c r="C6" s="2">
        <v>2021</v>
      </c>
      <c r="D6" s="3">
        <v>331647.0310656284</v>
      </c>
      <c r="E6" s="3">
        <v>964.84556195999994</v>
      </c>
      <c r="F6" s="4">
        <v>7.4163848413873461E-4</v>
      </c>
      <c r="G6" s="4">
        <v>3.6380912535570372E-4</v>
      </c>
    </row>
    <row r="7" spans="1:7" x14ac:dyDescent="0.25">
      <c r="A7" s="2" t="s">
        <v>11</v>
      </c>
      <c r="B7" s="2" t="s">
        <v>12</v>
      </c>
      <c r="C7" s="2">
        <v>2023</v>
      </c>
      <c r="D7" s="3">
        <v>255261.79722573471</v>
      </c>
      <c r="E7" s="3">
        <v>888.20773440000005</v>
      </c>
      <c r="F7" s="4">
        <v>1.2066660967819649E-3</v>
      </c>
      <c r="G7" s="4">
        <v>2.863735386990569E-3</v>
      </c>
    </row>
    <row r="8" spans="1:7" x14ac:dyDescent="0.25">
      <c r="A8" s="2" t="s">
        <v>11</v>
      </c>
      <c r="B8" s="2" t="s">
        <v>12</v>
      </c>
      <c r="C8" s="2">
        <v>2022</v>
      </c>
      <c r="D8" s="3">
        <v>238996.75153477999</v>
      </c>
      <c r="E8" s="3">
        <v>863.40619829999991</v>
      </c>
      <c r="F8" s="4">
        <v>7.0023981897559661E-4</v>
      </c>
      <c r="G8" s="4">
        <v>9.1753228267274999E-4</v>
      </c>
    </row>
    <row r="9" spans="1:7" x14ac:dyDescent="0.25">
      <c r="A9" s="2" t="s">
        <v>11</v>
      </c>
      <c r="B9" s="2" t="s">
        <v>12</v>
      </c>
      <c r="C9" s="2">
        <v>2024</v>
      </c>
      <c r="D9" s="3">
        <v>218314.63160777459</v>
      </c>
      <c r="E9" s="3">
        <v>897.65553599999998</v>
      </c>
      <c r="F9" s="4">
        <v>4.6312642581418888E-4</v>
      </c>
      <c r="G9" s="4">
        <v>5.3328786021100191E-3</v>
      </c>
    </row>
    <row r="10" spans="1:7" x14ac:dyDescent="0.25">
      <c r="A10" s="2" t="s">
        <v>9</v>
      </c>
      <c r="B10" s="2" t="s">
        <v>10</v>
      </c>
      <c r="C10" s="2">
        <v>2021</v>
      </c>
      <c r="D10" s="3">
        <v>177476.11420904889</v>
      </c>
      <c r="E10" s="3">
        <v>1454.99992092</v>
      </c>
      <c r="F10" s="4">
        <v>2.7347370558508639E-4</v>
      </c>
      <c r="G10" s="4">
        <v>8.7625687236728058E-4</v>
      </c>
    </row>
    <row r="11" spans="1:7" x14ac:dyDescent="0.25">
      <c r="A11" s="2" t="s">
        <v>9</v>
      </c>
      <c r="B11" s="2" t="s">
        <v>10</v>
      </c>
      <c r="C11" s="2">
        <v>2022</v>
      </c>
      <c r="D11" s="3">
        <v>149725.9222474432</v>
      </c>
      <c r="E11" s="3">
        <v>1319.2765561000001</v>
      </c>
      <c r="F11" s="4">
        <v>9.5143491498901212E-3</v>
      </c>
      <c r="G11" s="4">
        <v>8.6555389370039323E-4</v>
      </c>
    </row>
    <row r="12" spans="1:7" x14ac:dyDescent="0.25">
      <c r="A12" s="2" t="s">
        <v>9</v>
      </c>
      <c r="B12" s="2" t="s">
        <v>10</v>
      </c>
      <c r="C12" s="2">
        <v>2024</v>
      </c>
      <c r="D12" s="3">
        <v>123407.0292947656</v>
      </c>
      <c r="E12" s="3">
        <v>769.72569599999997</v>
      </c>
      <c r="F12" s="4">
        <v>1.643806367093142E-3</v>
      </c>
      <c r="G12" s="4">
        <v>4.963035559098705E-3</v>
      </c>
    </row>
    <row r="13" spans="1:7" x14ac:dyDescent="0.25">
      <c r="A13" s="2" t="s">
        <v>9</v>
      </c>
      <c r="B13" s="2" t="s">
        <v>10</v>
      </c>
      <c r="C13" s="2">
        <v>2023</v>
      </c>
      <c r="D13" s="3">
        <v>118648.02708896549</v>
      </c>
      <c r="E13" s="3">
        <v>640.62859736000007</v>
      </c>
      <c r="F13" s="4">
        <v>4.2703506076277667E-2</v>
      </c>
      <c r="G13" s="4">
        <v>7.645975624855611E-3</v>
      </c>
    </row>
    <row r="15" spans="1:7" x14ac:dyDescent="0.25">
      <c r="B15" s="6" t="s">
        <v>13</v>
      </c>
      <c r="D15" s="3">
        <f>MEDIAN(D2:D13)</f>
        <v>247129.27438025735</v>
      </c>
    </row>
    <row r="16" spans="1:7" x14ac:dyDescent="0.25">
      <c r="B16" s="7"/>
    </row>
    <row r="17" spans="2:7" x14ac:dyDescent="0.25">
      <c r="B17" s="7" t="s">
        <v>14</v>
      </c>
      <c r="D17" s="3">
        <f>AVERAGE(D2:D7)</f>
        <v>2018275.9331741116</v>
      </c>
      <c r="E17" s="3">
        <f t="shared" ref="E17:G17" si="0">AVERAGE(E2:E7)</f>
        <v>3339.6314639866664</v>
      </c>
      <c r="F17" s="4">
        <f t="shared" si="0"/>
        <v>2.974158866816561E-3</v>
      </c>
      <c r="G17" s="4">
        <f t="shared" si="0"/>
        <v>2.0187386386990346E-3</v>
      </c>
    </row>
    <row r="18" spans="2:7" x14ac:dyDescent="0.25">
      <c r="B18" s="7" t="s">
        <v>15</v>
      </c>
      <c r="D18" s="3">
        <f>AVERAGE(D8:D13)</f>
        <v>171094.74599712962</v>
      </c>
      <c r="E18" s="3">
        <f t="shared" ref="E18:G18" si="1">AVERAGE(E8:E13)</f>
        <v>990.94875077999995</v>
      </c>
      <c r="F18" s="4">
        <f t="shared" si="1"/>
        <v>9.2164169239392999E-3</v>
      </c>
      <c r="G18" s="4">
        <f t="shared" si="1"/>
        <v>3.4335388058007936E-3</v>
      </c>
    </row>
  </sheetData>
  <sortState ref="A2:G13">
    <sortCondition descending="1" ref="D2:D13"/>
  </sortState>
  <conditionalFormatting sqref="D2:D1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27" sqref="A27"/>
    </sheetView>
  </sheetViews>
  <sheetFormatPr defaultRowHeight="15" x14ac:dyDescent="0.25"/>
  <cols>
    <col min="1" max="1" width="73" customWidth="1"/>
    <col min="4" max="4" width="14" customWidth="1"/>
    <col min="5" max="5" width="13.7109375" customWidth="1"/>
    <col min="6" max="6" width="14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16</v>
      </c>
      <c r="B2" s="2" t="s">
        <v>17</v>
      </c>
      <c r="C2" s="2">
        <v>2022</v>
      </c>
      <c r="D2" s="3">
        <v>971947.1589226143</v>
      </c>
      <c r="E2" s="3">
        <v>21731.663739110001</v>
      </c>
      <c r="F2" s="4">
        <v>3.0282081846115981E-5</v>
      </c>
      <c r="G2" s="4">
        <v>5.0206173563068553E-3</v>
      </c>
    </row>
    <row r="3" spans="1:7" x14ac:dyDescent="0.25">
      <c r="A3" s="2" t="s">
        <v>16</v>
      </c>
      <c r="B3" s="2" t="s">
        <v>17</v>
      </c>
      <c r="C3" s="2">
        <v>2021</v>
      </c>
      <c r="D3" s="3">
        <v>950234.48563991196</v>
      </c>
      <c r="E3" s="3">
        <v>3253.0570836699999</v>
      </c>
      <c r="F3" s="4">
        <v>3.2666995157709352E-4</v>
      </c>
      <c r="G3" s="4">
        <v>1.167450820049999E-3</v>
      </c>
    </row>
    <row r="4" spans="1:7" x14ac:dyDescent="0.25">
      <c r="A4" s="2" t="s">
        <v>16</v>
      </c>
      <c r="B4" s="2" t="s">
        <v>17</v>
      </c>
      <c r="C4" s="2">
        <v>2024</v>
      </c>
      <c r="D4" s="3">
        <v>840420.70663642394</v>
      </c>
      <c r="E4" s="3">
        <v>22097.462448999999</v>
      </c>
      <c r="F4" s="4">
        <v>1.047846559460851E-5</v>
      </c>
      <c r="G4" s="4">
        <v>8.9257472528899238E-3</v>
      </c>
    </row>
    <row r="5" spans="1:7" x14ac:dyDescent="0.25">
      <c r="A5" s="2" t="s">
        <v>18</v>
      </c>
      <c r="B5" s="2" t="s">
        <v>19</v>
      </c>
      <c r="C5" s="2">
        <v>2024</v>
      </c>
      <c r="D5" s="3">
        <v>130071.2900498806</v>
      </c>
      <c r="E5" s="3">
        <v>866.32844524999996</v>
      </c>
      <c r="F5" s="4">
        <v>1.8830176464184379E-3</v>
      </c>
      <c r="G5" s="4">
        <v>2.5735129813919731E-4</v>
      </c>
    </row>
    <row r="6" spans="1:7" x14ac:dyDescent="0.25">
      <c r="A6" s="2" t="s">
        <v>18</v>
      </c>
      <c r="B6" s="2" t="s">
        <v>19</v>
      </c>
      <c r="C6" s="2">
        <v>2023</v>
      </c>
      <c r="D6" s="3">
        <v>118956.3612196709</v>
      </c>
      <c r="E6" s="3">
        <v>1090.8420791399999</v>
      </c>
      <c r="F6" s="4">
        <v>6.857037460360029E-4</v>
      </c>
      <c r="G6" s="4">
        <v>4.8025762850386331E-4</v>
      </c>
    </row>
    <row r="7" spans="1:7" x14ac:dyDescent="0.25">
      <c r="A7" s="2" t="s">
        <v>18</v>
      </c>
      <c r="B7" s="2" t="s">
        <v>19</v>
      </c>
      <c r="C7" s="2">
        <v>2022</v>
      </c>
      <c r="D7" s="3">
        <v>106346.7598437235</v>
      </c>
      <c r="E7" s="3">
        <v>1736.36278023</v>
      </c>
      <c r="F7" s="4">
        <v>2.7534118528886658E-3</v>
      </c>
      <c r="G7" s="4">
        <v>9.5257384161442811E-3</v>
      </c>
    </row>
    <row r="8" spans="1:7" x14ac:dyDescent="0.25">
      <c r="A8" s="2" t="s">
        <v>18</v>
      </c>
      <c r="B8" s="2" t="s">
        <v>19</v>
      </c>
      <c r="C8" s="2">
        <v>2021</v>
      </c>
      <c r="D8" s="3">
        <v>85809.083743767143</v>
      </c>
      <c r="E8" s="3">
        <v>2740.6294030899999</v>
      </c>
      <c r="F8" s="4">
        <v>3.444045779906578E-2</v>
      </c>
      <c r="G8" s="4">
        <v>2.7573625574766692E-4</v>
      </c>
    </row>
    <row r="10" spans="1:7" x14ac:dyDescent="0.25">
      <c r="B10" s="5" t="s">
        <v>13</v>
      </c>
      <c r="D10" s="3">
        <f>MEDIAN(D2:D8)</f>
        <v>130071.2900498806</v>
      </c>
    </row>
    <row r="12" spans="1:7" x14ac:dyDescent="0.25">
      <c r="B12" t="s">
        <v>14</v>
      </c>
      <c r="D12" s="3">
        <f>AVERAGE(D2:D4)</f>
        <v>920867.45039964991</v>
      </c>
      <c r="E12" s="3">
        <f t="shared" ref="E12:G12" si="0">AVERAGE(E2:E4)</f>
        <v>15694.061090593334</v>
      </c>
      <c r="F12" s="4">
        <f t="shared" si="0"/>
        <v>1.2247683300593934E-4</v>
      </c>
      <c r="G12" s="4">
        <f t="shared" si="0"/>
        <v>5.0379384764155924E-3</v>
      </c>
    </row>
    <row r="13" spans="1:7" x14ac:dyDescent="0.25">
      <c r="B13" t="s">
        <v>15</v>
      </c>
      <c r="D13" s="3">
        <f>AVERAGE(D6:D8)</f>
        <v>103704.06826905387</v>
      </c>
      <c r="E13" s="3">
        <f t="shared" ref="E13:G13" si="1">AVERAGE(E6:E8)</f>
        <v>1855.9447541533334</v>
      </c>
      <c r="F13" s="4">
        <f t="shared" si="1"/>
        <v>1.2626524465996816E-2</v>
      </c>
      <c r="G13" s="4">
        <f t="shared" si="1"/>
        <v>3.4272441001319369E-3</v>
      </c>
    </row>
  </sheetData>
  <conditionalFormatting sqref="D2:D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:D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:E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:F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G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33" sqref="D33"/>
    </sheetView>
  </sheetViews>
  <sheetFormatPr defaultRowHeight="15" x14ac:dyDescent="0.25"/>
  <cols>
    <col min="1" max="1" width="73.7109375" customWidth="1"/>
    <col min="4" max="4" width="15.28515625" customWidth="1"/>
    <col min="5" max="5" width="14.42578125" customWidth="1"/>
    <col min="6" max="6" width="17.140625" customWidth="1"/>
    <col min="7" max="7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53</v>
      </c>
      <c r="B2" s="2" t="s">
        <v>54</v>
      </c>
      <c r="C2" s="2">
        <v>2023</v>
      </c>
      <c r="D2" s="3">
        <v>4855346.2125374135</v>
      </c>
      <c r="E2" s="3">
        <v>135386.12959937999</v>
      </c>
      <c r="F2" s="4">
        <v>3.714330459169155E-3</v>
      </c>
      <c r="G2" s="4">
        <v>1.653323199151599E-3</v>
      </c>
    </row>
    <row r="3" spans="1:7" x14ac:dyDescent="0.25">
      <c r="A3" s="2" t="s">
        <v>53</v>
      </c>
      <c r="B3" s="2" t="s">
        <v>54</v>
      </c>
      <c r="C3" s="2">
        <v>2024</v>
      </c>
      <c r="D3" s="3">
        <v>4794949.4413491804</v>
      </c>
      <c r="E3" s="3">
        <v>99309.261365249986</v>
      </c>
      <c r="F3" s="4">
        <v>2.5245281739425698E-3</v>
      </c>
      <c r="G3" s="4">
        <v>8.8733431342220078E-4</v>
      </c>
    </row>
    <row r="4" spans="1:7" x14ac:dyDescent="0.25">
      <c r="A4" s="2" t="s">
        <v>53</v>
      </c>
      <c r="B4" s="2" t="s">
        <v>54</v>
      </c>
      <c r="C4" s="2">
        <v>2022</v>
      </c>
      <c r="D4" s="3">
        <v>4600808.5022977749</v>
      </c>
      <c r="E4" s="3">
        <v>60802.035819069999</v>
      </c>
      <c r="F4" s="4">
        <v>6.8489439848556958E-3</v>
      </c>
      <c r="G4" s="4">
        <v>8.4462018431121508E-4</v>
      </c>
    </row>
    <row r="5" spans="1:7" x14ac:dyDescent="0.25">
      <c r="A5" s="2" t="s">
        <v>53</v>
      </c>
      <c r="B5" s="2" t="s">
        <v>54</v>
      </c>
      <c r="C5" s="2">
        <v>2021</v>
      </c>
      <c r="D5" s="3">
        <v>4270265.7526510246</v>
      </c>
      <c r="E5" s="3">
        <v>72255.755925899997</v>
      </c>
      <c r="F5" s="4">
        <v>2.7888505476110981E-2</v>
      </c>
      <c r="G5" s="4">
        <v>1.402683970588293E-3</v>
      </c>
    </row>
    <row r="6" spans="1:7" x14ac:dyDescent="0.25">
      <c r="A6" s="2" t="s">
        <v>55</v>
      </c>
      <c r="B6" s="2" t="s">
        <v>56</v>
      </c>
      <c r="C6" s="2">
        <v>2024</v>
      </c>
      <c r="D6" s="3">
        <v>2292248.1387702548</v>
      </c>
      <c r="E6" s="3">
        <v>34254.624294250003</v>
      </c>
      <c r="F6" s="4">
        <v>1.595347631915882E-3</v>
      </c>
      <c r="G6" s="4">
        <v>9.361237617013568E-4</v>
      </c>
    </row>
    <row r="7" spans="1:7" x14ac:dyDescent="0.25">
      <c r="A7" s="2" t="s">
        <v>55</v>
      </c>
      <c r="B7" s="2" t="s">
        <v>56</v>
      </c>
      <c r="C7" s="2">
        <v>2023</v>
      </c>
      <c r="D7" s="3">
        <v>2266287.1009142809</v>
      </c>
      <c r="E7" s="3">
        <v>31237.990653870002</v>
      </c>
      <c r="F7" s="4">
        <v>4.7806163538082437E-3</v>
      </c>
      <c r="G7" s="4">
        <v>7.032550042484375E-4</v>
      </c>
    </row>
    <row r="8" spans="1:7" x14ac:dyDescent="0.25">
      <c r="A8" s="2" t="s">
        <v>55</v>
      </c>
      <c r="B8" s="2" t="s">
        <v>56</v>
      </c>
      <c r="C8" s="2">
        <v>2022</v>
      </c>
      <c r="D8" s="3">
        <v>2155091.885649004</v>
      </c>
      <c r="E8" s="3">
        <v>55489.055466000013</v>
      </c>
      <c r="F8" s="4">
        <v>8.0723796852959749E-4</v>
      </c>
      <c r="G8" s="4">
        <v>7.0553447782127363E-3</v>
      </c>
    </row>
    <row r="9" spans="1:7" x14ac:dyDescent="0.25">
      <c r="A9" s="2" t="s">
        <v>55</v>
      </c>
      <c r="B9" s="2" t="s">
        <v>56</v>
      </c>
      <c r="C9" s="2">
        <v>2021</v>
      </c>
      <c r="D9" s="3">
        <v>1926632.816358228</v>
      </c>
      <c r="E9" s="3">
        <v>70482.351956779996</v>
      </c>
      <c r="F9" s="4">
        <v>1.720869178633199E-3</v>
      </c>
      <c r="G9" s="4">
        <v>1.9771398616983161E-4</v>
      </c>
    </row>
    <row r="10" spans="1:7" x14ac:dyDescent="0.25">
      <c r="A10" s="2" t="s">
        <v>57</v>
      </c>
      <c r="B10" s="2" t="s">
        <v>58</v>
      </c>
      <c r="C10" s="2">
        <v>2023</v>
      </c>
      <c r="D10" s="3">
        <v>297348.59581775579</v>
      </c>
      <c r="E10" s="3">
        <v>16286.65164027</v>
      </c>
      <c r="F10" s="4">
        <v>1.754538540588953E-4</v>
      </c>
      <c r="G10" s="4">
        <v>1.917541117093744E-3</v>
      </c>
    </row>
    <row r="11" spans="1:7" x14ac:dyDescent="0.25">
      <c r="A11" s="2" t="s">
        <v>59</v>
      </c>
      <c r="B11" s="2" t="s">
        <v>60</v>
      </c>
      <c r="C11" s="2">
        <v>2021</v>
      </c>
      <c r="D11" s="3">
        <v>234330.45241976029</v>
      </c>
      <c r="E11" s="3">
        <v>5602.2332923599997</v>
      </c>
      <c r="F11" s="4">
        <v>1.6046617180793979E-4</v>
      </c>
      <c r="G11" s="4">
        <v>1.7497075699021261E-4</v>
      </c>
    </row>
    <row r="12" spans="1:7" x14ac:dyDescent="0.25">
      <c r="A12" s="2" t="s">
        <v>61</v>
      </c>
      <c r="B12" s="2" t="s">
        <v>62</v>
      </c>
      <c r="C12" s="2">
        <v>2022</v>
      </c>
      <c r="D12" s="3">
        <v>160888.6352920986</v>
      </c>
      <c r="E12" s="3">
        <v>893.32115457000009</v>
      </c>
      <c r="F12" s="4">
        <v>6.8539092001545414E-3</v>
      </c>
      <c r="G12" s="4">
        <v>6.0481966338306683E-4</v>
      </c>
    </row>
    <row r="13" spans="1:7" x14ac:dyDescent="0.25">
      <c r="A13" s="2" t="s">
        <v>61</v>
      </c>
      <c r="B13" s="2" t="s">
        <v>62</v>
      </c>
      <c r="C13" s="2">
        <v>2021</v>
      </c>
      <c r="D13" s="3">
        <v>133123.48380322519</v>
      </c>
      <c r="E13" s="3">
        <v>1151.69215446</v>
      </c>
      <c r="F13" s="4">
        <v>3.5158370961540082E-5</v>
      </c>
      <c r="G13" s="4">
        <v>1.878029724891315E-3</v>
      </c>
    </row>
    <row r="15" spans="1:7" x14ac:dyDescent="0.25">
      <c r="B15" s="6" t="s">
        <v>13</v>
      </c>
      <c r="D15" s="3">
        <f>MEDIAN(D2:D13)</f>
        <v>2210689.4932816424</v>
      </c>
    </row>
    <row r="17" spans="2:7" x14ac:dyDescent="0.25">
      <c r="B17" s="7" t="s">
        <v>14</v>
      </c>
      <c r="D17" s="3">
        <f>AVERAGE(D2:D7)</f>
        <v>3846650.8580866549</v>
      </c>
      <c r="E17" s="3">
        <f t="shared" ref="E17:G17" si="0">AVERAGE(E2:E7)</f>
        <v>72207.632942953322</v>
      </c>
      <c r="F17" s="4">
        <f t="shared" si="0"/>
        <v>7.892045346633755E-3</v>
      </c>
      <c r="G17" s="4">
        <f t="shared" si="0"/>
        <v>1.0712234055705171E-3</v>
      </c>
    </row>
    <row r="18" spans="2:7" x14ac:dyDescent="0.25">
      <c r="B18" s="7" t="s">
        <v>15</v>
      </c>
      <c r="D18" s="3">
        <f>AVERAGE(D8:D13)</f>
        <v>817902.6448900121</v>
      </c>
      <c r="E18" s="3">
        <f t="shared" ref="E18:G18" si="1">AVERAGE(E8:E13)</f>
        <v>24984.217610740001</v>
      </c>
      <c r="F18" s="4">
        <f t="shared" si="1"/>
        <v>1.6255157906909521E-3</v>
      </c>
      <c r="G18" s="4">
        <f t="shared" si="1"/>
        <v>1.9714033377901509E-3</v>
      </c>
    </row>
    <row r="20" spans="2:7" x14ac:dyDescent="0.25">
      <c r="B20" s="7" t="s">
        <v>52</v>
      </c>
      <c r="D20" s="3">
        <f>D17/D18</f>
        <v>4.7030669018119333</v>
      </c>
      <c r="E20" s="3">
        <f t="shared" ref="E20:G20" si="2">E17/E18</f>
        <v>2.8901298438864593</v>
      </c>
      <c r="F20" s="3">
        <f t="shared" si="2"/>
        <v>4.8551022339063907</v>
      </c>
      <c r="G20" s="3">
        <f t="shared" si="2"/>
        <v>0.54338114633168244</v>
      </c>
    </row>
  </sheetData>
  <conditionalFormatting sqref="D2:D1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A22" sqref="A22"/>
    </sheetView>
  </sheetViews>
  <sheetFormatPr defaultRowHeight="15" x14ac:dyDescent="0.25"/>
  <cols>
    <col min="1" max="1" width="67" customWidth="1"/>
    <col min="4" max="4" width="16.7109375" customWidth="1"/>
    <col min="5" max="5" width="16" customWidth="1"/>
    <col min="6" max="6" width="14" customWidth="1"/>
    <col min="7" max="7" width="14.85546875" customWidth="1"/>
    <col min="9" max="9" width="14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4</v>
      </c>
      <c r="F1" s="1" t="s">
        <v>5</v>
      </c>
      <c r="G1" s="1" t="s">
        <v>6</v>
      </c>
      <c r="I1" s="9" t="s">
        <v>4</v>
      </c>
      <c r="J1" s="9" t="s">
        <v>64</v>
      </c>
    </row>
    <row r="2" spans="1:10" x14ac:dyDescent="0.25">
      <c r="A2" s="2" t="s">
        <v>65</v>
      </c>
      <c r="B2" s="2" t="s">
        <v>66</v>
      </c>
      <c r="C2" s="2">
        <v>2022</v>
      </c>
      <c r="D2" s="3">
        <v>12596210.486</v>
      </c>
      <c r="E2" s="3">
        <v>29618.176784399999</v>
      </c>
      <c r="F2" s="4">
        <v>1.244197192428451E-3</v>
      </c>
      <c r="G2" s="4">
        <v>9.1204876912707078E-4</v>
      </c>
      <c r="I2" s="9" t="s">
        <v>5</v>
      </c>
      <c r="J2" s="9" t="s">
        <v>67</v>
      </c>
    </row>
    <row r="3" spans="1:10" x14ac:dyDescent="0.25">
      <c r="A3" s="2" t="s">
        <v>65</v>
      </c>
      <c r="B3" s="2" t="s">
        <v>66</v>
      </c>
      <c r="C3" s="2">
        <v>2021</v>
      </c>
      <c r="D3" s="3">
        <v>12460128.155999999</v>
      </c>
      <c r="E3" s="3">
        <v>32672.95173072</v>
      </c>
      <c r="F3" s="4">
        <v>2.8388815641284579E-2</v>
      </c>
      <c r="G3" s="4">
        <v>1.009990774998547E-3</v>
      </c>
      <c r="I3" s="9" t="s">
        <v>6</v>
      </c>
      <c r="J3" s="9" t="s">
        <v>68</v>
      </c>
    </row>
    <row r="4" spans="1:10" x14ac:dyDescent="0.25">
      <c r="A4" s="2" t="s">
        <v>65</v>
      </c>
      <c r="B4" s="2" t="s">
        <v>66</v>
      </c>
      <c r="C4" s="2">
        <v>2023</v>
      </c>
      <c r="D4" s="3">
        <v>11423484.0792</v>
      </c>
      <c r="E4" s="3">
        <v>30582.725913679998</v>
      </c>
      <c r="F4" s="4">
        <v>8.6595807302297054E-5</v>
      </c>
      <c r="G4" s="4">
        <v>1.69804857508698E-3</v>
      </c>
    </row>
    <row r="5" spans="1:10" x14ac:dyDescent="0.25">
      <c r="A5" s="2" t="s">
        <v>65</v>
      </c>
      <c r="B5" s="2" t="s">
        <v>66</v>
      </c>
      <c r="C5" s="2">
        <v>2024</v>
      </c>
      <c r="D5" s="3">
        <v>11300772.48</v>
      </c>
      <c r="E5" s="3">
        <v>31974.339456000002</v>
      </c>
      <c r="F5" s="4">
        <v>5.7574468505698965E-4</v>
      </c>
      <c r="G5" s="4">
        <v>6.8807976565944413E-4</v>
      </c>
      <c r="I5" s="10" t="s">
        <v>69</v>
      </c>
    </row>
    <row r="6" spans="1:10" x14ac:dyDescent="0.25">
      <c r="A6" s="2" t="s">
        <v>70</v>
      </c>
      <c r="B6" s="2" t="s">
        <v>71</v>
      </c>
      <c r="C6" s="2">
        <v>2022</v>
      </c>
      <c r="D6" s="3">
        <v>1821631.94</v>
      </c>
      <c r="E6" s="3">
        <v>2075.48415338</v>
      </c>
      <c r="F6" s="4">
        <v>2.1284775510358608E-2</v>
      </c>
      <c r="G6" s="4">
        <v>9.5791533592884642E-4</v>
      </c>
    </row>
    <row r="7" spans="1:10" x14ac:dyDescent="0.25">
      <c r="A7" s="2" t="s">
        <v>72</v>
      </c>
      <c r="B7" s="2" t="s">
        <v>73</v>
      </c>
      <c r="C7" s="2">
        <v>2021</v>
      </c>
      <c r="D7" s="3">
        <v>1743254.7426</v>
      </c>
      <c r="E7" s="3">
        <v>5649.2667995399997</v>
      </c>
      <c r="F7" s="4">
        <v>4.3069526144492228E-2</v>
      </c>
      <c r="G7" s="4">
        <v>2.415866866318173E-3</v>
      </c>
    </row>
    <row r="8" spans="1:10" x14ac:dyDescent="0.25">
      <c r="A8" s="2" t="s">
        <v>74</v>
      </c>
      <c r="B8" s="2" t="s">
        <v>75</v>
      </c>
      <c r="C8" s="2">
        <v>2021</v>
      </c>
      <c r="D8" s="3">
        <v>1730400.6762000001</v>
      </c>
      <c r="E8" s="3">
        <v>11453.66344206</v>
      </c>
      <c r="F8" s="4">
        <v>3.6351540108211508E-4</v>
      </c>
      <c r="G8" s="4">
        <v>1.736681726385915E-4</v>
      </c>
    </row>
    <row r="9" spans="1:10" x14ac:dyDescent="0.25">
      <c r="A9" s="2" t="s">
        <v>74</v>
      </c>
      <c r="B9" s="2" t="s">
        <v>75</v>
      </c>
      <c r="C9" s="2">
        <v>2022</v>
      </c>
      <c r="D9" s="3">
        <v>1665422.6664</v>
      </c>
      <c r="E9" s="3">
        <v>8756.6848730599995</v>
      </c>
      <c r="F9" s="4">
        <v>7.9418686213037007E-3</v>
      </c>
      <c r="G9" s="4">
        <v>6.2767209962179716E-4</v>
      </c>
    </row>
    <row r="10" spans="1:10" x14ac:dyDescent="0.25">
      <c r="A10" s="2" t="s">
        <v>70</v>
      </c>
      <c r="B10" s="2" t="s">
        <v>71</v>
      </c>
      <c r="C10" s="2">
        <v>2021</v>
      </c>
      <c r="D10" s="3">
        <v>1647555.588</v>
      </c>
      <c r="E10" s="3">
        <v>2286.3627977400001</v>
      </c>
      <c r="F10" s="4">
        <v>3.8549628469778359E-3</v>
      </c>
      <c r="G10" s="4">
        <v>4.9060229684840982E-4</v>
      </c>
      <c r="H10" t="s">
        <v>76</v>
      </c>
    </row>
    <row r="11" spans="1:10" x14ac:dyDescent="0.25">
      <c r="A11" s="2" t="s">
        <v>74</v>
      </c>
      <c r="B11" s="2" t="s">
        <v>75</v>
      </c>
      <c r="C11" s="2">
        <v>2023</v>
      </c>
      <c r="D11" s="3">
        <v>1646977.0623999999</v>
      </c>
      <c r="E11" s="3">
        <v>8501.7368701600008</v>
      </c>
      <c r="F11" s="4">
        <v>3.13244725480416E-3</v>
      </c>
      <c r="G11" s="4">
        <v>3.3557754651448161E-4</v>
      </c>
    </row>
    <row r="12" spans="1:10" x14ac:dyDescent="0.25">
      <c r="A12" s="2" t="s">
        <v>74</v>
      </c>
      <c r="B12" s="2" t="s">
        <v>75</v>
      </c>
      <c r="C12" s="2">
        <v>2024</v>
      </c>
      <c r="D12" s="3">
        <v>1581936.48</v>
      </c>
      <c r="E12" s="3">
        <v>7766.5038239999994</v>
      </c>
      <c r="F12" s="4">
        <v>1.717868258658569E-2</v>
      </c>
      <c r="G12" s="4">
        <v>1.213271790439538E-4</v>
      </c>
    </row>
    <row r="13" spans="1:10" x14ac:dyDescent="0.25">
      <c r="A13" s="2" t="s">
        <v>72</v>
      </c>
      <c r="B13" s="2" t="s">
        <v>73</v>
      </c>
      <c r="C13" s="2">
        <v>2023</v>
      </c>
      <c r="D13" s="3">
        <v>1196714.5288</v>
      </c>
      <c r="E13" s="3">
        <v>5296.7583626400001</v>
      </c>
      <c r="F13" s="4">
        <v>0.1023070329623097</v>
      </c>
      <c r="G13" s="4">
        <v>6.5499992306063972E-4</v>
      </c>
    </row>
    <row r="14" spans="1:10" x14ac:dyDescent="0.25">
      <c r="A14" s="2" t="s">
        <v>72</v>
      </c>
      <c r="B14" s="2" t="s">
        <v>73</v>
      </c>
      <c r="C14" s="2">
        <v>2024</v>
      </c>
      <c r="D14" s="3">
        <v>1186586.3999999999</v>
      </c>
      <c r="E14" s="3">
        <v>4305.8265600000004</v>
      </c>
      <c r="F14" s="4">
        <v>7.4943726483957598E-2</v>
      </c>
      <c r="G14" s="4">
        <v>1.251650972211942E-3</v>
      </c>
    </row>
    <row r="15" spans="1:10" x14ac:dyDescent="0.25">
      <c r="A15" s="2" t="s">
        <v>72</v>
      </c>
      <c r="B15" s="2" t="s">
        <v>73</v>
      </c>
      <c r="C15" s="2">
        <v>2022</v>
      </c>
      <c r="D15" s="3">
        <v>1110225.9291999999</v>
      </c>
      <c r="E15" s="3">
        <v>5731.3955529599998</v>
      </c>
      <c r="F15" s="4">
        <v>2.961302102283718E-2</v>
      </c>
      <c r="G15" s="4">
        <v>1.1157895805494109E-3</v>
      </c>
    </row>
    <row r="16" spans="1:10" x14ac:dyDescent="0.25">
      <c r="A16" s="2" t="s">
        <v>77</v>
      </c>
      <c r="B16" s="2" t="s">
        <v>78</v>
      </c>
      <c r="C16" s="2">
        <v>2021</v>
      </c>
      <c r="D16" s="3">
        <v>556393.38299999991</v>
      </c>
      <c r="E16" s="3">
        <v>9537.5395684800005</v>
      </c>
      <c r="F16" s="4">
        <v>2.2354784320331711E-5</v>
      </c>
      <c r="G16" s="4">
        <v>0.66983975665100759</v>
      </c>
    </row>
    <row r="17" spans="1:7" x14ac:dyDescent="0.25">
      <c r="A17" s="2" t="s">
        <v>77</v>
      </c>
      <c r="B17" s="2" t="s">
        <v>78</v>
      </c>
      <c r="C17" s="2">
        <v>2024</v>
      </c>
      <c r="D17" s="3">
        <v>438367.2</v>
      </c>
      <c r="E17" s="3">
        <v>4244.5644000000002</v>
      </c>
      <c r="F17" s="4">
        <v>1.0462699069897489E-4</v>
      </c>
      <c r="G17" s="4">
        <v>1.199840435923177E-4</v>
      </c>
    </row>
    <row r="19" spans="1:7" x14ac:dyDescent="0.25">
      <c r="C19" s="7" t="s">
        <v>76</v>
      </c>
      <c r="D19">
        <f>MEDIAN(D2:D17)</f>
        <v>1656489.1272</v>
      </c>
    </row>
    <row r="20" spans="1:7" x14ac:dyDescent="0.25">
      <c r="C20" s="7"/>
    </row>
    <row r="21" spans="1:7" x14ac:dyDescent="0.25">
      <c r="C21" s="7"/>
      <c r="D21" s="1" t="s">
        <v>63</v>
      </c>
      <c r="E21" s="1" t="s">
        <v>4</v>
      </c>
      <c r="F21" s="1" t="s">
        <v>5</v>
      </c>
      <c r="G21" s="1" t="s">
        <v>6</v>
      </c>
    </row>
    <row r="22" spans="1:7" x14ac:dyDescent="0.25">
      <c r="C22" s="7" t="s">
        <v>79</v>
      </c>
      <c r="D22" s="2">
        <f>AVERAGE(D2:D9)</f>
        <v>6842663.1532999994</v>
      </c>
      <c r="E22" s="2">
        <f>AVERAGE(E2:E9)</f>
        <v>19097.911644105003</v>
      </c>
      <c r="F22" s="4">
        <f>AVERAGE(F2:F9)</f>
        <v>1.286937987541362E-2</v>
      </c>
      <c r="G22" s="4">
        <f>AVERAGE(G2:G9)</f>
        <v>1.0604112949224313E-3</v>
      </c>
    </row>
    <row r="23" spans="1:7" x14ac:dyDescent="0.25">
      <c r="C23" s="7" t="s">
        <v>80</v>
      </c>
      <c r="D23" s="2">
        <f>AVERAGE(D11:D17)</f>
        <v>1102457.2833428574</v>
      </c>
      <c r="E23" s="2">
        <f>AVERAGE(E11:E17)</f>
        <v>6483.4750197485719</v>
      </c>
      <c r="F23" s="4">
        <f>AVERAGE(F11:F17)</f>
        <v>3.2471698869359092E-2</v>
      </c>
      <c r="G23" s="4">
        <f>AVERAGE(G11:G17)</f>
        <v>9.6205583699425765E-2</v>
      </c>
    </row>
  </sheetData>
  <conditionalFormatting sqref="D2:D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2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2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I16" sqref="I16"/>
    </sheetView>
  </sheetViews>
  <sheetFormatPr defaultRowHeight="15" x14ac:dyDescent="0.25"/>
  <cols>
    <col min="1" max="1" width="93" customWidth="1"/>
    <col min="4" max="4" width="14.85546875" customWidth="1"/>
    <col min="5" max="5" width="13" customWidth="1"/>
    <col min="6" max="6" width="13.5703125" customWidth="1"/>
    <col min="7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81</v>
      </c>
      <c r="B2" s="2" t="s">
        <v>82</v>
      </c>
      <c r="C2" s="2">
        <v>2022</v>
      </c>
      <c r="D2" s="3">
        <v>9937990.5894197039</v>
      </c>
      <c r="E2" s="3">
        <v>137654.50809200999</v>
      </c>
      <c r="F2" s="4">
        <v>2.451646095414645E-3</v>
      </c>
      <c r="G2" s="4">
        <v>7.6188786690442915E-4</v>
      </c>
    </row>
    <row r="3" spans="1:7" x14ac:dyDescent="0.25">
      <c r="A3" s="2" t="s">
        <v>81</v>
      </c>
      <c r="B3" s="2" t="s">
        <v>82</v>
      </c>
      <c r="C3" s="2">
        <v>2021</v>
      </c>
      <c r="D3" s="3">
        <v>9153211.3096406423</v>
      </c>
      <c r="E3" s="3">
        <v>158802.14720132999</v>
      </c>
      <c r="F3" s="4">
        <v>2.8137256066412789E-3</v>
      </c>
      <c r="G3" s="4">
        <v>2.4032687441319662E-3</v>
      </c>
    </row>
    <row r="4" spans="1:7" x14ac:dyDescent="0.25">
      <c r="A4" s="2" t="s">
        <v>81</v>
      </c>
      <c r="B4" s="2" t="s">
        <v>82</v>
      </c>
      <c r="C4" s="2">
        <v>2023</v>
      </c>
      <c r="D4" s="3">
        <v>8323850.3002414759</v>
      </c>
      <c r="E4" s="3">
        <v>69747.682037220002</v>
      </c>
      <c r="F4" s="4">
        <v>3.3950559124479012E-3</v>
      </c>
      <c r="G4" s="4">
        <v>9.6936097165093425E-4</v>
      </c>
    </row>
    <row r="5" spans="1:7" x14ac:dyDescent="0.25">
      <c r="A5" s="2" t="s">
        <v>81</v>
      </c>
      <c r="B5" s="2" t="s">
        <v>82</v>
      </c>
      <c r="C5" s="2">
        <v>2024</v>
      </c>
      <c r="D5" s="3">
        <v>7695797.0900557945</v>
      </c>
      <c r="E5" s="3">
        <v>86242.724574749998</v>
      </c>
      <c r="F5" s="4">
        <v>2.8921735657111581E-3</v>
      </c>
      <c r="G5" s="4">
        <v>1.1051378185227779E-3</v>
      </c>
    </row>
    <row r="6" spans="1:7" x14ac:dyDescent="0.25">
      <c r="A6" s="2" t="s">
        <v>83</v>
      </c>
      <c r="B6" s="2" t="s">
        <v>84</v>
      </c>
      <c r="C6" s="2">
        <v>2024</v>
      </c>
      <c r="D6" s="3">
        <v>5034263.5495518269</v>
      </c>
      <c r="E6" s="3">
        <v>65873.429441999993</v>
      </c>
      <c r="F6" s="4">
        <v>2.9423350149191101E-3</v>
      </c>
      <c r="G6" s="4">
        <v>3.4897071466789652E-4</v>
      </c>
    </row>
    <row r="7" spans="1:7" x14ac:dyDescent="0.25">
      <c r="A7" s="2" t="s">
        <v>83</v>
      </c>
      <c r="B7" s="2" t="s">
        <v>84</v>
      </c>
      <c r="C7" s="2">
        <v>2023</v>
      </c>
      <c r="D7" s="3">
        <v>4961117.4365704898</v>
      </c>
      <c r="E7" s="3">
        <v>63209.692581750001</v>
      </c>
      <c r="F7" s="4">
        <v>4.351387458407175E-3</v>
      </c>
      <c r="G7" s="4">
        <v>5.6592795928781631E-4</v>
      </c>
    </row>
    <row r="8" spans="1:7" x14ac:dyDescent="0.25">
      <c r="A8" s="2" t="s">
        <v>83</v>
      </c>
      <c r="B8" s="2" t="s">
        <v>84</v>
      </c>
      <c r="C8" s="2">
        <v>2022</v>
      </c>
      <c r="D8" s="3">
        <v>4783385.1798815951</v>
      </c>
      <c r="E8" s="3">
        <v>64669.840333150009</v>
      </c>
      <c r="F8" s="4">
        <v>2.0954023999737231E-3</v>
      </c>
      <c r="G8" s="4">
        <v>5.9056880507593645E-4</v>
      </c>
    </row>
    <row r="9" spans="1:7" x14ac:dyDescent="0.25">
      <c r="A9" s="2" t="s">
        <v>83</v>
      </c>
      <c r="B9" s="2" t="s">
        <v>84</v>
      </c>
      <c r="C9" s="2">
        <v>2021</v>
      </c>
      <c r="D9" s="3">
        <v>4448196.0441567702</v>
      </c>
      <c r="E9" s="3">
        <v>96473.926682400008</v>
      </c>
      <c r="F9" s="4">
        <v>4.425446074207404E-4</v>
      </c>
      <c r="G9" s="4">
        <v>2.154034060250509E-4</v>
      </c>
    </row>
    <row r="10" spans="1:7" x14ac:dyDescent="0.25">
      <c r="A10" s="2" t="s">
        <v>85</v>
      </c>
      <c r="B10" s="2" t="s">
        <v>86</v>
      </c>
      <c r="C10" s="2">
        <v>2023</v>
      </c>
      <c r="D10" s="3">
        <v>1252686.154182706</v>
      </c>
      <c r="E10" s="3">
        <v>9796.3168782600005</v>
      </c>
      <c r="F10" s="4">
        <v>0.13430184443805829</v>
      </c>
      <c r="G10" s="4">
        <v>5.218380319387952E-4</v>
      </c>
    </row>
    <row r="11" spans="1:7" x14ac:dyDescent="0.25">
      <c r="A11" s="2" t="s">
        <v>85</v>
      </c>
      <c r="B11" s="2" t="s">
        <v>86</v>
      </c>
      <c r="C11" s="2">
        <v>2021</v>
      </c>
      <c r="D11" s="3">
        <v>1194490.274669243</v>
      </c>
      <c r="E11" s="3">
        <v>19231.118310289999</v>
      </c>
      <c r="F11" s="4">
        <v>5.2147019888250969E-3</v>
      </c>
      <c r="G11" s="4">
        <v>4.9058279907476332E-4</v>
      </c>
    </row>
    <row r="12" spans="1:7" x14ac:dyDescent="0.25">
      <c r="A12" s="2" t="s">
        <v>85</v>
      </c>
      <c r="B12" s="2" t="s">
        <v>86</v>
      </c>
      <c r="C12" s="2">
        <v>2024</v>
      </c>
      <c r="D12" s="3">
        <v>1165717.934645507</v>
      </c>
      <c r="E12" s="3">
        <v>8785.8682089999984</v>
      </c>
      <c r="F12" s="4">
        <v>1.025148686019859E-2</v>
      </c>
      <c r="G12" s="4">
        <v>1.7444704536200269E-4</v>
      </c>
    </row>
    <row r="13" spans="1:7" x14ac:dyDescent="0.25">
      <c r="A13" s="2" t="s">
        <v>85</v>
      </c>
      <c r="B13" s="2" t="s">
        <v>86</v>
      </c>
      <c r="C13" s="2">
        <v>2022</v>
      </c>
      <c r="D13" s="3">
        <v>1063712.5319653209</v>
      </c>
      <c r="E13" s="3">
        <v>8180.2586681400007</v>
      </c>
      <c r="F13" s="4">
        <v>1.6866644248961379E-2</v>
      </c>
      <c r="G13" s="4">
        <v>6.3103132179727491E-4</v>
      </c>
    </row>
    <row r="15" spans="1:7" x14ac:dyDescent="0.25">
      <c r="B15" s="5" t="s">
        <v>13</v>
      </c>
      <c r="D15" s="3">
        <f>MEDIAN(D2:D13)</f>
        <v>4872251.3082260424</v>
      </c>
    </row>
    <row r="17" spans="2:7" x14ac:dyDescent="0.25">
      <c r="B17" t="s">
        <v>14</v>
      </c>
      <c r="D17" s="3">
        <f>AVERAGE(D2:D7)</f>
        <v>7517705.0459133228</v>
      </c>
      <c r="E17" s="3">
        <f t="shared" ref="E17:G17" si="0">AVERAGE(E2:E7)</f>
        <v>96921.697321510001</v>
      </c>
      <c r="F17" s="4">
        <f t="shared" si="0"/>
        <v>3.141053942256878E-3</v>
      </c>
      <c r="G17" s="4">
        <f t="shared" si="0"/>
        <v>1.0257590125276369E-3</v>
      </c>
    </row>
    <row r="18" spans="2:7" x14ac:dyDescent="0.25">
      <c r="B18" t="s">
        <v>15</v>
      </c>
      <c r="D18" s="3">
        <f>AVERAGE(D8:D13)</f>
        <v>2318031.3532501906</v>
      </c>
      <c r="E18" s="3">
        <f t="shared" ref="E18:G18" si="1">AVERAGE(E8:E13)</f>
        <v>34522.888180206675</v>
      </c>
      <c r="F18" s="4">
        <f t="shared" si="1"/>
        <v>2.8195437423906299E-2</v>
      </c>
      <c r="G18" s="4">
        <f t="shared" si="1"/>
        <v>4.3731190154563726E-4</v>
      </c>
    </row>
  </sheetData>
  <conditionalFormatting sqref="D2:D1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26" sqref="E26"/>
    </sheetView>
  </sheetViews>
  <sheetFormatPr defaultRowHeight="15" x14ac:dyDescent="0.25"/>
  <cols>
    <col min="1" max="1" width="120.28515625" customWidth="1"/>
    <col min="4" max="4" width="12" customWidth="1"/>
    <col min="5" max="5" width="12.140625" customWidth="1"/>
    <col min="6" max="6" width="15.8554687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87</v>
      </c>
      <c r="B2" s="2" t="s">
        <v>88</v>
      </c>
      <c r="C2" s="2">
        <v>2024</v>
      </c>
      <c r="D2" s="3">
        <v>2312764.5271400302</v>
      </c>
      <c r="E2" s="3">
        <v>35420.059524999997</v>
      </c>
      <c r="F2" s="11">
        <v>5.6205038026400662E-3</v>
      </c>
      <c r="G2" s="11">
        <v>1.8864917830766969E-3</v>
      </c>
    </row>
    <row r="3" spans="1:7" x14ac:dyDescent="0.25">
      <c r="A3" s="2" t="s">
        <v>87</v>
      </c>
      <c r="B3" s="2" t="s">
        <v>88</v>
      </c>
      <c r="C3" s="2">
        <v>2023</v>
      </c>
      <c r="D3" s="3">
        <v>2056038.0691327541</v>
      </c>
      <c r="E3" s="3">
        <v>35306.169047820003</v>
      </c>
      <c r="F3" s="11">
        <v>7.4585983781851224E-3</v>
      </c>
      <c r="G3" s="11">
        <v>1.5495337612500891E-3</v>
      </c>
    </row>
    <row r="4" spans="1:7" x14ac:dyDescent="0.25">
      <c r="A4" s="2" t="s">
        <v>87</v>
      </c>
      <c r="B4" s="2" t="s">
        <v>88</v>
      </c>
      <c r="C4" s="2">
        <v>2022</v>
      </c>
      <c r="D4" s="3">
        <v>1713109.9518803279</v>
      </c>
      <c r="E4" s="3">
        <v>77023.192478700003</v>
      </c>
      <c r="F4" s="11">
        <v>9.4864560705148846E-3</v>
      </c>
      <c r="G4" s="11">
        <v>3.0572532777723999E-3</v>
      </c>
    </row>
    <row r="5" spans="1:7" x14ac:dyDescent="0.25">
      <c r="A5" s="2" t="s">
        <v>87</v>
      </c>
      <c r="B5" s="2" t="s">
        <v>88</v>
      </c>
      <c r="C5" s="2">
        <v>2021</v>
      </c>
      <c r="D5" s="3">
        <v>1230284.2821290109</v>
      </c>
      <c r="E5" s="3">
        <v>94580.340012330009</v>
      </c>
      <c r="F5" s="11">
        <v>4.1181927359240046E-3</v>
      </c>
      <c r="G5" s="11">
        <v>2.9431664964802489E-3</v>
      </c>
    </row>
    <row r="6" spans="1:7" x14ac:dyDescent="0.25">
      <c r="A6" s="2" t="s">
        <v>89</v>
      </c>
      <c r="B6" s="2" t="s">
        <v>90</v>
      </c>
      <c r="C6" s="2">
        <v>2023</v>
      </c>
      <c r="D6" s="3">
        <v>1177149.00870383</v>
      </c>
      <c r="E6" s="3">
        <v>54257.120220599987</v>
      </c>
      <c r="F6" s="11">
        <v>3.1222927114860181E-2</v>
      </c>
      <c r="G6" s="11">
        <v>4.4066793598312361E-3</v>
      </c>
    </row>
    <row r="7" spans="1:7" x14ac:dyDescent="0.25">
      <c r="A7" s="2" t="s">
        <v>89</v>
      </c>
      <c r="B7" s="2" t="s">
        <v>90</v>
      </c>
      <c r="C7" s="2">
        <v>2024</v>
      </c>
      <c r="D7" s="3">
        <v>1104497.8864203531</v>
      </c>
      <c r="E7" s="3">
        <v>55926.329561999992</v>
      </c>
      <c r="F7" s="11">
        <v>1.456969533637424E-2</v>
      </c>
      <c r="G7" s="11">
        <v>1.725521704280945E-3</v>
      </c>
    </row>
    <row r="8" spans="1:7" x14ac:dyDescent="0.25">
      <c r="A8" s="2" t="s">
        <v>89</v>
      </c>
      <c r="B8" s="2" t="s">
        <v>90</v>
      </c>
      <c r="C8" s="2">
        <v>2021</v>
      </c>
      <c r="D8" s="3">
        <v>1083208.9167629869</v>
      </c>
      <c r="E8" s="3">
        <v>110639.49239553</v>
      </c>
      <c r="F8" s="11">
        <v>6.9333248439685724E-3</v>
      </c>
      <c r="G8" s="11">
        <v>1.1143475296256969E-3</v>
      </c>
    </row>
    <row r="9" spans="1:7" x14ac:dyDescent="0.25">
      <c r="A9" s="2" t="s">
        <v>89</v>
      </c>
      <c r="B9" s="2" t="s">
        <v>90</v>
      </c>
      <c r="C9" s="2">
        <v>2022</v>
      </c>
      <c r="D9" s="3">
        <v>1077864.821598877</v>
      </c>
      <c r="E9" s="3">
        <v>73997.227386940009</v>
      </c>
      <c r="F9" s="11">
        <v>9.7692142174449353E-3</v>
      </c>
      <c r="G9" s="11">
        <v>9.558347653642385E-3</v>
      </c>
    </row>
    <row r="10" spans="1:7" x14ac:dyDescent="0.25">
      <c r="A10" s="2" t="s">
        <v>91</v>
      </c>
      <c r="B10" s="2" t="s">
        <v>92</v>
      </c>
      <c r="C10" s="2">
        <v>2024</v>
      </c>
      <c r="D10" s="3">
        <v>729412.67096789309</v>
      </c>
      <c r="E10" s="3">
        <v>60313.34351775</v>
      </c>
      <c r="F10" s="11">
        <v>3.7694938920620688E-4</v>
      </c>
      <c r="G10" s="11">
        <v>1.654533485954597E-3</v>
      </c>
    </row>
    <row r="11" spans="1:7" x14ac:dyDescent="0.25">
      <c r="A11" s="2" t="s">
        <v>91</v>
      </c>
      <c r="B11" s="2" t="s">
        <v>92</v>
      </c>
      <c r="C11" s="2">
        <v>2021</v>
      </c>
      <c r="D11" s="3">
        <v>648447.24948227091</v>
      </c>
      <c r="E11" s="3">
        <v>22130.276711350001</v>
      </c>
      <c r="F11" s="11">
        <v>1.068848483528837E-2</v>
      </c>
      <c r="G11" s="11">
        <v>8.5913209572516789E-4</v>
      </c>
    </row>
    <row r="12" spans="1:7" x14ac:dyDescent="0.25">
      <c r="A12" s="2" t="s">
        <v>91</v>
      </c>
      <c r="B12" s="2" t="s">
        <v>92</v>
      </c>
      <c r="C12" s="2">
        <v>2023</v>
      </c>
      <c r="D12" s="3">
        <v>647963.01508706179</v>
      </c>
      <c r="E12" s="3">
        <v>30679.58334573</v>
      </c>
      <c r="F12" s="11">
        <v>6.9744795028248326E-4</v>
      </c>
      <c r="G12" s="11">
        <v>1.104087647419581E-4</v>
      </c>
    </row>
    <row r="13" spans="1:7" x14ac:dyDescent="0.25">
      <c r="A13" s="2" t="s">
        <v>91</v>
      </c>
      <c r="B13" s="2" t="s">
        <v>92</v>
      </c>
      <c r="C13" s="2">
        <v>2022</v>
      </c>
      <c r="D13" s="3">
        <v>585416.38894337451</v>
      </c>
      <c r="E13" s="3">
        <v>80201.013479729998</v>
      </c>
      <c r="F13" s="11">
        <v>3.0546519921711193E-4</v>
      </c>
      <c r="G13" s="11">
        <v>1.7612261076438901E-4</v>
      </c>
    </row>
    <row r="15" spans="1:7" x14ac:dyDescent="0.25">
      <c r="B15" s="6" t="s">
        <v>13</v>
      </c>
      <c r="D15" s="3">
        <f>MEDIAN(D2:D13)</f>
        <v>1093853.40159167</v>
      </c>
    </row>
    <row r="17" spans="2:7" x14ac:dyDescent="0.25">
      <c r="B17" s="7" t="s">
        <v>14</v>
      </c>
      <c r="D17" s="3">
        <f>AVERAGE(D2:D7)</f>
        <v>1598973.9542343842</v>
      </c>
      <c r="E17" s="3">
        <f t="shared" ref="E17:G17" si="0">AVERAGE(E2:E7)</f>
        <v>58752.201807741658</v>
      </c>
      <c r="F17" s="4">
        <f t="shared" si="0"/>
        <v>1.2079395573083082E-2</v>
      </c>
      <c r="G17" s="4">
        <f t="shared" si="0"/>
        <v>2.5947743971152693E-3</v>
      </c>
    </row>
    <row r="18" spans="2:7" x14ac:dyDescent="0.25">
      <c r="B18" s="7" t="s">
        <v>15</v>
      </c>
      <c r="D18" s="3">
        <f>AVERAGE(D8:D13)</f>
        <v>795385.51047374401</v>
      </c>
      <c r="E18" s="3">
        <f t="shared" ref="E18:G18" si="1">AVERAGE(E8:E13)</f>
        <v>62993.48947283833</v>
      </c>
      <c r="F18" s="4">
        <f t="shared" si="1"/>
        <v>4.7951477392346132E-3</v>
      </c>
      <c r="G18" s="4">
        <f t="shared" si="1"/>
        <v>2.2454820234090326E-3</v>
      </c>
    </row>
    <row r="20" spans="2:7" x14ac:dyDescent="0.25">
      <c r="B20" s="7" t="s">
        <v>52</v>
      </c>
      <c r="D20" s="3">
        <f>D17/D18</f>
        <v>2.0103131540352179</v>
      </c>
      <c r="E20" s="3">
        <f t="shared" ref="E20:G20" si="2">E17/E18</f>
        <v>0.93267101567812905</v>
      </c>
      <c r="F20" s="3">
        <f t="shared" si="2"/>
        <v>2.5190872586151345</v>
      </c>
      <c r="G20" s="3">
        <f t="shared" si="2"/>
        <v>1.1555534045986038</v>
      </c>
    </row>
  </sheetData>
  <conditionalFormatting sqref="D2:D1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Пром. производство</vt:lpstr>
      <vt:lpstr>Сельхоз</vt:lpstr>
      <vt:lpstr>Административный</vt:lpstr>
      <vt:lpstr>Логистика</vt:lpstr>
      <vt:lpstr>Добыча</vt:lpstr>
      <vt:lpstr>Торговля</vt:lpstr>
      <vt:lpstr>Наука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2026-05-13T08:41:56Z</dcterms:created>
  <dcterms:modified xsi:type="dcterms:W3CDTF">2026-05-14T08:48:40Z</dcterms:modified>
</cp:coreProperties>
</file>