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3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2"/>
  </bookViews>
  <sheets>
    <sheet name="Original" sheetId="1" r:id="rId1"/>
    <sheet name="Only best" sheetId="3" r:id="rId2"/>
    <sheet name="Best|Worst" sheetId="4" r:id="rId3"/>
  </sheets>
  <definedNames>
    <definedName name="_xlnm._FilterDatabase" localSheetId="2" hidden="1">'Best|Worst'!$C$310:$G$314</definedName>
    <definedName name="_xlnm._FilterDatabase" localSheetId="1" hidden="1">'Only best'!$C$310:$G$314</definedName>
    <definedName name="_xlnm._FilterDatabase" localSheetId="0" hidden="1">Original!$C$310:$G$314</definedName>
  </definedNames>
  <calcPr calcId="162913"/>
</workbook>
</file>

<file path=xl/calcChain.xml><?xml version="1.0" encoding="utf-8"?>
<calcChain xmlns="http://schemas.openxmlformats.org/spreadsheetml/2006/main">
  <c r="C408" i="4" l="1"/>
  <c r="E406" i="4"/>
  <c r="D406" i="4"/>
  <c r="C406" i="4"/>
  <c r="G403" i="4"/>
  <c r="G408" i="4" s="1"/>
  <c r="F403" i="4"/>
  <c r="F405" i="4" s="1"/>
  <c r="E403" i="4"/>
  <c r="E405" i="4" s="1"/>
  <c r="D403" i="4"/>
  <c r="D407" i="4" s="1"/>
  <c r="C403" i="4"/>
  <c r="C407" i="4" s="1"/>
  <c r="D401" i="4"/>
  <c r="G399" i="4"/>
  <c r="F399" i="4"/>
  <c r="E399" i="4"/>
  <c r="D399" i="4"/>
  <c r="G398" i="4"/>
  <c r="G401" i="4" s="1"/>
  <c r="F398" i="4"/>
  <c r="F401" i="4" s="1"/>
  <c r="E398" i="4"/>
  <c r="E401" i="4" s="1"/>
  <c r="D398" i="4"/>
  <c r="G383" i="4"/>
  <c r="F383" i="4"/>
  <c r="E383" i="4"/>
  <c r="F382" i="4"/>
  <c r="E382" i="4"/>
  <c r="G381" i="4"/>
  <c r="F381" i="4"/>
  <c r="G380" i="4"/>
  <c r="F380" i="4"/>
  <c r="E380" i="4"/>
  <c r="G378" i="4"/>
  <c r="G382" i="4" s="1"/>
  <c r="F378" i="4"/>
  <c r="E378" i="4"/>
  <c r="E381" i="4" s="1"/>
  <c r="D378" i="4"/>
  <c r="D383" i="4" s="1"/>
  <c r="C378" i="4"/>
  <c r="C380" i="4" s="1"/>
  <c r="G374" i="4"/>
  <c r="F374" i="4"/>
  <c r="E374" i="4"/>
  <c r="D374" i="4"/>
  <c r="G373" i="4"/>
  <c r="G376" i="4" s="1"/>
  <c r="F373" i="4"/>
  <c r="F376" i="4" s="1"/>
  <c r="E373" i="4"/>
  <c r="E376" i="4" s="1"/>
  <c r="D373" i="4"/>
  <c r="D376" i="4" s="1"/>
  <c r="E358" i="4"/>
  <c r="D358" i="4"/>
  <c r="C358" i="4"/>
  <c r="C357" i="4"/>
  <c r="G356" i="4"/>
  <c r="F356" i="4"/>
  <c r="E356" i="4"/>
  <c r="D356" i="4"/>
  <c r="C356" i="4"/>
  <c r="D355" i="4"/>
  <c r="C355" i="4"/>
  <c r="G353" i="4"/>
  <c r="G355" i="4" s="1"/>
  <c r="F353" i="4"/>
  <c r="F357" i="4" s="1"/>
  <c r="E353" i="4"/>
  <c r="E357" i="4" s="1"/>
  <c r="D353" i="4"/>
  <c r="D357" i="4" s="1"/>
  <c r="C353" i="4"/>
  <c r="G349" i="4"/>
  <c r="F349" i="4"/>
  <c r="E349" i="4"/>
  <c r="D349" i="4"/>
  <c r="G348" i="4"/>
  <c r="G351" i="4" s="1"/>
  <c r="F348" i="4"/>
  <c r="F351" i="4" s="1"/>
  <c r="E348" i="4"/>
  <c r="E351" i="4" s="1"/>
  <c r="D348" i="4"/>
  <c r="D351" i="4" s="1"/>
  <c r="G333" i="4"/>
  <c r="G332" i="4"/>
  <c r="D331" i="4"/>
  <c r="C331" i="4"/>
  <c r="G330" i="4"/>
  <c r="G328" i="4"/>
  <c r="G331" i="4" s="1"/>
  <c r="F328" i="4"/>
  <c r="F333" i="4" s="1"/>
  <c r="E328" i="4"/>
  <c r="E330" i="4" s="1"/>
  <c r="D328" i="4"/>
  <c r="D330" i="4" s="1"/>
  <c r="C328" i="4"/>
  <c r="C332" i="4" s="1"/>
  <c r="G324" i="4"/>
  <c r="F324" i="4"/>
  <c r="E324" i="4"/>
  <c r="D324" i="4"/>
  <c r="G323" i="4"/>
  <c r="G326" i="4" s="1"/>
  <c r="F323" i="4"/>
  <c r="F326" i="4" s="1"/>
  <c r="E323" i="4"/>
  <c r="E326" i="4" s="1"/>
  <c r="D323" i="4"/>
  <c r="D326" i="4" s="1"/>
  <c r="G308" i="4"/>
  <c r="F308" i="4"/>
  <c r="E308" i="4"/>
  <c r="E307" i="4"/>
  <c r="D307" i="4"/>
  <c r="G306" i="4"/>
  <c r="F306" i="4"/>
  <c r="E306" i="4"/>
  <c r="F305" i="4"/>
  <c r="E305" i="4"/>
  <c r="D305" i="4"/>
  <c r="G303" i="4"/>
  <c r="G307" i="4" s="1"/>
  <c r="F303" i="4"/>
  <c r="F307" i="4" s="1"/>
  <c r="E303" i="4"/>
  <c r="D303" i="4"/>
  <c r="D306" i="4" s="1"/>
  <c r="C303" i="4"/>
  <c r="C308" i="4" s="1"/>
  <c r="G299" i="4"/>
  <c r="F299" i="4"/>
  <c r="E299" i="4"/>
  <c r="D299" i="4"/>
  <c r="G298" i="4"/>
  <c r="G301" i="4" s="1"/>
  <c r="F298" i="4"/>
  <c r="F301" i="4" s="1"/>
  <c r="E298" i="4"/>
  <c r="E301" i="4" s="1"/>
  <c r="D298" i="4"/>
  <c r="D301" i="4" s="1"/>
  <c r="D284" i="4"/>
  <c r="C284" i="4"/>
  <c r="F282" i="4"/>
  <c r="E282" i="4"/>
  <c r="D282" i="4"/>
  <c r="C282" i="4"/>
  <c r="C281" i="4"/>
  <c r="G279" i="4"/>
  <c r="G281" i="4" s="1"/>
  <c r="F279" i="4"/>
  <c r="F281" i="4" s="1"/>
  <c r="E279" i="4"/>
  <c r="E283" i="4" s="1"/>
  <c r="D279" i="4"/>
  <c r="D283" i="4" s="1"/>
  <c r="C279" i="4"/>
  <c r="C283" i="4" s="1"/>
  <c r="G275" i="4"/>
  <c r="F275" i="4"/>
  <c r="E275" i="4"/>
  <c r="D275" i="4"/>
  <c r="G274" i="4"/>
  <c r="G277" i="4" s="1"/>
  <c r="F274" i="4"/>
  <c r="F277" i="4" s="1"/>
  <c r="E274" i="4"/>
  <c r="E277" i="4" s="1"/>
  <c r="D274" i="4"/>
  <c r="D277" i="4" s="1"/>
  <c r="G259" i="4"/>
  <c r="F258" i="4"/>
  <c r="C257" i="4"/>
  <c r="G256" i="4"/>
  <c r="F256" i="4"/>
  <c r="G254" i="4"/>
  <c r="G257" i="4" s="1"/>
  <c r="F254" i="4"/>
  <c r="F257" i="4" s="1"/>
  <c r="E254" i="4"/>
  <c r="E259" i="4" s="1"/>
  <c r="D254" i="4"/>
  <c r="D256" i="4" s="1"/>
  <c r="C254" i="4"/>
  <c r="C256" i="4" s="1"/>
  <c r="G250" i="4"/>
  <c r="F250" i="4"/>
  <c r="E250" i="4"/>
  <c r="D250" i="4"/>
  <c r="G249" i="4"/>
  <c r="G252" i="4" s="1"/>
  <c r="F249" i="4"/>
  <c r="F252" i="4" s="1"/>
  <c r="E249" i="4"/>
  <c r="E252" i="4" s="1"/>
  <c r="D249" i="4"/>
  <c r="D252" i="4" s="1"/>
  <c r="F234" i="4"/>
  <c r="E234" i="4"/>
  <c r="D234" i="4"/>
  <c r="C233" i="4"/>
  <c r="G232" i="4"/>
  <c r="F232" i="4"/>
  <c r="E231" i="4"/>
  <c r="D231" i="4"/>
  <c r="C231" i="4"/>
  <c r="G229" i="4"/>
  <c r="G233" i="4" s="1"/>
  <c r="F229" i="4"/>
  <c r="F233" i="4" s="1"/>
  <c r="E229" i="4"/>
  <c r="E233" i="4" s="1"/>
  <c r="D229" i="4"/>
  <c r="D232" i="4" s="1"/>
  <c r="C229" i="4"/>
  <c r="C232" i="4" s="1"/>
  <c r="G225" i="4"/>
  <c r="F225" i="4"/>
  <c r="E225" i="4"/>
  <c r="D225" i="4"/>
  <c r="G224" i="4"/>
  <c r="G227" i="4" s="1"/>
  <c r="F224" i="4"/>
  <c r="F227" i="4" s="1"/>
  <c r="E224" i="4"/>
  <c r="E227" i="4" s="1"/>
  <c r="D224" i="4"/>
  <c r="D227" i="4" s="1"/>
  <c r="C209" i="4"/>
  <c r="E207" i="4"/>
  <c r="D207" i="4"/>
  <c r="C207" i="4"/>
  <c r="G204" i="4"/>
  <c r="G209" i="4" s="1"/>
  <c r="F204" i="4"/>
  <c r="F206" i="4" s="1"/>
  <c r="E204" i="4"/>
  <c r="E206" i="4" s="1"/>
  <c r="D204" i="4"/>
  <c r="D208" i="4" s="1"/>
  <c r="C204" i="4"/>
  <c r="C208" i="4" s="1"/>
  <c r="G200" i="4"/>
  <c r="F200" i="4"/>
  <c r="E200" i="4"/>
  <c r="D200" i="4"/>
  <c r="G199" i="4"/>
  <c r="G202" i="4" s="1"/>
  <c r="F199" i="4"/>
  <c r="F202" i="4" s="1"/>
  <c r="E199" i="4"/>
  <c r="E202" i="4" s="1"/>
  <c r="D199" i="4"/>
  <c r="D202" i="4" s="1"/>
  <c r="G184" i="4"/>
  <c r="F184" i="4"/>
  <c r="E183" i="4"/>
  <c r="G181" i="4"/>
  <c r="F181" i="4"/>
  <c r="E181" i="4"/>
  <c r="G179" i="4"/>
  <c r="G183" i="4" s="1"/>
  <c r="F179" i="4"/>
  <c r="F182" i="4" s="1"/>
  <c r="E179" i="4"/>
  <c r="E182" i="4" s="1"/>
  <c r="D179" i="4"/>
  <c r="D184" i="4" s="1"/>
  <c r="C179" i="4"/>
  <c r="C181" i="4" s="1"/>
  <c r="G175" i="4"/>
  <c r="F175" i="4"/>
  <c r="E175" i="4"/>
  <c r="D175" i="4"/>
  <c r="G174" i="4"/>
  <c r="G177" i="4" s="1"/>
  <c r="F174" i="4"/>
  <c r="F177" i="4" s="1"/>
  <c r="E174" i="4"/>
  <c r="E177" i="4" s="1"/>
  <c r="D174" i="4"/>
  <c r="D177" i="4" s="1"/>
  <c r="E159" i="4"/>
  <c r="D159" i="4"/>
  <c r="C159" i="4"/>
  <c r="G157" i="4"/>
  <c r="F157" i="4"/>
  <c r="E157" i="4"/>
  <c r="D156" i="4"/>
  <c r="C156" i="4"/>
  <c r="G154" i="4"/>
  <c r="G156" i="4" s="1"/>
  <c r="F154" i="4"/>
  <c r="F158" i="4" s="1"/>
  <c r="E154" i="4"/>
  <c r="E158" i="4" s="1"/>
  <c r="D154" i="4"/>
  <c r="D158" i="4" s="1"/>
  <c r="C154" i="4"/>
  <c r="C157" i="4" s="1"/>
  <c r="G150" i="4"/>
  <c r="F150" i="4"/>
  <c r="E150" i="4"/>
  <c r="D150" i="4"/>
  <c r="G149" i="4"/>
  <c r="G152" i="4" s="1"/>
  <c r="F149" i="4"/>
  <c r="F152" i="4" s="1"/>
  <c r="E149" i="4"/>
  <c r="E152" i="4" s="1"/>
  <c r="D149" i="4"/>
  <c r="D152" i="4" s="1"/>
  <c r="G134" i="4"/>
  <c r="D133" i="4"/>
  <c r="G132" i="4"/>
  <c r="G130" i="4"/>
  <c r="G133" i="4" s="1"/>
  <c r="F130" i="4"/>
  <c r="F135" i="4" s="1"/>
  <c r="E130" i="4"/>
  <c r="E132" i="4" s="1"/>
  <c r="D130" i="4"/>
  <c r="D132" i="4" s="1"/>
  <c r="C130" i="4"/>
  <c r="G126" i="4"/>
  <c r="F126" i="4"/>
  <c r="E126" i="4"/>
  <c r="D126" i="4"/>
  <c r="G125" i="4"/>
  <c r="G128" i="4" s="1"/>
  <c r="F125" i="4"/>
  <c r="F128" i="4" s="1"/>
  <c r="E125" i="4"/>
  <c r="E128" i="4" s="1"/>
  <c r="D125" i="4"/>
  <c r="D128" i="4" s="1"/>
  <c r="G106" i="4"/>
  <c r="G110" i="4" s="1"/>
  <c r="F106" i="4"/>
  <c r="F110" i="4" s="1"/>
  <c r="E106" i="4"/>
  <c r="E110" i="4" s="1"/>
  <c r="D106" i="4"/>
  <c r="D110" i="4" s="1"/>
  <c r="C106" i="4"/>
  <c r="G102" i="4"/>
  <c r="F102" i="4"/>
  <c r="E102" i="4"/>
  <c r="D102" i="4"/>
  <c r="G101" i="4"/>
  <c r="G104" i="4" s="1"/>
  <c r="F101" i="4"/>
  <c r="F104" i="4" s="1"/>
  <c r="E101" i="4"/>
  <c r="E104" i="4" s="1"/>
  <c r="D101" i="4"/>
  <c r="D104" i="4" s="1"/>
  <c r="G87" i="4"/>
  <c r="E86" i="4"/>
  <c r="G84" i="4"/>
  <c r="F84" i="4"/>
  <c r="G82" i="4"/>
  <c r="G86" i="4" s="1"/>
  <c r="F82" i="4"/>
  <c r="F85" i="4" s="1"/>
  <c r="E82" i="4"/>
  <c r="E85" i="4" s="1"/>
  <c r="D82" i="4"/>
  <c r="D87" i="4" s="1"/>
  <c r="C82" i="4"/>
  <c r="C134" i="4" s="1"/>
  <c r="G78" i="4"/>
  <c r="F78" i="4"/>
  <c r="E78" i="4"/>
  <c r="D78" i="4"/>
  <c r="G77" i="4"/>
  <c r="G80" i="4" s="1"/>
  <c r="F77" i="4"/>
  <c r="F80" i="4" s="1"/>
  <c r="E77" i="4"/>
  <c r="E80" i="4" s="1"/>
  <c r="D77" i="4"/>
  <c r="D80" i="4" s="1"/>
  <c r="G67" i="4"/>
  <c r="F67" i="4"/>
  <c r="E67" i="4"/>
  <c r="D67" i="4"/>
  <c r="G66" i="4"/>
  <c r="G69" i="4" s="1"/>
  <c r="F66" i="4"/>
  <c r="F69" i="4" s="1"/>
  <c r="E66" i="4"/>
  <c r="E69" i="4" s="1"/>
  <c r="D66" i="4"/>
  <c r="D69" i="4" s="1"/>
  <c r="D64" i="4"/>
  <c r="G408" i="3"/>
  <c r="F408" i="3"/>
  <c r="F407" i="3"/>
  <c r="D407" i="3"/>
  <c r="F406" i="3"/>
  <c r="F405" i="3"/>
  <c r="E405" i="3"/>
  <c r="D405" i="3"/>
  <c r="G403" i="3"/>
  <c r="G406" i="3" s="1"/>
  <c r="F403" i="3"/>
  <c r="E403" i="3"/>
  <c r="E408" i="3" s="1"/>
  <c r="D403" i="3"/>
  <c r="D408" i="3" s="1"/>
  <c r="C403" i="3"/>
  <c r="C407" i="3" s="1"/>
  <c r="G399" i="3"/>
  <c r="F399" i="3"/>
  <c r="E399" i="3"/>
  <c r="D399" i="3"/>
  <c r="G398" i="3"/>
  <c r="G401" i="3" s="1"/>
  <c r="F398" i="3"/>
  <c r="F401" i="3" s="1"/>
  <c r="E398" i="3"/>
  <c r="E401" i="3" s="1"/>
  <c r="D398" i="3"/>
  <c r="D401" i="3" s="1"/>
  <c r="F383" i="3"/>
  <c r="D383" i="3"/>
  <c r="C383" i="3"/>
  <c r="E382" i="3"/>
  <c r="C382" i="3"/>
  <c r="F381" i="3"/>
  <c r="E381" i="3"/>
  <c r="E380" i="3"/>
  <c r="C380" i="3"/>
  <c r="G378" i="3"/>
  <c r="G382" i="3" s="1"/>
  <c r="F378" i="3"/>
  <c r="F382" i="3" s="1"/>
  <c r="E378" i="3"/>
  <c r="E383" i="3" s="1"/>
  <c r="D378" i="3"/>
  <c r="D381" i="3" s="1"/>
  <c r="C378" i="3"/>
  <c r="C381" i="3" s="1"/>
  <c r="G374" i="3"/>
  <c r="F374" i="3"/>
  <c r="E374" i="3"/>
  <c r="D374" i="3"/>
  <c r="G373" i="3"/>
  <c r="G376" i="3" s="1"/>
  <c r="F373" i="3"/>
  <c r="F376" i="3" s="1"/>
  <c r="E373" i="3"/>
  <c r="E376" i="3" s="1"/>
  <c r="D373" i="3"/>
  <c r="D376" i="3" s="1"/>
  <c r="C358" i="3"/>
  <c r="F357" i="3"/>
  <c r="C356" i="3"/>
  <c r="G355" i="3"/>
  <c r="F355" i="3"/>
  <c r="G353" i="3"/>
  <c r="G358" i="3" s="1"/>
  <c r="F353" i="3"/>
  <c r="F358" i="3" s="1"/>
  <c r="E353" i="3"/>
  <c r="E357" i="3" s="1"/>
  <c r="D353" i="3"/>
  <c r="D357" i="3" s="1"/>
  <c r="C353" i="3"/>
  <c r="C357" i="3" s="1"/>
  <c r="G349" i="3"/>
  <c r="F349" i="3"/>
  <c r="E349" i="3"/>
  <c r="D349" i="3"/>
  <c r="G348" i="3"/>
  <c r="G351" i="3" s="1"/>
  <c r="F348" i="3"/>
  <c r="F351" i="3" s="1"/>
  <c r="E348" i="3"/>
  <c r="E351" i="3" s="1"/>
  <c r="D348" i="3"/>
  <c r="D351" i="3" s="1"/>
  <c r="F333" i="3"/>
  <c r="E333" i="3"/>
  <c r="G332" i="3"/>
  <c r="E332" i="3"/>
  <c r="C332" i="3"/>
  <c r="G331" i="3"/>
  <c r="G330" i="3"/>
  <c r="E330" i="3"/>
  <c r="D330" i="3"/>
  <c r="C330" i="3"/>
  <c r="G328" i="3"/>
  <c r="G333" i="3" s="1"/>
  <c r="F328" i="3"/>
  <c r="F331" i="3" s="1"/>
  <c r="E328" i="3"/>
  <c r="E331" i="3" s="1"/>
  <c r="D328" i="3"/>
  <c r="D333" i="3" s="1"/>
  <c r="C328" i="3"/>
  <c r="C333" i="3" s="1"/>
  <c r="G324" i="3"/>
  <c r="F324" i="3"/>
  <c r="E324" i="3"/>
  <c r="D324" i="3"/>
  <c r="G323" i="3"/>
  <c r="G326" i="3" s="1"/>
  <c r="F323" i="3"/>
  <c r="F326" i="3" s="1"/>
  <c r="E323" i="3"/>
  <c r="E326" i="3" s="1"/>
  <c r="D323" i="3"/>
  <c r="D326" i="3" s="1"/>
  <c r="E308" i="3"/>
  <c r="C308" i="3"/>
  <c r="D307" i="3"/>
  <c r="E306" i="3"/>
  <c r="D306" i="3"/>
  <c r="D305" i="3"/>
  <c r="G303" i="3"/>
  <c r="G307" i="3" s="1"/>
  <c r="F303" i="3"/>
  <c r="F307" i="3" s="1"/>
  <c r="E303" i="3"/>
  <c r="E307" i="3" s="1"/>
  <c r="D303" i="3"/>
  <c r="D308" i="3" s="1"/>
  <c r="C303" i="3"/>
  <c r="C306" i="3" s="1"/>
  <c r="G299" i="3"/>
  <c r="F299" i="3"/>
  <c r="E299" i="3"/>
  <c r="D299" i="3"/>
  <c r="G298" i="3"/>
  <c r="G301" i="3" s="1"/>
  <c r="F298" i="3"/>
  <c r="F301" i="3" s="1"/>
  <c r="E298" i="3"/>
  <c r="E301" i="3" s="1"/>
  <c r="D298" i="3"/>
  <c r="D301" i="3" s="1"/>
  <c r="G284" i="3"/>
  <c r="G283" i="3"/>
  <c r="E283" i="3"/>
  <c r="G281" i="3"/>
  <c r="F281" i="3"/>
  <c r="E281" i="3"/>
  <c r="G279" i="3"/>
  <c r="G282" i="3" s="1"/>
  <c r="F279" i="3"/>
  <c r="F284" i="3" s="1"/>
  <c r="E279" i="3"/>
  <c r="E284" i="3" s="1"/>
  <c r="D279" i="3"/>
  <c r="D283" i="3" s="1"/>
  <c r="C279" i="3"/>
  <c r="C283" i="3" s="1"/>
  <c r="G275" i="3"/>
  <c r="F275" i="3"/>
  <c r="E275" i="3"/>
  <c r="D275" i="3"/>
  <c r="G274" i="3"/>
  <c r="G277" i="3" s="1"/>
  <c r="F274" i="3"/>
  <c r="F277" i="3" s="1"/>
  <c r="E274" i="3"/>
  <c r="E277" i="3" s="1"/>
  <c r="D274" i="3"/>
  <c r="D277" i="3" s="1"/>
  <c r="G259" i="3"/>
  <c r="E259" i="3"/>
  <c r="D259" i="3"/>
  <c r="F258" i="3"/>
  <c r="D258" i="3"/>
  <c r="G257" i="3"/>
  <c r="F257" i="3"/>
  <c r="F256" i="3"/>
  <c r="D256" i="3"/>
  <c r="C256" i="3"/>
  <c r="G254" i="3"/>
  <c r="G258" i="3" s="1"/>
  <c r="F254" i="3"/>
  <c r="F259" i="3" s="1"/>
  <c r="E254" i="3"/>
  <c r="E257" i="3" s="1"/>
  <c r="D254" i="3"/>
  <c r="D257" i="3" s="1"/>
  <c r="C254" i="3"/>
  <c r="C259" i="3" s="1"/>
  <c r="G250" i="3"/>
  <c r="F250" i="3"/>
  <c r="E250" i="3"/>
  <c r="D250" i="3"/>
  <c r="G249" i="3"/>
  <c r="G252" i="3" s="1"/>
  <c r="F249" i="3"/>
  <c r="F252" i="3" s="1"/>
  <c r="E249" i="3"/>
  <c r="E252" i="3" s="1"/>
  <c r="D249" i="3"/>
  <c r="D252" i="3" s="1"/>
  <c r="D234" i="3"/>
  <c r="G233" i="3"/>
  <c r="C233" i="3"/>
  <c r="D232" i="3"/>
  <c r="C232" i="3"/>
  <c r="G231" i="3"/>
  <c r="C231" i="3"/>
  <c r="G229" i="3"/>
  <c r="G234" i="3" s="1"/>
  <c r="F229" i="3"/>
  <c r="F233" i="3" s="1"/>
  <c r="E229" i="3"/>
  <c r="E233" i="3" s="1"/>
  <c r="D229" i="3"/>
  <c r="D233" i="3" s="1"/>
  <c r="C229" i="3"/>
  <c r="C234" i="3" s="1"/>
  <c r="G225" i="3"/>
  <c r="F225" i="3"/>
  <c r="E225" i="3"/>
  <c r="D225" i="3"/>
  <c r="G224" i="3"/>
  <c r="G227" i="3" s="1"/>
  <c r="F224" i="3"/>
  <c r="F227" i="3" s="1"/>
  <c r="E224" i="3"/>
  <c r="E227" i="3" s="1"/>
  <c r="D224" i="3"/>
  <c r="D227" i="3" s="1"/>
  <c r="G209" i="3"/>
  <c r="F209" i="3"/>
  <c r="F208" i="3"/>
  <c r="D208" i="3"/>
  <c r="F206" i="3"/>
  <c r="E206" i="3"/>
  <c r="D206" i="3"/>
  <c r="G204" i="3"/>
  <c r="G207" i="3" s="1"/>
  <c r="F204" i="3"/>
  <c r="F207" i="3" s="1"/>
  <c r="E204" i="3"/>
  <c r="E209" i="3" s="1"/>
  <c r="D204" i="3"/>
  <c r="D209" i="3" s="1"/>
  <c r="C204" i="3"/>
  <c r="C208" i="3" s="1"/>
  <c r="G200" i="3"/>
  <c r="F200" i="3"/>
  <c r="E200" i="3"/>
  <c r="D200" i="3"/>
  <c r="G199" i="3"/>
  <c r="G202" i="3" s="1"/>
  <c r="F199" i="3"/>
  <c r="F202" i="3" s="1"/>
  <c r="E199" i="3"/>
  <c r="E202" i="3" s="1"/>
  <c r="D199" i="3"/>
  <c r="D202" i="3" s="1"/>
  <c r="F184" i="3"/>
  <c r="D184" i="3"/>
  <c r="C184" i="3"/>
  <c r="E183" i="3"/>
  <c r="C183" i="3"/>
  <c r="F182" i="3"/>
  <c r="E182" i="3"/>
  <c r="E181" i="3"/>
  <c r="C181" i="3"/>
  <c r="G179" i="3"/>
  <c r="G183" i="3" s="1"/>
  <c r="F179" i="3"/>
  <c r="F183" i="3" s="1"/>
  <c r="E179" i="3"/>
  <c r="E184" i="3" s="1"/>
  <c r="D179" i="3"/>
  <c r="D182" i="3" s="1"/>
  <c r="C179" i="3"/>
  <c r="C182" i="3" s="1"/>
  <c r="G175" i="3"/>
  <c r="F175" i="3"/>
  <c r="E175" i="3"/>
  <c r="D175" i="3"/>
  <c r="G174" i="3"/>
  <c r="G177" i="3" s="1"/>
  <c r="F174" i="3"/>
  <c r="F177" i="3" s="1"/>
  <c r="E174" i="3"/>
  <c r="E177" i="3" s="1"/>
  <c r="D174" i="3"/>
  <c r="D177" i="3" s="1"/>
  <c r="C159" i="3"/>
  <c r="F158" i="3"/>
  <c r="C157" i="3"/>
  <c r="G156" i="3"/>
  <c r="F156" i="3"/>
  <c r="G154" i="3"/>
  <c r="G159" i="3" s="1"/>
  <c r="F154" i="3"/>
  <c r="F159" i="3" s="1"/>
  <c r="E154" i="3"/>
  <c r="E158" i="3" s="1"/>
  <c r="D154" i="3"/>
  <c r="D158" i="3" s="1"/>
  <c r="C154" i="3"/>
  <c r="C158" i="3" s="1"/>
  <c r="G150" i="3"/>
  <c r="F150" i="3"/>
  <c r="E150" i="3"/>
  <c r="D150" i="3"/>
  <c r="G149" i="3"/>
  <c r="G152" i="3" s="1"/>
  <c r="F149" i="3"/>
  <c r="F152" i="3" s="1"/>
  <c r="E149" i="3"/>
  <c r="E152" i="3" s="1"/>
  <c r="D149" i="3"/>
  <c r="D152" i="3" s="1"/>
  <c r="F135" i="3"/>
  <c r="E135" i="3"/>
  <c r="G134" i="3"/>
  <c r="E134" i="3"/>
  <c r="C134" i="3"/>
  <c r="G133" i="3"/>
  <c r="G132" i="3"/>
  <c r="E132" i="3"/>
  <c r="D132" i="3"/>
  <c r="G130" i="3"/>
  <c r="G135" i="3" s="1"/>
  <c r="F130" i="3"/>
  <c r="F133" i="3" s="1"/>
  <c r="E130" i="3"/>
  <c r="E133" i="3" s="1"/>
  <c r="D130" i="3"/>
  <c r="D135" i="3" s="1"/>
  <c r="C130" i="3"/>
  <c r="G126" i="3"/>
  <c r="F126" i="3"/>
  <c r="E126" i="3"/>
  <c r="D126" i="3"/>
  <c r="G125" i="3"/>
  <c r="G128" i="3" s="1"/>
  <c r="F125" i="3"/>
  <c r="F128" i="3" s="1"/>
  <c r="E125" i="3"/>
  <c r="E128" i="3" s="1"/>
  <c r="D125" i="3"/>
  <c r="D128" i="3" s="1"/>
  <c r="G110" i="3"/>
  <c r="F110" i="3"/>
  <c r="G108" i="3"/>
  <c r="F108" i="3"/>
  <c r="G106" i="3"/>
  <c r="G111" i="3" s="1"/>
  <c r="F106" i="3"/>
  <c r="F111" i="3" s="1"/>
  <c r="E106" i="3"/>
  <c r="E110" i="3" s="1"/>
  <c r="D106" i="3"/>
  <c r="D110" i="3" s="1"/>
  <c r="C106" i="3"/>
  <c r="G102" i="3"/>
  <c r="F102" i="3"/>
  <c r="E102" i="3"/>
  <c r="D102" i="3"/>
  <c r="G101" i="3"/>
  <c r="G104" i="3" s="1"/>
  <c r="F101" i="3"/>
  <c r="F104" i="3" s="1"/>
  <c r="E101" i="3"/>
  <c r="E104" i="3" s="1"/>
  <c r="D101" i="3"/>
  <c r="D104" i="3" s="1"/>
  <c r="F87" i="3"/>
  <c r="D87" i="3"/>
  <c r="C87" i="3"/>
  <c r="E86" i="3"/>
  <c r="C86" i="3"/>
  <c r="F85" i="3"/>
  <c r="E85" i="3"/>
  <c r="E84" i="3"/>
  <c r="C84" i="3"/>
  <c r="G82" i="3"/>
  <c r="G86" i="3" s="1"/>
  <c r="F82" i="3"/>
  <c r="F86" i="3" s="1"/>
  <c r="E82" i="3"/>
  <c r="E87" i="3" s="1"/>
  <c r="D82" i="3"/>
  <c r="D85" i="3" s="1"/>
  <c r="C82" i="3"/>
  <c r="C132" i="3" s="1"/>
  <c r="E80" i="3"/>
  <c r="G78" i="3"/>
  <c r="F78" i="3"/>
  <c r="E78" i="3"/>
  <c r="D78" i="3"/>
  <c r="G77" i="3"/>
  <c r="G80" i="3" s="1"/>
  <c r="F77" i="3"/>
  <c r="F80" i="3" s="1"/>
  <c r="E77" i="3"/>
  <c r="D77" i="3"/>
  <c r="D80" i="3" s="1"/>
  <c r="G67" i="3"/>
  <c r="F67" i="3"/>
  <c r="E67" i="3"/>
  <c r="D67" i="3"/>
  <c r="G66" i="3"/>
  <c r="G69" i="3" s="1"/>
  <c r="F66" i="3"/>
  <c r="F69" i="3" s="1"/>
  <c r="E66" i="3"/>
  <c r="E69" i="3" s="1"/>
  <c r="D66" i="3"/>
  <c r="D69" i="3" s="1"/>
  <c r="D64" i="3"/>
  <c r="D84" i="4" l="1"/>
  <c r="G85" i="4"/>
  <c r="E87" i="4"/>
  <c r="D109" i="4"/>
  <c r="D111" i="4"/>
  <c r="F132" i="4"/>
  <c r="D134" i="4"/>
  <c r="G135" i="4"/>
  <c r="D157" i="4"/>
  <c r="G158" i="4"/>
  <c r="D181" i="4"/>
  <c r="G182" i="4"/>
  <c r="E184" i="4"/>
  <c r="G206" i="4"/>
  <c r="E208" i="4"/>
  <c r="E232" i="4"/>
  <c r="C234" i="4"/>
  <c r="E256" i="4"/>
  <c r="C258" i="4"/>
  <c r="F259" i="4"/>
  <c r="F283" i="4"/>
  <c r="C305" i="4"/>
  <c r="D308" i="4"/>
  <c r="F330" i="4"/>
  <c r="D332" i="4"/>
  <c r="G357" i="4"/>
  <c r="D380" i="4"/>
  <c r="G405" i="4"/>
  <c r="E407" i="4"/>
  <c r="E84" i="4"/>
  <c r="C86" i="4"/>
  <c r="F87" i="4"/>
  <c r="E109" i="4"/>
  <c r="E111" i="4"/>
  <c r="E134" i="4"/>
  <c r="C183" i="4"/>
  <c r="F208" i="4"/>
  <c r="D258" i="4"/>
  <c r="G283" i="4"/>
  <c r="E332" i="4"/>
  <c r="C382" i="4"/>
  <c r="F407" i="4"/>
  <c r="G109" i="4"/>
  <c r="D86" i="4"/>
  <c r="F109" i="4"/>
  <c r="F111" i="4"/>
  <c r="C133" i="4"/>
  <c r="F134" i="4"/>
  <c r="D183" i="4"/>
  <c r="G208" i="4"/>
  <c r="E258" i="4"/>
  <c r="C307" i="4"/>
  <c r="F332" i="4"/>
  <c r="D382" i="4"/>
  <c r="G407" i="4"/>
  <c r="G111" i="4"/>
  <c r="C85" i="4"/>
  <c r="F86" i="4"/>
  <c r="D108" i="4"/>
  <c r="E133" i="4"/>
  <c r="C135" i="4"/>
  <c r="E156" i="4"/>
  <c r="C158" i="4"/>
  <c r="F159" i="4"/>
  <c r="C182" i="4"/>
  <c r="F183" i="4"/>
  <c r="C206" i="4"/>
  <c r="F207" i="4"/>
  <c r="D209" i="4"/>
  <c r="F231" i="4"/>
  <c r="D233" i="4"/>
  <c r="G234" i="4"/>
  <c r="D257" i="4"/>
  <c r="G258" i="4"/>
  <c r="D281" i="4"/>
  <c r="G282" i="4"/>
  <c r="E284" i="4"/>
  <c r="G305" i="4"/>
  <c r="E331" i="4"/>
  <c r="C333" i="4"/>
  <c r="E355" i="4"/>
  <c r="F358" i="4"/>
  <c r="C381" i="4"/>
  <c r="C405" i="4"/>
  <c r="F406" i="4"/>
  <c r="D408" i="4"/>
  <c r="D85" i="4"/>
  <c r="E108" i="4"/>
  <c r="C132" i="4"/>
  <c r="F133" i="4"/>
  <c r="D135" i="4"/>
  <c r="F156" i="4"/>
  <c r="G159" i="4"/>
  <c r="D182" i="4"/>
  <c r="D206" i="4"/>
  <c r="G207" i="4"/>
  <c r="E209" i="4"/>
  <c r="G231" i="4"/>
  <c r="E257" i="4"/>
  <c r="C259" i="4"/>
  <c r="E281" i="4"/>
  <c r="F284" i="4"/>
  <c r="C306" i="4"/>
  <c r="C330" i="4"/>
  <c r="F331" i="4"/>
  <c r="D333" i="4"/>
  <c r="F355" i="4"/>
  <c r="G358" i="4"/>
  <c r="D381" i="4"/>
  <c r="D405" i="4"/>
  <c r="G406" i="4"/>
  <c r="E408" i="4"/>
  <c r="C87" i="4"/>
  <c r="F108" i="4"/>
  <c r="E135" i="4"/>
  <c r="C184" i="4"/>
  <c r="F209" i="4"/>
  <c r="D259" i="4"/>
  <c r="G284" i="4"/>
  <c r="E333" i="4"/>
  <c r="C383" i="4"/>
  <c r="F408" i="4"/>
  <c r="C84" i="4"/>
  <c r="G108" i="4"/>
  <c r="D84" i="3"/>
  <c r="G85" i="3"/>
  <c r="D109" i="3"/>
  <c r="D111" i="3"/>
  <c r="F132" i="3"/>
  <c r="D134" i="3"/>
  <c r="D157" i="3"/>
  <c r="G158" i="3"/>
  <c r="D181" i="3"/>
  <c r="G182" i="3"/>
  <c r="G206" i="3"/>
  <c r="E208" i="3"/>
  <c r="E232" i="3"/>
  <c r="E256" i="3"/>
  <c r="C258" i="3"/>
  <c r="C282" i="3"/>
  <c r="F283" i="3"/>
  <c r="C305" i="3"/>
  <c r="F306" i="3"/>
  <c r="F330" i="3"/>
  <c r="D332" i="3"/>
  <c r="D356" i="3"/>
  <c r="G357" i="3"/>
  <c r="D380" i="3"/>
  <c r="G381" i="3"/>
  <c r="G405" i="3"/>
  <c r="E407" i="3"/>
  <c r="E109" i="3"/>
  <c r="E111" i="3"/>
  <c r="E157" i="3"/>
  <c r="C207" i="3"/>
  <c r="F232" i="3"/>
  <c r="D282" i="3"/>
  <c r="G306" i="3"/>
  <c r="E356" i="3"/>
  <c r="C406" i="3"/>
  <c r="F84" i="3"/>
  <c r="D86" i="3"/>
  <c r="G87" i="3"/>
  <c r="F109" i="3"/>
  <c r="C133" i="3"/>
  <c r="F134" i="3"/>
  <c r="C156" i="3"/>
  <c r="F157" i="3"/>
  <c r="D159" i="3"/>
  <c r="F181" i="3"/>
  <c r="D183" i="3"/>
  <c r="G184" i="3"/>
  <c r="D207" i="3"/>
  <c r="G208" i="3"/>
  <c r="D231" i="3"/>
  <c r="G232" i="3"/>
  <c r="E234" i="3"/>
  <c r="G256" i="3"/>
  <c r="E258" i="3"/>
  <c r="E282" i="3"/>
  <c r="C284" i="3"/>
  <c r="E305" i="3"/>
  <c r="C307" i="3"/>
  <c r="F308" i="3"/>
  <c r="C331" i="3"/>
  <c r="F332" i="3"/>
  <c r="C355" i="3"/>
  <c r="F356" i="3"/>
  <c r="D358" i="3"/>
  <c r="F380" i="3"/>
  <c r="D382" i="3"/>
  <c r="G383" i="3"/>
  <c r="D406" i="3"/>
  <c r="G407" i="3"/>
  <c r="G109" i="3"/>
  <c r="D133" i="3"/>
  <c r="D156" i="3"/>
  <c r="G157" i="3"/>
  <c r="E159" i="3"/>
  <c r="G181" i="3"/>
  <c r="E207" i="3"/>
  <c r="C209" i="3"/>
  <c r="E231" i="3"/>
  <c r="F234" i="3"/>
  <c r="C257" i="3"/>
  <c r="C281" i="3"/>
  <c r="F282" i="3"/>
  <c r="D284" i="3"/>
  <c r="F305" i="3"/>
  <c r="G308" i="3"/>
  <c r="D331" i="3"/>
  <c r="D355" i="3"/>
  <c r="G356" i="3"/>
  <c r="E358" i="3"/>
  <c r="G380" i="3"/>
  <c r="E406" i="3"/>
  <c r="C408" i="3"/>
  <c r="G84" i="3"/>
  <c r="C85" i="3"/>
  <c r="D108" i="3"/>
  <c r="C135" i="3"/>
  <c r="E156" i="3"/>
  <c r="C206" i="3"/>
  <c r="F231" i="3"/>
  <c r="D281" i="3"/>
  <c r="G305" i="3"/>
  <c r="E355" i="3"/>
  <c r="C405" i="3"/>
  <c r="E108" i="3"/>
  <c r="C406" i="1"/>
  <c r="D406" i="1"/>
  <c r="E406" i="1"/>
  <c r="F406" i="1"/>
  <c r="G406" i="1"/>
  <c r="C407" i="1"/>
  <c r="D407" i="1"/>
  <c r="E407" i="1"/>
  <c r="F407" i="1"/>
  <c r="G407" i="1"/>
  <c r="C408" i="1"/>
  <c r="D408" i="1"/>
  <c r="E408" i="1"/>
  <c r="F408" i="1"/>
  <c r="G408" i="1"/>
  <c r="D405" i="1"/>
  <c r="E405" i="1"/>
  <c r="F405" i="1"/>
  <c r="G405" i="1"/>
  <c r="C405" i="1"/>
  <c r="G403" i="1"/>
  <c r="F403" i="1"/>
  <c r="E403" i="1"/>
  <c r="D403" i="1"/>
  <c r="C403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0" i="1"/>
  <c r="E380" i="1"/>
  <c r="F380" i="1"/>
  <c r="G380" i="1"/>
  <c r="C381" i="1"/>
  <c r="C382" i="1"/>
  <c r="C383" i="1"/>
  <c r="C380" i="1"/>
  <c r="G378" i="1"/>
  <c r="F378" i="1"/>
  <c r="E378" i="1"/>
  <c r="D378" i="1"/>
  <c r="C378" i="1"/>
  <c r="E356" i="1"/>
  <c r="F356" i="1"/>
  <c r="G356" i="1"/>
  <c r="E357" i="1"/>
  <c r="F357" i="1"/>
  <c r="G357" i="1"/>
  <c r="E358" i="1"/>
  <c r="F358" i="1"/>
  <c r="G358" i="1"/>
  <c r="D356" i="1"/>
  <c r="D357" i="1"/>
  <c r="D358" i="1"/>
  <c r="D355" i="1"/>
  <c r="E355" i="1"/>
  <c r="F355" i="1"/>
  <c r="G355" i="1"/>
  <c r="C356" i="1"/>
  <c r="C357" i="1"/>
  <c r="C358" i="1"/>
  <c r="C355" i="1"/>
  <c r="G353" i="1"/>
  <c r="F353" i="1"/>
  <c r="E353" i="1"/>
  <c r="D353" i="1"/>
  <c r="C353" i="1"/>
  <c r="D331" i="1"/>
  <c r="E331" i="1"/>
  <c r="F331" i="1"/>
  <c r="G331" i="1"/>
  <c r="D332" i="1"/>
  <c r="E332" i="1"/>
  <c r="F332" i="1"/>
  <c r="G332" i="1"/>
  <c r="D333" i="1"/>
  <c r="E333" i="1"/>
  <c r="F333" i="1"/>
  <c r="G333" i="1"/>
  <c r="D330" i="1"/>
  <c r="E330" i="1"/>
  <c r="F330" i="1"/>
  <c r="G330" i="1"/>
  <c r="C331" i="1"/>
  <c r="C332" i="1"/>
  <c r="C333" i="1"/>
  <c r="C330" i="1"/>
  <c r="G328" i="1"/>
  <c r="F328" i="1"/>
  <c r="E328" i="1"/>
  <c r="D328" i="1"/>
  <c r="C328" i="1"/>
  <c r="E306" i="1"/>
  <c r="F306" i="1"/>
  <c r="G306" i="1"/>
  <c r="E307" i="1"/>
  <c r="F307" i="1"/>
  <c r="G307" i="1"/>
  <c r="E308" i="1"/>
  <c r="F308" i="1"/>
  <c r="G308" i="1"/>
  <c r="D306" i="1"/>
  <c r="D307" i="1"/>
  <c r="D308" i="1"/>
  <c r="D305" i="1"/>
  <c r="E305" i="1"/>
  <c r="F305" i="1"/>
  <c r="G305" i="1"/>
  <c r="C306" i="1"/>
  <c r="C307" i="1"/>
  <c r="C308" i="1"/>
  <c r="C305" i="1"/>
  <c r="G303" i="1"/>
  <c r="F303" i="1"/>
  <c r="E303" i="1"/>
  <c r="D303" i="1"/>
  <c r="C303" i="1"/>
  <c r="G282" i="1"/>
  <c r="G283" i="1"/>
  <c r="G284" i="1"/>
  <c r="F282" i="1"/>
  <c r="F283" i="1"/>
  <c r="F284" i="1"/>
  <c r="E282" i="1"/>
  <c r="E283" i="1"/>
  <c r="E284" i="1"/>
  <c r="D282" i="1"/>
  <c r="D283" i="1"/>
  <c r="D284" i="1"/>
  <c r="D281" i="1"/>
  <c r="E281" i="1"/>
  <c r="F281" i="1"/>
  <c r="G281" i="1"/>
  <c r="C282" i="1"/>
  <c r="C283" i="1"/>
  <c r="C284" i="1"/>
  <c r="C281" i="1"/>
  <c r="G279" i="1"/>
  <c r="F279" i="1"/>
  <c r="E279" i="1"/>
  <c r="D279" i="1"/>
  <c r="C279" i="1"/>
  <c r="G257" i="1"/>
  <c r="G258" i="1"/>
  <c r="G259" i="1"/>
  <c r="F257" i="1"/>
  <c r="F258" i="1"/>
  <c r="F259" i="1"/>
  <c r="E257" i="1"/>
  <c r="E258" i="1"/>
  <c r="E259" i="1"/>
  <c r="D257" i="1"/>
  <c r="D258" i="1"/>
  <c r="D259" i="1"/>
  <c r="D256" i="1"/>
  <c r="E256" i="1"/>
  <c r="F256" i="1"/>
  <c r="G256" i="1"/>
  <c r="C257" i="1"/>
  <c r="C258" i="1"/>
  <c r="C259" i="1"/>
  <c r="C256" i="1"/>
  <c r="G254" i="1"/>
  <c r="F254" i="1"/>
  <c r="E254" i="1"/>
  <c r="D254" i="1"/>
  <c r="C254" i="1"/>
  <c r="D232" i="1"/>
  <c r="E232" i="1"/>
  <c r="F232" i="1"/>
  <c r="G232" i="1"/>
  <c r="D233" i="1"/>
  <c r="E233" i="1"/>
  <c r="F233" i="1"/>
  <c r="G233" i="1"/>
  <c r="D234" i="1"/>
  <c r="E234" i="1"/>
  <c r="F234" i="1"/>
  <c r="G234" i="1"/>
  <c r="D231" i="1"/>
  <c r="E231" i="1"/>
  <c r="F231" i="1"/>
  <c r="G231" i="1"/>
  <c r="C232" i="1"/>
  <c r="C233" i="1"/>
  <c r="C234" i="1"/>
  <c r="C231" i="1"/>
  <c r="G229" i="1"/>
  <c r="F229" i="1"/>
  <c r="E229" i="1"/>
  <c r="D229" i="1"/>
  <c r="C229" i="1"/>
  <c r="D207" i="1"/>
  <c r="G207" i="1"/>
  <c r="E208" i="1"/>
  <c r="G208" i="1"/>
  <c r="G209" i="1"/>
  <c r="E206" i="1"/>
  <c r="G206" i="1"/>
  <c r="G204" i="1"/>
  <c r="F204" i="1"/>
  <c r="F207" i="1" s="1"/>
  <c r="E204" i="1"/>
  <c r="E207" i="1" s="1"/>
  <c r="D204" i="1"/>
  <c r="D209" i="1" s="1"/>
  <c r="C204" i="1"/>
  <c r="C207" i="1" s="1"/>
  <c r="G184" i="1"/>
  <c r="C183" i="1"/>
  <c r="C181" i="1"/>
  <c r="G179" i="1"/>
  <c r="G182" i="1" s="1"/>
  <c r="F179" i="1"/>
  <c r="F182" i="1" s="1"/>
  <c r="E179" i="1"/>
  <c r="E183" i="1" s="1"/>
  <c r="D179" i="1"/>
  <c r="D182" i="1" s="1"/>
  <c r="C179" i="1"/>
  <c r="C182" i="1" s="1"/>
  <c r="F156" i="1"/>
  <c r="G154" i="1"/>
  <c r="G157" i="1" s="1"/>
  <c r="F154" i="1"/>
  <c r="F157" i="1" s="1"/>
  <c r="E154" i="1"/>
  <c r="E159" i="1" s="1"/>
  <c r="D154" i="1"/>
  <c r="D159" i="1" s="1"/>
  <c r="C154" i="1"/>
  <c r="C156" i="1" s="1"/>
  <c r="F206" i="1" l="1"/>
  <c r="F208" i="1"/>
  <c r="D206" i="1"/>
  <c r="D208" i="1"/>
  <c r="E184" i="1"/>
  <c r="C208" i="1"/>
  <c r="F209" i="1"/>
  <c r="C206" i="1"/>
  <c r="C209" i="1"/>
  <c r="E182" i="1"/>
  <c r="E209" i="1"/>
  <c r="G181" i="1"/>
  <c r="G183" i="1"/>
  <c r="G159" i="1"/>
  <c r="F181" i="1"/>
  <c r="F183" i="1"/>
  <c r="G156" i="1"/>
  <c r="C159" i="1"/>
  <c r="E181" i="1"/>
  <c r="G158" i="1"/>
  <c r="D181" i="1"/>
  <c r="D183" i="1"/>
  <c r="D158" i="1"/>
  <c r="E157" i="1"/>
  <c r="C184" i="1"/>
  <c r="F184" i="1"/>
  <c r="D157" i="1"/>
  <c r="D184" i="1"/>
  <c r="E156" i="1"/>
  <c r="F158" i="1"/>
  <c r="C157" i="1"/>
  <c r="D156" i="1"/>
  <c r="E158" i="1"/>
  <c r="F159" i="1"/>
  <c r="C158" i="1"/>
  <c r="C134" i="1"/>
  <c r="G135" i="1"/>
  <c r="D132" i="1"/>
  <c r="G130" i="1"/>
  <c r="G133" i="1" s="1"/>
  <c r="F130" i="1"/>
  <c r="F133" i="1" s="1"/>
  <c r="E130" i="1"/>
  <c r="E132" i="1" s="1"/>
  <c r="D130" i="1"/>
  <c r="D133" i="1" s="1"/>
  <c r="C130" i="1"/>
  <c r="E109" i="1"/>
  <c r="G106" i="1"/>
  <c r="G109" i="1" s="1"/>
  <c r="F106" i="1"/>
  <c r="F109" i="1" s="1"/>
  <c r="E106" i="1"/>
  <c r="E108" i="1" s="1"/>
  <c r="D106" i="1"/>
  <c r="D111" i="1" s="1"/>
  <c r="C106" i="1"/>
  <c r="C86" i="1"/>
  <c r="C87" i="1"/>
  <c r="C84" i="1"/>
  <c r="G82" i="1"/>
  <c r="G85" i="1" s="1"/>
  <c r="F82" i="1"/>
  <c r="F87" i="1" s="1"/>
  <c r="E82" i="1"/>
  <c r="E87" i="1" s="1"/>
  <c r="D82" i="1"/>
  <c r="D86" i="1" s="1"/>
  <c r="C82" i="1"/>
  <c r="C133" i="1" s="1"/>
  <c r="E133" i="1" l="1"/>
  <c r="C135" i="1"/>
  <c r="F135" i="1"/>
  <c r="F84" i="1"/>
  <c r="E135" i="1"/>
  <c r="D135" i="1"/>
  <c r="D85" i="1"/>
  <c r="D134" i="1"/>
  <c r="G134" i="1"/>
  <c r="E86" i="1"/>
  <c r="D110" i="1"/>
  <c r="G132" i="1"/>
  <c r="E134" i="1"/>
  <c r="F86" i="1"/>
  <c r="D109" i="1"/>
  <c r="C132" i="1"/>
  <c r="F132" i="1"/>
  <c r="F134" i="1"/>
  <c r="F85" i="1"/>
  <c r="E110" i="1"/>
  <c r="D84" i="1"/>
  <c r="D87" i="1"/>
  <c r="E85" i="1"/>
  <c r="D108" i="1"/>
  <c r="F111" i="1"/>
  <c r="G84" i="1"/>
  <c r="G111" i="1"/>
  <c r="E111" i="1"/>
  <c r="G110" i="1"/>
  <c r="F110" i="1"/>
  <c r="G87" i="1"/>
  <c r="G108" i="1"/>
  <c r="E84" i="1"/>
  <c r="G86" i="1"/>
  <c r="F108" i="1"/>
  <c r="C85" i="1"/>
  <c r="G399" i="1" l="1"/>
  <c r="F399" i="1"/>
  <c r="E399" i="1"/>
  <c r="D399" i="1"/>
  <c r="G398" i="1"/>
  <c r="F398" i="1"/>
  <c r="E398" i="1"/>
  <c r="E401" i="1" s="1"/>
  <c r="D398" i="1"/>
  <c r="G374" i="1"/>
  <c r="F374" i="1"/>
  <c r="E374" i="1"/>
  <c r="D374" i="1"/>
  <c r="G373" i="1"/>
  <c r="F373" i="1"/>
  <c r="E373" i="1"/>
  <c r="D373" i="1"/>
  <c r="G349" i="1"/>
  <c r="F349" i="1"/>
  <c r="E349" i="1"/>
  <c r="D349" i="1"/>
  <c r="G348" i="1"/>
  <c r="F348" i="1"/>
  <c r="E348" i="1"/>
  <c r="D348" i="1"/>
  <c r="D351" i="1" s="1"/>
  <c r="G324" i="1"/>
  <c r="F324" i="1"/>
  <c r="E324" i="1"/>
  <c r="D324" i="1"/>
  <c r="G323" i="1"/>
  <c r="F323" i="1"/>
  <c r="E323" i="1"/>
  <c r="D323" i="1"/>
  <c r="G299" i="1"/>
  <c r="F299" i="1"/>
  <c r="E299" i="1"/>
  <c r="D299" i="1"/>
  <c r="G298" i="1"/>
  <c r="F298" i="1"/>
  <c r="E298" i="1"/>
  <c r="E301" i="1" s="1"/>
  <c r="D298" i="1"/>
  <c r="G275" i="1"/>
  <c r="F275" i="1"/>
  <c r="E275" i="1"/>
  <c r="D275" i="1"/>
  <c r="G274" i="1"/>
  <c r="F274" i="1"/>
  <c r="E274" i="1"/>
  <c r="D274" i="1"/>
  <c r="G250" i="1"/>
  <c r="F250" i="1"/>
  <c r="E250" i="1"/>
  <c r="D250" i="1"/>
  <c r="G249" i="1"/>
  <c r="F249" i="1"/>
  <c r="E249" i="1"/>
  <c r="D249" i="1"/>
  <c r="G225" i="1"/>
  <c r="F225" i="1"/>
  <c r="E225" i="1"/>
  <c r="D225" i="1"/>
  <c r="G224" i="1"/>
  <c r="F224" i="1"/>
  <c r="E224" i="1"/>
  <c r="E227" i="1" s="1"/>
  <c r="D224" i="1"/>
  <c r="G200" i="1"/>
  <c r="F200" i="1"/>
  <c r="E200" i="1"/>
  <c r="D200" i="1"/>
  <c r="G199" i="1"/>
  <c r="F199" i="1"/>
  <c r="E199" i="1"/>
  <c r="E202" i="1" s="1"/>
  <c r="D199" i="1"/>
  <c r="G175" i="1"/>
  <c r="F175" i="1"/>
  <c r="E175" i="1"/>
  <c r="D175" i="1"/>
  <c r="G174" i="1"/>
  <c r="G177" i="1" s="1"/>
  <c r="F174" i="1"/>
  <c r="E174" i="1"/>
  <c r="E177" i="1" s="1"/>
  <c r="D174" i="1"/>
  <c r="G150" i="1"/>
  <c r="F150" i="1"/>
  <c r="E150" i="1"/>
  <c r="D150" i="1"/>
  <c r="G149" i="1"/>
  <c r="G152" i="1" s="1"/>
  <c r="F149" i="1"/>
  <c r="E149" i="1"/>
  <c r="E152" i="1" s="1"/>
  <c r="D149" i="1"/>
  <c r="G126" i="1"/>
  <c r="F126" i="1"/>
  <c r="E126" i="1"/>
  <c r="D126" i="1"/>
  <c r="G125" i="1"/>
  <c r="F125" i="1"/>
  <c r="E125" i="1"/>
  <c r="E128" i="1" s="1"/>
  <c r="D125" i="1"/>
  <c r="G102" i="1"/>
  <c r="F102" i="1"/>
  <c r="E102" i="1"/>
  <c r="D102" i="1"/>
  <c r="G101" i="1"/>
  <c r="G104" i="1" s="1"/>
  <c r="F101" i="1"/>
  <c r="E101" i="1"/>
  <c r="E104" i="1" s="1"/>
  <c r="D101" i="1"/>
  <c r="E78" i="1"/>
  <c r="F78" i="1"/>
  <c r="G78" i="1"/>
  <c r="D78" i="1"/>
  <c r="E77" i="1"/>
  <c r="F77" i="1"/>
  <c r="G77" i="1"/>
  <c r="G80" i="1" s="1"/>
  <c r="D77" i="1"/>
  <c r="D376" i="1" l="1"/>
  <c r="E252" i="1"/>
  <c r="E326" i="1"/>
  <c r="E277" i="1"/>
  <c r="E376" i="1"/>
  <c r="E351" i="1"/>
  <c r="G128" i="1"/>
  <c r="F104" i="1"/>
  <c r="F128" i="1"/>
  <c r="F152" i="1"/>
  <c r="F177" i="1"/>
  <c r="F202" i="1"/>
  <c r="F227" i="1"/>
  <c r="F252" i="1"/>
  <c r="F277" i="1"/>
  <c r="F301" i="1"/>
  <c r="F326" i="1"/>
  <c r="F351" i="1"/>
  <c r="F376" i="1"/>
  <c r="F401" i="1"/>
  <c r="F80" i="1"/>
  <c r="G202" i="1"/>
  <c r="G227" i="1"/>
  <c r="G252" i="1"/>
  <c r="G277" i="1"/>
  <c r="G301" i="1"/>
  <c r="G326" i="1"/>
  <c r="G351" i="1"/>
  <c r="G376" i="1"/>
  <c r="G401" i="1"/>
  <c r="D80" i="1"/>
  <c r="D401" i="1"/>
  <c r="D104" i="1"/>
  <c r="D128" i="1"/>
  <c r="D152" i="1"/>
  <c r="D177" i="1"/>
  <c r="D202" i="1"/>
  <c r="D227" i="1"/>
  <c r="D252" i="1"/>
  <c r="D277" i="1"/>
  <c r="D301" i="1"/>
  <c r="D326" i="1"/>
  <c r="E80" i="1"/>
  <c r="E67" i="1"/>
  <c r="F67" i="1"/>
  <c r="G67" i="1"/>
  <c r="D67" i="1"/>
  <c r="E66" i="1"/>
  <c r="F66" i="1"/>
  <c r="G66" i="1"/>
  <c r="D66" i="1"/>
  <c r="D64" i="1"/>
  <c r="D69" i="1" l="1"/>
  <c r="G69" i="1"/>
  <c r="F69" i="1"/>
  <c r="E69" i="1"/>
</calcChain>
</file>

<file path=xl/sharedStrings.xml><?xml version="1.0" encoding="utf-8"?>
<sst xmlns="http://schemas.openxmlformats.org/spreadsheetml/2006/main" count="1575" uniqueCount="44">
  <si>
    <t>sector</t>
  </si>
  <si>
    <t>okved2</t>
  </si>
  <si>
    <t>year</t>
  </si>
  <si>
    <t>VDS_s</t>
  </si>
  <si>
    <t>ITcosts_s</t>
  </si>
  <si>
    <t>skvozcosts_s</t>
  </si>
  <si>
    <t>trainingcosts_s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</si>
  <si>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</si>
  <si>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>16</t>
  </si>
  <si>
    <t>Производство бумаги и бумажных изделий</t>
  </si>
  <si>
    <t>17</t>
  </si>
  <si>
    <t>Деятельность полиграфическая и копирование носителей информации</t>
  </si>
  <si>
    <t>18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</si>
  <si>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</si>
  <si>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</si>
  <si>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</si>
  <si>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</si>
  <si>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</t>
  </si>
  <si>
    <t>21</t>
  </si>
  <si>
    <t xml:space="preserve"> 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</si>
  <si>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</si>
  <si>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</si>
  <si>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</si>
  <si>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 xml:space="preserve"> 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</si>
  <si>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</si>
  <si>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</si>
  <si>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</si>
  <si>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</si>
  <si>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</si>
  <si>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</si>
  <si>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</si>
  <si>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</si>
  <si>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</si>
  <si>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 xml:space="preserve"> Производство автотранспортных средств, прицепов и полуприцепов</t>
  </si>
  <si>
    <t>29</t>
  </si>
  <si>
    <t>Производство прочих транспортных средств и оборудования</t>
  </si>
  <si>
    <t>30</t>
  </si>
  <si>
    <t>Ремонт и монтаж машин и оборудования</t>
  </si>
  <si>
    <t>33</t>
  </si>
  <si>
    <t>медиана ВДС:</t>
  </si>
  <si>
    <t>верхний кластер:</t>
  </si>
  <si>
    <t>нижний кластер:</t>
  </si>
  <si>
    <t>разница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</si>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</sst>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3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49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A5-4E9B-8E97-537E0DDE442D}"/>
            </c:ext>
          </c:extLst>
        </c:ser>
        <c:ser>
          <c:idx val="1"/>
          <c:order val="1"/>
          <c:tx>
            <c:strRef>
              <c:f>Original!$C$115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Original!$D$115:$G$115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0.69349389168532172</c:v>
                </c:pt>
                <c:pt idx="3">
                  <c:v>0.69264368962158107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A5-4E9B-8E97-537E0DDE442D}"/>
            </c:ext>
          </c:extLst>
        </c:ser>
        <c:ser>
          <c:idx val="2"/>
          <c:order val="2"/>
          <c:tx>
            <c:strRef>
              <c:f>Original!$C$116</c:f>
              <c:strCache>
                <c:ptCount val="1"/>
                <c:pt idx="0">
                  <c:v>0,95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Original!$D$116:$G$116</c:f>
              <c:numCache>
                <c:formatCode>General</c:formatCode>
                <c:ptCount val="4"/>
                <c:pt idx="0">
                  <c:v>0.25</c:v>
                </c:pt>
                <c:pt idx="1">
                  <c:v>0.89946875449908048</c:v>
                </c:pt>
                <c:pt idx="2">
                  <c:v>6.8808076937736939E-3</c:v>
                </c:pt>
                <c:pt idx="3">
                  <c:v>0.57193601331565147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A5-4E9B-8E97-537E0DDE442D}"/>
            </c:ext>
          </c:extLst>
        </c:ser>
        <c:ser>
          <c:idx val="3"/>
          <c:order val="3"/>
          <c:tx>
            <c:strRef>
              <c:f>Original!$C$117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A5-4E9B-8E97-537E0DDE4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63-4778-9FE4-27A25304FFCB}"/>
            </c:ext>
          </c:extLst>
        </c:ser>
        <c:ser>
          <c:idx val="1"/>
          <c:order val="1"/>
          <c:tx>
            <c:strRef>
              <c:f>Original!$C$139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Original!$D$139:$G$139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9.8380185016176708E-2</c:v>
                </c:pt>
                <c:pt idx="3">
                  <c:v>0.12267657460088674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63-4778-9FE4-27A25304FFCB}"/>
            </c:ext>
          </c:extLst>
        </c:ser>
        <c:ser>
          <c:idx val="2"/>
          <c:order val="2"/>
          <c:tx>
            <c:strRef>
              <c:f>Original!$C$140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Original!$D$140:$G$140</c:f>
              <c:numCache>
                <c:formatCode>General</c:formatCode>
                <c:ptCount val="4"/>
                <c:pt idx="0">
                  <c:v>0.25</c:v>
                </c:pt>
                <c:pt idx="1">
                  <c:v>0.6990904820453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63-4778-9FE4-27A25304FFCB}"/>
            </c:ext>
          </c:extLst>
        </c:ser>
        <c:ser>
          <c:idx val="3"/>
          <c:order val="3"/>
          <c:tx>
            <c:strRef>
              <c:f>Original!$C$141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63-4778-9FE4-27A25304F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Original!$C$90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71-415F-8913-10F086746BF9}"/>
            </c:ext>
          </c:extLst>
        </c:ser>
        <c:ser>
          <c:idx val="1"/>
          <c:order val="1"/>
          <c:tx>
            <c:strRef>
              <c:f>Original!$C$91</c:f>
              <c:strCache>
                <c:ptCount val="1"/>
                <c:pt idx="0">
                  <c:v>0,63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Original!$D$91:$G$91</c:f>
              <c:numCache>
                <c:formatCode>General</c:formatCode>
                <c:ptCount val="4"/>
                <c:pt idx="0">
                  <c:v>1</c:v>
                </c:pt>
                <c:pt idx="1">
                  <c:v>0.7323973572762863</c:v>
                </c:pt>
                <c:pt idx="2">
                  <c:v>0.9611546957323327</c:v>
                </c:pt>
                <c:pt idx="3">
                  <c:v>0.83771179639168136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1-415F-8913-10F086746BF9}"/>
            </c:ext>
          </c:extLst>
        </c:ser>
        <c:ser>
          <c:idx val="2"/>
          <c:order val="2"/>
          <c:tx>
            <c:strRef>
              <c:f>Original!$C$92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Original!$D$92:$G$92</c:f>
              <c:numCache>
                <c:formatCode>General</c:formatCode>
                <c:ptCount val="4"/>
                <c:pt idx="0">
                  <c:v>0.5</c:v>
                </c:pt>
                <c:pt idx="1">
                  <c:v>0.90624842311195075</c:v>
                </c:pt>
                <c:pt idx="2">
                  <c:v>1</c:v>
                </c:pt>
                <c:pt idx="3">
                  <c:v>0.67809276193519175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71-415F-8913-10F086746BF9}"/>
            </c:ext>
          </c:extLst>
        </c:ser>
        <c:ser>
          <c:idx val="3"/>
          <c:order val="3"/>
          <c:tx>
            <c:strRef>
              <c:f>Original!$C$93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71-415F-8913-10F086746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0F-4F8D-AC05-3D09D7670AA8}"/>
            </c:ext>
          </c:extLst>
        </c:ser>
        <c:ser>
          <c:idx val="1"/>
          <c:order val="1"/>
          <c:tx>
            <c:strRef>
              <c:f>Original!$C$163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Original!$D$163:$G$163</c:f>
              <c:numCache>
                <c:formatCode>General</c:formatCode>
                <c:ptCount val="4"/>
                <c:pt idx="0">
                  <c:v>1</c:v>
                </c:pt>
                <c:pt idx="1">
                  <c:v>0.41206046529013679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0F-4F8D-AC05-3D09D7670AA8}"/>
            </c:ext>
          </c:extLst>
        </c:ser>
        <c:ser>
          <c:idx val="2"/>
          <c:order val="2"/>
          <c:tx>
            <c:strRef>
              <c:f>Original!$C$164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Original!$D$164:$G$164</c:f>
              <c:numCache>
                <c:formatCode>General</c:formatCode>
                <c:ptCount val="4"/>
                <c:pt idx="0">
                  <c:v>0.5</c:v>
                </c:pt>
                <c:pt idx="1">
                  <c:v>0.81775074479663545</c:v>
                </c:pt>
                <c:pt idx="2">
                  <c:v>0.16841816116249414</c:v>
                </c:pt>
                <c:pt idx="3">
                  <c:v>0.2231587693238945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0F-4F8D-AC05-3D09D7670AA8}"/>
            </c:ext>
          </c:extLst>
        </c:ser>
        <c:ser>
          <c:idx val="3"/>
          <c:order val="3"/>
          <c:tx>
            <c:strRef>
              <c:f>Original!$C$165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0F-4F8D-AC05-3D09D7670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Original!$C$187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Original!$D$187:$G$187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9F-4858-8BA9-3C15FA8DE333}"/>
            </c:ext>
          </c:extLst>
        </c:ser>
        <c:ser>
          <c:idx val="1"/>
          <c:order val="1"/>
          <c:tx>
            <c:strRef>
              <c:f>Original!$C$188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Original!$D$188:$G$188</c:f>
              <c:numCache>
                <c:formatCode>General</c:formatCode>
                <c:ptCount val="4"/>
                <c:pt idx="0">
                  <c:v>1</c:v>
                </c:pt>
                <c:pt idx="1">
                  <c:v>0.85797673286669429</c:v>
                </c:pt>
                <c:pt idx="2">
                  <c:v>0.47087156881956077</c:v>
                </c:pt>
                <c:pt idx="3">
                  <c:v>0.23502662946404326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9F-4858-8BA9-3C15FA8DE333}"/>
            </c:ext>
          </c:extLst>
        </c:ser>
        <c:ser>
          <c:idx val="2"/>
          <c:order val="2"/>
          <c:tx>
            <c:strRef>
              <c:f>Original!$C$189</c:f>
              <c:strCache>
                <c:ptCount val="1"/>
                <c:pt idx="0">
                  <c:v>0,99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Original!$D$189:$G$189</c:f>
              <c:numCache>
                <c:formatCode>General</c:formatCode>
                <c:ptCount val="4"/>
                <c:pt idx="0">
                  <c:v>0.75</c:v>
                </c:pt>
                <c:pt idx="1">
                  <c:v>0.796663690136446</c:v>
                </c:pt>
                <c:pt idx="2">
                  <c:v>0.67318011860480464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9F-4858-8BA9-3C15FA8DE333}"/>
            </c:ext>
          </c:extLst>
        </c:ser>
        <c:ser>
          <c:idx val="3"/>
          <c:order val="3"/>
          <c:tx>
            <c:strRef>
              <c:f>Original!$C$190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49F-4858-8BA9-3C15FA8DE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Original!$C$212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Original!$D$212:$G$212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4-44A8-8AF2-ED328A8EDF5D}"/>
            </c:ext>
          </c:extLst>
        </c:ser>
        <c:ser>
          <c:idx val="1"/>
          <c:order val="1"/>
          <c:tx>
            <c:strRef>
              <c:f>Original!$C$213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Original!$D$213:$G$213</c:f>
              <c:numCache>
                <c:formatCode>General</c:formatCode>
                <c:ptCount val="4"/>
                <c:pt idx="0">
                  <c:v>0.75</c:v>
                </c:pt>
                <c:pt idx="1">
                  <c:v>0.79597731535177796</c:v>
                </c:pt>
                <c:pt idx="2">
                  <c:v>8.5628869020468137E-2</c:v>
                </c:pt>
                <c:pt idx="3">
                  <c:v>0.57331026854314004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54-44A8-8AF2-ED328A8EDF5D}"/>
            </c:ext>
          </c:extLst>
        </c:ser>
        <c:ser>
          <c:idx val="2"/>
          <c:order val="2"/>
          <c:tx>
            <c:strRef>
              <c:f>Original!$C$214</c:f>
              <c:strCache>
                <c:ptCount val="1"/>
                <c:pt idx="0">
                  <c:v>0,99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Original!$D$214:$G$214</c:f>
              <c:numCache>
                <c:formatCode>General</c:formatCode>
                <c:ptCount val="4"/>
                <c:pt idx="0">
                  <c:v>0.5</c:v>
                </c:pt>
                <c:pt idx="1">
                  <c:v>0.80926420797553855</c:v>
                </c:pt>
                <c:pt idx="2">
                  <c:v>0.11207082497893665</c:v>
                </c:pt>
                <c:pt idx="3">
                  <c:v>0.9038990327846067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54-44A8-8AF2-ED328A8EDF5D}"/>
            </c:ext>
          </c:extLst>
        </c:ser>
        <c:ser>
          <c:idx val="3"/>
          <c:order val="3"/>
          <c:tx>
            <c:strRef>
              <c:f>Original!$C$215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54-44A8-8AF2-ED328A8EDF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Original!$C$237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Original!$D$237:$G$237</c:f>
              <c:numCache>
                <c:formatCode>General</c:formatCode>
                <c:ptCount val="4"/>
                <c:pt idx="0">
                  <c:v>1</c:v>
                </c:pt>
                <c:pt idx="1">
                  <c:v>0.65484380022836186</c:v>
                </c:pt>
                <c:pt idx="2">
                  <c:v>1</c:v>
                </c:pt>
                <c:pt idx="3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E3-45BE-A17F-60DCD1D0305A}"/>
            </c:ext>
          </c:extLst>
        </c:ser>
        <c:ser>
          <c:idx val="1"/>
          <c:order val="1"/>
          <c:tx>
            <c:strRef>
              <c:f>Original!$C$238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Original!$D$238:$G$238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0.67725490625943618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E3-45BE-A17F-60DCD1D0305A}"/>
            </c:ext>
          </c:extLst>
        </c:ser>
        <c:ser>
          <c:idx val="2"/>
          <c:order val="2"/>
          <c:tx>
            <c:strRef>
              <c:f>Original!$C$239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Original!$D$239:$G$239</c:f>
              <c:numCache>
                <c:formatCode>General</c:formatCode>
                <c:ptCount val="4"/>
                <c:pt idx="0">
                  <c:v>0.5</c:v>
                </c:pt>
                <c:pt idx="1">
                  <c:v>0.73835805970790658</c:v>
                </c:pt>
                <c:pt idx="2">
                  <c:v>0.84927446007410101</c:v>
                </c:pt>
                <c:pt idx="3">
                  <c:v>0.78959028422057287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E3-45BE-A17F-60DCD1D0305A}"/>
            </c:ext>
          </c:extLst>
        </c:ser>
        <c:ser>
          <c:idx val="3"/>
          <c:order val="3"/>
          <c:tx>
            <c:strRef>
              <c:f>Original!$C$240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E3-45BE-A17F-60DCD1D03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Original!$D$262:$G$262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8-4CAA-8C9D-00FC92E99E95}"/>
            </c:ext>
          </c:extLst>
        </c:ser>
        <c:ser>
          <c:idx val="1"/>
          <c:order val="1"/>
          <c:tx>
            <c:strRef>
              <c:f>Original!$C$263</c:f>
              <c:strCache>
                <c:ptCount val="1"/>
                <c:pt idx="0">
                  <c:v>0,74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Original!$D$263:$G$263</c:f>
              <c:numCache>
                <c:formatCode>General</c:formatCode>
                <c:ptCount val="4"/>
                <c:pt idx="0">
                  <c:v>0.5</c:v>
                </c:pt>
                <c:pt idx="1">
                  <c:v>0.37919583070757845</c:v>
                </c:pt>
                <c:pt idx="2">
                  <c:v>0.24604511227578876</c:v>
                </c:pt>
                <c:pt idx="3">
                  <c:v>5.0333919862687079E-2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78-4CAA-8C9D-00FC92E99E95}"/>
            </c:ext>
          </c:extLst>
        </c:ser>
        <c:ser>
          <c:idx val="2"/>
          <c:order val="2"/>
          <c:tx>
            <c:strRef>
              <c:f>Original!$C$264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Original!$D$264:$G$264</c:f>
              <c:numCache>
                <c:formatCode>General</c:formatCode>
                <c:ptCount val="4"/>
                <c:pt idx="0">
                  <c:v>0.75</c:v>
                </c:pt>
                <c:pt idx="1">
                  <c:v>0.69088738020157991</c:v>
                </c:pt>
                <c:pt idx="2">
                  <c:v>1</c:v>
                </c:pt>
                <c:pt idx="3">
                  <c:v>5.6818716744632944E-2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78-4CAA-8C9D-00FC92E99E95}"/>
            </c:ext>
          </c:extLst>
        </c:ser>
        <c:ser>
          <c:idx val="3"/>
          <c:order val="3"/>
          <c:tx>
            <c:strRef>
              <c:f>Original!$C$265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78-4CAA-8C9D-00FC92E99E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Original!$C$287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Original!$D$287:$G$287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8D-4097-A841-166F110E4769}"/>
            </c:ext>
          </c:extLst>
        </c:ser>
        <c:ser>
          <c:idx val="1"/>
          <c:order val="1"/>
          <c:tx>
            <c:strRef>
              <c:f>Original!$C$288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Original!$D$288:$G$288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2.9773689598128844E-2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8D-4097-A841-166F110E4769}"/>
            </c:ext>
          </c:extLst>
        </c:ser>
        <c:ser>
          <c:idx val="2"/>
          <c:order val="2"/>
          <c:tx>
            <c:strRef>
              <c:f>Original!$C$289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Original!$D$289:$G$289</c:f>
              <c:numCache>
                <c:formatCode>General</c:formatCode>
                <c:ptCount val="4"/>
                <c:pt idx="0">
                  <c:v>0.75</c:v>
                </c:pt>
                <c:pt idx="1">
                  <c:v>0.3535920446884655</c:v>
                </c:pt>
                <c:pt idx="2">
                  <c:v>1</c:v>
                </c:pt>
                <c:pt idx="3">
                  <c:v>0.12486016719718387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8D-4097-A841-166F110E4769}"/>
            </c:ext>
          </c:extLst>
        </c:ser>
        <c:ser>
          <c:idx val="3"/>
          <c:order val="3"/>
          <c:tx>
            <c:strRef>
              <c:f>Original!$C$290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8D-4097-A841-166F110E4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Original!$C$311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Original!$D$311:$G$311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C3-4249-8E82-1F2D0A530EBD}"/>
            </c:ext>
          </c:extLst>
        </c:ser>
        <c:ser>
          <c:idx val="1"/>
          <c:order val="1"/>
          <c:tx>
            <c:strRef>
              <c:f>Original!$C$312</c:f>
              <c:strCache>
                <c:ptCount val="1"/>
                <c:pt idx="0">
                  <c:v>0,78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Original!$D$312:$G$312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5.6622871781342003E-3</c:v>
                </c:pt>
                <c:pt idx="3">
                  <c:v>4.8393846438341249E-2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C3-4249-8E82-1F2D0A530EBD}"/>
            </c:ext>
          </c:extLst>
        </c:ser>
        <c:ser>
          <c:idx val="2"/>
          <c:order val="2"/>
          <c:tx>
            <c:strRef>
              <c:f>Original!$C$313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Original!$D$313:$G$313</c:f>
              <c:numCache>
                <c:formatCode>General</c:formatCode>
                <c:ptCount val="4"/>
                <c:pt idx="0">
                  <c:v>0.75</c:v>
                </c:pt>
                <c:pt idx="1">
                  <c:v>0.11172742372709753</c:v>
                </c:pt>
                <c:pt idx="2">
                  <c:v>1</c:v>
                </c:pt>
                <c:pt idx="3">
                  <c:v>0.5175960410871423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C3-4249-8E82-1F2D0A530EBD}"/>
            </c:ext>
          </c:extLst>
        </c:ser>
        <c:ser>
          <c:idx val="3"/>
          <c:order val="3"/>
          <c:tx>
            <c:strRef>
              <c:f>Original!$C$314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BC3-4249-8E82-1F2D0A530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Original!$C$336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Original!$D$336:$G$336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FD-4083-ADAE-7D16E33DB0FD}"/>
            </c:ext>
          </c:extLst>
        </c:ser>
        <c:ser>
          <c:idx val="1"/>
          <c:order val="1"/>
          <c:tx>
            <c:strRef>
              <c:f>Original!$C$337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Original!$D$337:$G$337</c:f>
              <c:numCache>
                <c:formatCode>General</c:formatCode>
                <c:ptCount val="4"/>
                <c:pt idx="0">
                  <c:v>0.5</c:v>
                </c:pt>
                <c:pt idx="1">
                  <c:v>0.71225562194184977</c:v>
                </c:pt>
                <c:pt idx="2">
                  <c:v>1</c:v>
                </c:pt>
                <c:pt idx="3">
                  <c:v>0.85157128686456229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FD-4083-ADAE-7D16E33DB0FD}"/>
            </c:ext>
          </c:extLst>
        </c:ser>
        <c:ser>
          <c:idx val="2"/>
          <c:order val="2"/>
          <c:tx>
            <c:strRef>
              <c:f>Original!$C$338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Original!$D$338:$G$338</c:f>
              <c:numCache>
                <c:formatCode>General</c:formatCode>
                <c:ptCount val="4"/>
                <c:pt idx="0">
                  <c:v>0.75</c:v>
                </c:pt>
                <c:pt idx="1">
                  <c:v>0.76963868006501046</c:v>
                </c:pt>
                <c:pt idx="2">
                  <c:v>4.6284668188071074E-2</c:v>
                </c:pt>
                <c:pt idx="3">
                  <c:v>0.76611190616225677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FD-4083-ADAE-7D16E33DB0FD}"/>
            </c:ext>
          </c:extLst>
        </c:ser>
        <c:ser>
          <c:idx val="3"/>
          <c:order val="3"/>
          <c:tx>
            <c:strRef>
              <c:f>Original!$C$339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FD-4083-ADAE-7D16E33DB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Original!$C$361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Original!$D$361:$G$361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FB-4B24-BE88-09C62F9BCA5C}"/>
            </c:ext>
          </c:extLst>
        </c:ser>
        <c:ser>
          <c:idx val="1"/>
          <c:order val="1"/>
          <c:tx>
            <c:strRef>
              <c:f>Original!$C$362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Original!$D$362:$G$362</c:f>
              <c:numCache>
                <c:formatCode>General</c:formatCode>
                <c:ptCount val="4"/>
                <c:pt idx="0">
                  <c:v>0.75</c:v>
                </c:pt>
                <c:pt idx="1">
                  <c:v>0.56632037695360282</c:v>
                </c:pt>
                <c:pt idx="2">
                  <c:v>1</c:v>
                </c:pt>
                <c:pt idx="3">
                  <c:v>6.5308363085126067E-2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FB-4B24-BE88-09C62F9BCA5C}"/>
            </c:ext>
          </c:extLst>
        </c:ser>
        <c:ser>
          <c:idx val="2"/>
          <c:order val="2"/>
          <c:tx>
            <c:strRef>
              <c:f>Original!$C$363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Original!$D$363:$G$363</c:f>
              <c:numCache>
                <c:formatCode>General</c:formatCode>
                <c:ptCount val="4"/>
                <c:pt idx="0">
                  <c:v>1</c:v>
                </c:pt>
                <c:pt idx="1">
                  <c:v>0.70371379494052133</c:v>
                </c:pt>
                <c:pt idx="2">
                  <c:v>0.56932678776700363</c:v>
                </c:pt>
                <c:pt idx="3">
                  <c:v>9.1928838540822747E-2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FB-4B24-BE88-09C62F9BCA5C}"/>
            </c:ext>
          </c:extLst>
        </c:ser>
        <c:ser>
          <c:idx val="3"/>
          <c:order val="3"/>
          <c:tx>
            <c:strRef>
              <c:f>Original!$C$364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FB-4B24-BE88-09C62F9BCA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Original!$C$386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Original!$D$386:$G$386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7-4C7C-835D-103550E1DE2C}"/>
            </c:ext>
          </c:extLst>
        </c:ser>
        <c:ser>
          <c:idx val="1"/>
          <c:order val="1"/>
          <c:tx>
            <c:strRef>
              <c:f>Original!$C$387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Original!$D$387:$G$387</c:f>
              <c:numCache>
                <c:formatCode>General</c:formatCode>
                <c:ptCount val="4"/>
                <c:pt idx="0">
                  <c:v>0.25</c:v>
                </c:pt>
                <c:pt idx="1">
                  <c:v>0.7523646986099678</c:v>
                </c:pt>
                <c:pt idx="2">
                  <c:v>0.3774449108145379</c:v>
                </c:pt>
                <c:pt idx="3">
                  <c:v>0.30132523711798664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37-4C7C-835D-103550E1DE2C}"/>
            </c:ext>
          </c:extLst>
        </c:ser>
        <c:ser>
          <c:idx val="2"/>
          <c:order val="2"/>
          <c:tx>
            <c:strRef>
              <c:f>Original!$C$388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Original!$D$388:$G$388</c:f>
              <c:numCache>
                <c:formatCode>General</c:formatCode>
                <c:ptCount val="4"/>
                <c:pt idx="0">
                  <c:v>0.75</c:v>
                </c:pt>
                <c:pt idx="1">
                  <c:v>0.77922377807369358</c:v>
                </c:pt>
                <c:pt idx="2">
                  <c:v>0.61353278893537189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37-4C7C-835D-103550E1DE2C}"/>
            </c:ext>
          </c:extLst>
        </c:ser>
        <c:ser>
          <c:idx val="3"/>
          <c:order val="3"/>
          <c:tx>
            <c:strRef>
              <c:f>Original!$C$389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37-4C7C-835D-103550E1D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Original!$C$411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Original!$D$411:$G$411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E7-4395-826B-1310EB1B4BE1}"/>
            </c:ext>
          </c:extLst>
        </c:ser>
        <c:ser>
          <c:idx val="1"/>
          <c:order val="1"/>
          <c:tx>
            <c:strRef>
              <c:f>Original!$C$412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Original!$D$412:$G$412</c:f>
              <c:numCache>
                <c:formatCode>General</c:formatCode>
                <c:ptCount val="4"/>
                <c:pt idx="0">
                  <c:v>0.5</c:v>
                </c:pt>
                <c:pt idx="1">
                  <c:v>0.97040124302407327</c:v>
                </c:pt>
                <c:pt idx="2">
                  <c:v>1</c:v>
                </c:pt>
                <c:pt idx="3">
                  <c:v>0.24509363334584758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E7-4395-826B-1310EB1B4BE1}"/>
            </c:ext>
          </c:extLst>
        </c:ser>
        <c:ser>
          <c:idx val="2"/>
          <c:order val="2"/>
          <c:tx>
            <c:strRef>
              <c:f>Original!$C$413</c:f>
              <c:strCache>
                <c:ptCount val="1"/>
                <c:pt idx="0">
                  <c:v>0,97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Original!$D$413:$G$413</c:f>
              <c:numCache>
                <c:formatCode>General</c:formatCode>
                <c:ptCount val="4"/>
                <c:pt idx="0">
                  <c:v>0.75</c:v>
                </c:pt>
                <c:pt idx="1">
                  <c:v>0.85740560595251925</c:v>
                </c:pt>
                <c:pt idx="2">
                  <c:v>0.20244584155725229</c:v>
                </c:pt>
                <c:pt idx="3">
                  <c:v>0.60234739389415504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E7-4395-826B-1310EB1B4BE1}"/>
            </c:ext>
          </c:extLst>
        </c:ser>
        <c:ser>
          <c:idx val="3"/>
          <c:order val="3"/>
          <c:tx>
            <c:strRef>
              <c:f>Original!$C$414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E7-4395-826B-1310EB1B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19-4F7D-B89E-F819E8ECCA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F3-4B0A-B88E-EC4A9DBDF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'Only best'!$D$89:$G$89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14-45B4-BD24-0B2701E5CB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9-421F-A0F7-0AEAB9BB9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F-42C1-BD41-4881695A0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9C-432C-8384-9B8CCED708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8-4046-A9AA-F13CCC4AF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F6-4729-9AA5-A2E99CC9A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6-41E4-84BA-662F138F4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6E-49BD-A3AD-FC1DA1504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58-4D56-9C2E-C3B03896C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C-420C-A126-FB543A54F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1-4882-8674-8009A93E2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C5-48B8-919C-C1BB8B123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FD-4F4F-82E8-215325EDF92C}"/>
            </c:ext>
          </c:extLst>
        </c:ser>
        <c:ser>
          <c:idx val="3"/>
          <c:order val="1"/>
          <c:tx>
            <c:strRef>
              <c:f>'Best|Worst'!$C$117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FD-4F4F-82E8-215325EDF9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0E-45FE-BEAA-2DCB467166B1}"/>
            </c:ext>
          </c:extLst>
        </c:ser>
        <c:ser>
          <c:idx val="3"/>
          <c:order val="1"/>
          <c:tx>
            <c:strRef>
              <c:f>'Best|Worst'!$C$141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0E-45FE-BEAA-2DCB46716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'Best|Worst'!$C$90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0A-4B72-8582-7664587BDE33}"/>
            </c:ext>
          </c:extLst>
        </c:ser>
        <c:ser>
          <c:idx val="3"/>
          <c:order val="1"/>
          <c:tx>
            <c:strRef>
              <c:f>'Best|Worst'!$C$93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0A-4B72-8582-7664587B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D5-4F80-9753-2D6CA03E5C2B}"/>
            </c:ext>
          </c:extLst>
        </c:ser>
        <c:ser>
          <c:idx val="3"/>
          <c:order val="1"/>
          <c:tx>
            <c:strRef>
              <c:f>'Best|Worst'!$C$165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D5-4F80-9753-2D6CA03E5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'Best|Worst'!$C$187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'Best|Worst'!$D$187:$G$187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C7-4981-BA11-3056307C98C4}"/>
            </c:ext>
          </c:extLst>
        </c:ser>
        <c:ser>
          <c:idx val="3"/>
          <c:order val="1"/>
          <c:tx>
            <c:strRef>
              <c:f>'Best|Worst'!$C$190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C7-4981-BA11-3056307C9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'Best|Worst'!$C$212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'Best|Worst'!$D$212:$G$212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DE-456F-B145-481E786ED7F0}"/>
            </c:ext>
          </c:extLst>
        </c:ser>
        <c:ser>
          <c:idx val="1"/>
          <c:order val="1"/>
          <c:tx>
            <c:strRef>
              <c:f>'Best|Worst'!$C$213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'Best|Worst'!$D$213:$G$213</c:f>
              <c:numCache>
                <c:formatCode>General</c:formatCode>
                <c:ptCount val="4"/>
                <c:pt idx="0">
                  <c:v>0.75</c:v>
                </c:pt>
                <c:pt idx="1">
                  <c:v>0.79597731535177796</c:v>
                </c:pt>
                <c:pt idx="2">
                  <c:v>8.5628869020468137E-2</c:v>
                </c:pt>
                <c:pt idx="3">
                  <c:v>0.57331026854314004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DE-456F-B145-481E786ED7F0}"/>
            </c:ext>
          </c:extLst>
        </c:ser>
        <c:ser>
          <c:idx val="2"/>
          <c:order val="2"/>
          <c:tx>
            <c:strRef>
              <c:f>'Best|Worst'!$C$214</c:f>
              <c:strCache>
                <c:ptCount val="1"/>
                <c:pt idx="0">
                  <c:v>0,99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'Best|Worst'!$D$214:$G$214</c:f>
              <c:numCache>
                <c:formatCode>General</c:formatCode>
                <c:ptCount val="4"/>
                <c:pt idx="0">
                  <c:v>0.5</c:v>
                </c:pt>
                <c:pt idx="1">
                  <c:v>0.80926420797553855</c:v>
                </c:pt>
                <c:pt idx="2">
                  <c:v>0.11207082497893665</c:v>
                </c:pt>
                <c:pt idx="3">
                  <c:v>0.9038990327846067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DE-456F-B145-481E786ED7F0}"/>
            </c:ext>
          </c:extLst>
        </c:ser>
        <c:ser>
          <c:idx val="3"/>
          <c:order val="3"/>
          <c:tx>
            <c:strRef>
              <c:f>'Best|Worst'!$C$215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DE-456F-B145-481E786ED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'Best|Worst'!$C$237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'Best|Worst'!$D$237:$G$237</c:f>
              <c:numCache>
                <c:formatCode>General</c:formatCode>
                <c:ptCount val="4"/>
                <c:pt idx="0">
                  <c:v>1</c:v>
                </c:pt>
                <c:pt idx="1">
                  <c:v>0.65484380022836186</c:v>
                </c:pt>
                <c:pt idx="2">
                  <c:v>1</c:v>
                </c:pt>
                <c:pt idx="3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7F-4EFF-B9D5-327AF19CDB08}"/>
            </c:ext>
          </c:extLst>
        </c:ser>
        <c:ser>
          <c:idx val="1"/>
          <c:order val="1"/>
          <c:tx>
            <c:strRef>
              <c:f>'Best|Worst'!$C$238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'Best|Worst'!$D$238:$G$238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0.67725490625943618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7F-4EFF-B9D5-327AF19CDB08}"/>
            </c:ext>
          </c:extLst>
        </c:ser>
        <c:ser>
          <c:idx val="2"/>
          <c:order val="2"/>
          <c:tx>
            <c:strRef>
              <c:f>'Best|Worst'!$C$239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'Best|Worst'!$D$239:$G$239</c:f>
              <c:numCache>
                <c:formatCode>General</c:formatCode>
                <c:ptCount val="4"/>
                <c:pt idx="0">
                  <c:v>0.5</c:v>
                </c:pt>
                <c:pt idx="1">
                  <c:v>0.73835805970790658</c:v>
                </c:pt>
                <c:pt idx="2">
                  <c:v>0.84927446007410101</c:v>
                </c:pt>
                <c:pt idx="3">
                  <c:v>0.78959028422057287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7F-4EFF-B9D5-327AF19CDB08}"/>
            </c:ext>
          </c:extLst>
        </c:ser>
        <c:ser>
          <c:idx val="3"/>
          <c:order val="3"/>
          <c:tx>
            <c:strRef>
              <c:f>'Best|Worst'!$C$240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7F-4EFF-B9D5-327AF19CD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'Best|Worst'!$D$262:$G$262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83-4701-8E2D-FFC92414139A}"/>
            </c:ext>
          </c:extLst>
        </c:ser>
        <c:ser>
          <c:idx val="1"/>
          <c:order val="1"/>
          <c:tx>
            <c:strRef>
              <c:f>'Best|Worst'!$C$263</c:f>
              <c:strCache>
                <c:ptCount val="1"/>
                <c:pt idx="0">
                  <c:v>0,74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'Best|Worst'!$D$263:$G$263</c:f>
              <c:numCache>
                <c:formatCode>General</c:formatCode>
                <c:ptCount val="4"/>
                <c:pt idx="0">
                  <c:v>0.5</c:v>
                </c:pt>
                <c:pt idx="1">
                  <c:v>0.37919583070757845</c:v>
                </c:pt>
                <c:pt idx="2">
                  <c:v>0.24604511227578876</c:v>
                </c:pt>
                <c:pt idx="3">
                  <c:v>5.0333919862687079E-2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83-4701-8E2D-FFC92414139A}"/>
            </c:ext>
          </c:extLst>
        </c:ser>
        <c:ser>
          <c:idx val="2"/>
          <c:order val="2"/>
          <c:tx>
            <c:strRef>
              <c:f>'Best|Worst'!$C$264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'Best|Worst'!$D$264:$G$264</c:f>
              <c:numCache>
                <c:formatCode>General</c:formatCode>
                <c:ptCount val="4"/>
                <c:pt idx="0">
                  <c:v>0.75</c:v>
                </c:pt>
                <c:pt idx="1">
                  <c:v>0.69088738020157991</c:v>
                </c:pt>
                <c:pt idx="2">
                  <c:v>1</c:v>
                </c:pt>
                <c:pt idx="3">
                  <c:v>5.6818716744632944E-2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83-4701-8E2D-FFC92414139A}"/>
            </c:ext>
          </c:extLst>
        </c:ser>
        <c:ser>
          <c:idx val="3"/>
          <c:order val="3"/>
          <c:tx>
            <c:strRef>
              <c:f>'Best|Worst'!$C$265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C83-4701-8E2D-FFC924141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'Best|Worst'!$C$287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'Best|Worst'!$D$287:$G$287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1F-4455-AC7E-2F071C4C58A4}"/>
            </c:ext>
          </c:extLst>
        </c:ser>
        <c:ser>
          <c:idx val="1"/>
          <c:order val="1"/>
          <c:tx>
            <c:strRef>
              <c:f>'Best|Worst'!$C$288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'Best|Worst'!$D$288:$G$288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2.9773689598128844E-2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1F-4455-AC7E-2F071C4C58A4}"/>
            </c:ext>
          </c:extLst>
        </c:ser>
        <c:ser>
          <c:idx val="2"/>
          <c:order val="2"/>
          <c:tx>
            <c:strRef>
              <c:f>'Best|Worst'!$C$289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'Best|Worst'!$D$289:$G$289</c:f>
              <c:numCache>
                <c:formatCode>General</c:formatCode>
                <c:ptCount val="4"/>
                <c:pt idx="0">
                  <c:v>0.75</c:v>
                </c:pt>
                <c:pt idx="1">
                  <c:v>0.3535920446884655</c:v>
                </c:pt>
                <c:pt idx="2">
                  <c:v>1</c:v>
                </c:pt>
                <c:pt idx="3">
                  <c:v>0.12486016719718387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1F-4455-AC7E-2F071C4C58A4}"/>
            </c:ext>
          </c:extLst>
        </c:ser>
        <c:ser>
          <c:idx val="3"/>
          <c:order val="3"/>
          <c:tx>
            <c:strRef>
              <c:f>'Best|Worst'!$C$290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1F-4455-AC7E-2F071C4C5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'Best|Worst'!$C$311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'Best|Worst'!$D$311:$G$311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71-4760-AF8F-E6A42698D9E2}"/>
            </c:ext>
          </c:extLst>
        </c:ser>
        <c:ser>
          <c:idx val="1"/>
          <c:order val="1"/>
          <c:tx>
            <c:strRef>
              <c:f>'Best|Worst'!$C$312</c:f>
              <c:strCache>
                <c:ptCount val="1"/>
                <c:pt idx="0">
                  <c:v>0,78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'Best|Worst'!$D$312:$G$312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5.6622871781342003E-3</c:v>
                </c:pt>
                <c:pt idx="3">
                  <c:v>4.8393846438341249E-2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71-4760-AF8F-E6A42698D9E2}"/>
            </c:ext>
          </c:extLst>
        </c:ser>
        <c:ser>
          <c:idx val="2"/>
          <c:order val="2"/>
          <c:tx>
            <c:strRef>
              <c:f>'Best|Worst'!$C$313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'Best|Worst'!$D$313:$G$313</c:f>
              <c:numCache>
                <c:formatCode>General</c:formatCode>
                <c:ptCount val="4"/>
                <c:pt idx="0">
                  <c:v>0.75</c:v>
                </c:pt>
                <c:pt idx="1">
                  <c:v>0.11172742372709753</c:v>
                </c:pt>
                <c:pt idx="2">
                  <c:v>1</c:v>
                </c:pt>
                <c:pt idx="3">
                  <c:v>0.5175960410871423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71-4760-AF8F-E6A42698D9E2}"/>
            </c:ext>
          </c:extLst>
        </c:ser>
        <c:ser>
          <c:idx val="3"/>
          <c:order val="3"/>
          <c:tx>
            <c:strRef>
              <c:f>'Best|Worst'!$C$314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71-4760-AF8F-E6A42698D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'Best|Worst'!$C$336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'Best|Worst'!$D$336:$G$336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3E-4297-9051-84ACECCDBB3E}"/>
            </c:ext>
          </c:extLst>
        </c:ser>
        <c:ser>
          <c:idx val="1"/>
          <c:order val="1"/>
          <c:tx>
            <c:strRef>
              <c:f>'Best|Worst'!$C$337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'Best|Worst'!$D$337:$G$337</c:f>
              <c:numCache>
                <c:formatCode>General</c:formatCode>
                <c:ptCount val="4"/>
                <c:pt idx="0">
                  <c:v>0.5</c:v>
                </c:pt>
                <c:pt idx="1">
                  <c:v>0.71225562194184977</c:v>
                </c:pt>
                <c:pt idx="2">
                  <c:v>1</c:v>
                </c:pt>
                <c:pt idx="3">
                  <c:v>0.85157128686456229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3E-4297-9051-84ACECCDBB3E}"/>
            </c:ext>
          </c:extLst>
        </c:ser>
        <c:ser>
          <c:idx val="2"/>
          <c:order val="2"/>
          <c:tx>
            <c:strRef>
              <c:f>'Best|Worst'!$C$338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'Best|Worst'!$D$338:$G$338</c:f>
              <c:numCache>
                <c:formatCode>General</c:formatCode>
                <c:ptCount val="4"/>
                <c:pt idx="0">
                  <c:v>0.75</c:v>
                </c:pt>
                <c:pt idx="1">
                  <c:v>0.76963868006501046</c:v>
                </c:pt>
                <c:pt idx="2">
                  <c:v>4.6284668188071074E-2</c:v>
                </c:pt>
                <c:pt idx="3">
                  <c:v>0.76611190616225677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3E-4297-9051-84ACECCDBB3E}"/>
            </c:ext>
          </c:extLst>
        </c:ser>
        <c:ser>
          <c:idx val="3"/>
          <c:order val="3"/>
          <c:tx>
            <c:strRef>
              <c:f>'Best|Worst'!$C$339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93E-4297-9051-84ACECCDB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'Best|Worst'!$C$361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'Best|Worst'!$D$361:$G$361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C8-4A5A-B751-D4DD29C015EA}"/>
            </c:ext>
          </c:extLst>
        </c:ser>
        <c:ser>
          <c:idx val="1"/>
          <c:order val="1"/>
          <c:tx>
            <c:strRef>
              <c:f>'Best|Worst'!$C$362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'Best|Worst'!$D$362:$G$362</c:f>
              <c:numCache>
                <c:formatCode>General</c:formatCode>
                <c:ptCount val="4"/>
                <c:pt idx="0">
                  <c:v>0.75</c:v>
                </c:pt>
                <c:pt idx="1">
                  <c:v>0.56632037695360282</c:v>
                </c:pt>
                <c:pt idx="2">
                  <c:v>1</c:v>
                </c:pt>
                <c:pt idx="3">
                  <c:v>6.5308363085126067E-2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C8-4A5A-B751-D4DD29C015EA}"/>
            </c:ext>
          </c:extLst>
        </c:ser>
        <c:ser>
          <c:idx val="2"/>
          <c:order val="2"/>
          <c:tx>
            <c:strRef>
              <c:f>'Best|Worst'!$C$363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'Best|Worst'!$D$363:$G$363</c:f>
              <c:numCache>
                <c:formatCode>General</c:formatCode>
                <c:ptCount val="4"/>
                <c:pt idx="0">
                  <c:v>1</c:v>
                </c:pt>
                <c:pt idx="1">
                  <c:v>0.70371379494052133</c:v>
                </c:pt>
                <c:pt idx="2">
                  <c:v>0.56932678776700363</c:v>
                </c:pt>
                <c:pt idx="3">
                  <c:v>9.1928838540822747E-2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C8-4A5A-B751-D4DD29C015EA}"/>
            </c:ext>
          </c:extLst>
        </c:ser>
        <c:ser>
          <c:idx val="3"/>
          <c:order val="3"/>
          <c:tx>
            <c:strRef>
              <c:f>'Best|Worst'!$C$364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C8-4A5A-B751-D4DD29C015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'Best|Worst'!$C$386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'Best|Worst'!$D$386:$G$386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5-4B69-8427-152EC08E0CBE}"/>
            </c:ext>
          </c:extLst>
        </c:ser>
        <c:ser>
          <c:idx val="1"/>
          <c:order val="1"/>
          <c:tx>
            <c:strRef>
              <c:f>'Best|Worst'!$C$387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'Best|Worst'!$D$387:$G$387</c:f>
              <c:numCache>
                <c:formatCode>General</c:formatCode>
                <c:ptCount val="4"/>
                <c:pt idx="0">
                  <c:v>0.25</c:v>
                </c:pt>
                <c:pt idx="1">
                  <c:v>0.7523646986099678</c:v>
                </c:pt>
                <c:pt idx="2">
                  <c:v>0.3774449108145379</c:v>
                </c:pt>
                <c:pt idx="3">
                  <c:v>0.30132523711798664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95-4B69-8427-152EC08E0CBE}"/>
            </c:ext>
          </c:extLst>
        </c:ser>
        <c:ser>
          <c:idx val="2"/>
          <c:order val="2"/>
          <c:tx>
            <c:strRef>
              <c:f>'Best|Worst'!$C$388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'Best|Worst'!$D$388:$G$388</c:f>
              <c:numCache>
                <c:formatCode>General</c:formatCode>
                <c:ptCount val="4"/>
                <c:pt idx="0">
                  <c:v>0.75</c:v>
                </c:pt>
                <c:pt idx="1">
                  <c:v>0.77922377807369358</c:v>
                </c:pt>
                <c:pt idx="2">
                  <c:v>0.61353278893537189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95-4B69-8427-152EC08E0CBE}"/>
            </c:ext>
          </c:extLst>
        </c:ser>
        <c:ser>
          <c:idx val="3"/>
          <c:order val="3"/>
          <c:tx>
            <c:strRef>
              <c:f>'Best|Worst'!$C$389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95-4B69-8427-152EC08E0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'Best|Worst'!$C$411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'Best|Worst'!$D$411:$G$411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AB-4395-8B83-C162D20FE09F}"/>
            </c:ext>
          </c:extLst>
        </c:ser>
        <c:ser>
          <c:idx val="1"/>
          <c:order val="1"/>
          <c:tx>
            <c:strRef>
              <c:f>'Best|Worst'!$C$412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'Best|Worst'!$D$412:$G$412</c:f>
              <c:numCache>
                <c:formatCode>General</c:formatCode>
                <c:ptCount val="4"/>
                <c:pt idx="0">
                  <c:v>0.5</c:v>
                </c:pt>
                <c:pt idx="1">
                  <c:v>0.97040124302407327</c:v>
                </c:pt>
                <c:pt idx="2">
                  <c:v>1</c:v>
                </c:pt>
                <c:pt idx="3">
                  <c:v>0.24509363334584758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AB-4395-8B83-C162D20FE09F}"/>
            </c:ext>
          </c:extLst>
        </c:ser>
        <c:ser>
          <c:idx val="2"/>
          <c:order val="2"/>
          <c:tx>
            <c:strRef>
              <c:f>'Best|Worst'!$C$413</c:f>
              <c:strCache>
                <c:ptCount val="1"/>
                <c:pt idx="0">
                  <c:v>0,97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'Best|Worst'!$D$413:$G$413</c:f>
              <c:numCache>
                <c:formatCode>General</c:formatCode>
                <c:ptCount val="4"/>
                <c:pt idx="0">
                  <c:v>0.75</c:v>
                </c:pt>
                <c:pt idx="1">
                  <c:v>0.85740560595251925</c:v>
                </c:pt>
                <c:pt idx="2">
                  <c:v>0.20244584155725229</c:v>
                </c:pt>
                <c:pt idx="3">
                  <c:v>0.60234739389415504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8AB-4395-8B83-C162D20FE09F}"/>
            </c:ext>
          </c:extLst>
        </c:ser>
        <c:ser>
          <c:idx val="3"/>
          <c:order val="3"/>
          <c:tx>
            <c:strRef>
              <c:f>'Best|Worst'!$C$414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8AB-4395-8B83-C162D20FE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13" Type="http://schemas.openxmlformats.org/officeDocument/2006/relationships/chart" Target="../charts/chart27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12" Type="http://schemas.openxmlformats.org/officeDocument/2006/relationships/chart" Target="../charts/chart26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11" Type="http://schemas.openxmlformats.org/officeDocument/2006/relationships/chart" Target="../charts/chart25.xml"/><Relationship Id="rId5" Type="http://schemas.openxmlformats.org/officeDocument/2006/relationships/chart" Target="../charts/chart19.xml"/><Relationship Id="rId10" Type="http://schemas.openxmlformats.org/officeDocument/2006/relationships/chart" Target="../charts/chart24.xml"/><Relationship Id="rId4" Type="http://schemas.openxmlformats.org/officeDocument/2006/relationships/chart" Target="../charts/chart18.xml"/><Relationship Id="rId9" Type="http://schemas.openxmlformats.org/officeDocument/2006/relationships/chart" Target="../charts/chart23.xml"/><Relationship Id="rId14" Type="http://schemas.openxmlformats.org/officeDocument/2006/relationships/chart" Target="../charts/chart28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3" Type="http://schemas.openxmlformats.org/officeDocument/2006/relationships/chart" Target="../charts/chart31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5" Type="http://schemas.openxmlformats.org/officeDocument/2006/relationships/chart" Target="../charts/chart33.xml"/><Relationship Id="rId10" Type="http://schemas.openxmlformats.org/officeDocument/2006/relationships/chart" Target="../charts/chart38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253588</xdr:colOff>
      <xdr:row>49</xdr:row>
      <xdr:rowOff>184314</xdr:rowOff>
    </xdr:from>
    <xdr:to>
      <xdr:col>29</xdr:col>
      <xdr:colOff>245147</xdr:colOff>
      <xdr:row>72</xdr:row>
      <xdr:rowOff>129593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439139</xdr:colOff>
      <xdr:row>49</xdr:row>
      <xdr:rowOff>189262</xdr:rowOff>
    </xdr:from>
    <xdr:to>
      <xdr:col>38</xdr:col>
      <xdr:colOff>430698</xdr:colOff>
      <xdr:row>72</xdr:row>
      <xdr:rowOff>134541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51954</xdr:colOff>
      <xdr:row>49</xdr:row>
      <xdr:rowOff>173182</xdr:rowOff>
    </xdr:from>
    <xdr:to>
      <xdr:col>20</xdr:col>
      <xdr:colOff>43513</xdr:colOff>
      <xdr:row>72</xdr:row>
      <xdr:rowOff>118461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575397</xdr:colOff>
      <xdr:row>49</xdr:row>
      <xdr:rowOff>182707</xdr:rowOff>
    </xdr:from>
    <xdr:to>
      <xdr:col>47</xdr:col>
      <xdr:colOff>566957</xdr:colOff>
      <xdr:row>72</xdr:row>
      <xdr:rowOff>127986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616959</xdr:colOff>
      <xdr:row>73</xdr:row>
      <xdr:rowOff>62779</xdr:rowOff>
    </xdr:from>
    <xdr:to>
      <xdr:col>19</xdr:col>
      <xdr:colOff>608519</xdr:colOff>
      <xdr:row>96</xdr:row>
      <xdr:rowOff>8058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381000</xdr:colOff>
      <xdr:row>73</xdr:row>
      <xdr:rowOff>23813</xdr:rowOff>
    </xdr:from>
    <xdr:to>
      <xdr:col>29</xdr:col>
      <xdr:colOff>372560</xdr:colOff>
      <xdr:row>95</xdr:row>
      <xdr:rowOff>159592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586652</xdr:colOff>
      <xdr:row>73</xdr:row>
      <xdr:rowOff>62778</xdr:rowOff>
    </xdr:from>
    <xdr:to>
      <xdr:col>38</xdr:col>
      <xdr:colOff>578213</xdr:colOff>
      <xdr:row>96</xdr:row>
      <xdr:rowOff>8057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39</xdr:col>
      <xdr:colOff>60614</xdr:colOff>
      <xdr:row>73</xdr:row>
      <xdr:rowOff>25977</xdr:rowOff>
    </xdr:from>
    <xdr:to>
      <xdr:col>48</xdr:col>
      <xdr:colOff>52175</xdr:colOff>
      <xdr:row>95</xdr:row>
      <xdr:rowOff>161756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49789</xdr:colOff>
      <xdr:row>96</xdr:row>
      <xdr:rowOff>162357</xdr:rowOff>
    </xdr:from>
    <xdr:to>
      <xdr:col>20</xdr:col>
      <xdr:colOff>41349</xdr:colOff>
      <xdr:row>119</xdr:row>
      <xdr:rowOff>107636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363682</xdr:colOff>
      <xdr:row>96</xdr:row>
      <xdr:rowOff>173182</xdr:rowOff>
    </xdr:from>
    <xdr:to>
      <xdr:col>29</xdr:col>
      <xdr:colOff>355242</xdr:colOff>
      <xdr:row>119</xdr:row>
      <xdr:rowOff>118461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571501</xdr:colOff>
      <xdr:row>96</xdr:row>
      <xdr:rowOff>173182</xdr:rowOff>
    </xdr:from>
    <xdr:to>
      <xdr:col>38</xdr:col>
      <xdr:colOff>563060</xdr:colOff>
      <xdr:row>119</xdr:row>
      <xdr:rowOff>118461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39</xdr:col>
      <xdr:colOff>163286</xdr:colOff>
      <xdr:row>97</xdr:row>
      <xdr:rowOff>0</xdr:rowOff>
    </xdr:from>
    <xdr:to>
      <xdr:col>48</xdr:col>
      <xdr:colOff>154845</xdr:colOff>
      <xdr:row>119</xdr:row>
      <xdr:rowOff>135779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11</xdr:col>
      <xdr:colOff>34636</xdr:colOff>
      <xdr:row>120</xdr:row>
      <xdr:rowOff>173182</xdr:rowOff>
    </xdr:from>
    <xdr:to>
      <xdr:col>20</xdr:col>
      <xdr:colOff>26195</xdr:colOff>
      <xdr:row>143</xdr:row>
      <xdr:rowOff>118461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20</xdr:col>
      <xdr:colOff>340179</xdr:colOff>
      <xdr:row>121</xdr:row>
      <xdr:rowOff>0</xdr:rowOff>
    </xdr:from>
    <xdr:to>
      <xdr:col>29</xdr:col>
      <xdr:colOff>331738</xdr:colOff>
      <xdr:row>143</xdr:row>
      <xdr:rowOff>135779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215488</xdr:colOff>
      <xdr:row>56</xdr:row>
      <xdr:rowOff>31914</xdr:rowOff>
    </xdr:from>
    <xdr:to>
      <xdr:col>29</xdr:col>
      <xdr:colOff>207047</xdr:colOff>
      <xdr:row>78</xdr:row>
      <xdr:rowOff>167693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324839</xdr:colOff>
      <xdr:row>88</xdr:row>
      <xdr:rowOff>113062</xdr:rowOff>
    </xdr:from>
    <xdr:to>
      <xdr:col>20</xdr:col>
      <xdr:colOff>316398</xdr:colOff>
      <xdr:row>111</xdr:row>
      <xdr:rowOff>58341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599641</xdr:colOff>
      <xdr:row>22</xdr:row>
      <xdr:rowOff>125557</xdr:rowOff>
    </xdr:from>
    <xdr:to>
      <xdr:col>18</xdr:col>
      <xdr:colOff>591200</xdr:colOff>
      <xdr:row>45</xdr:row>
      <xdr:rowOff>70836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422997</xdr:colOff>
      <xdr:row>55</xdr:row>
      <xdr:rowOff>106507</xdr:rowOff>
    </xdr:from>
    <xdr:to>
      <xdr:col>48</xdr:col>
      <xdr:colOff>414557</xdr:colOff>
      <xdr:row>78</xdr:row>
      <xdr:rowOff>51786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607434</xdr:colOff>
      <xdr:row>55</xdr:row>
      <xdr:rowOff>177079</xdr:rowOff>
    </xdr:from>
    <xdr:to>
      <xdr:col>38</xdr:col>
      <xdr:colOff>608519</xdr:colOff>
      <xdr:row>78</xdr:row>
      <xdr:rowOff>122358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381000</xdr:colOff>
      <xdr:row>88</xdr:row>
      <xdr:rowOff>100013</xdr:rowOff>
    </xdr:from>
    <xdr:to>
      <xdr:col>30</xdr:col>
      <xdr:colOff>372560</xdr:colOff>
      <xdr:row>111</xdr:row>
      <xdr:rowOff>45292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319952</xdr:colOff>
      <xdr:row>55</xdr:row>
      <xdr:rowOff>177078</xdr:rowOff>
    </xdr:from>
    <xdr:to>
      <xdr:col>19</xdr:col>
      <xdr:colOff>311513</xdr:colOff>
      <xdr:row>78</xdr:row>
      <xdr:rowOff>122357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251114</xdr:colOff>
      <xdr:row>22</xdr:row>
      <xdr:rowOff>64077</xdr:rowOff>
    </xdr:from>
    <xdr:to>
      <xdr:col>42</xdr:col>
      <xdr:colOff>242675</xdr:colOff>
      <xdr:row>45</xdr:row>
      <xdr:rowOff>9356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74</xdr:col>
      <xdr:colOff>49789</xdr:colOff>
      <xdr:row>22</xdr:row>
      <xdr:rowOff>124257</xdr:rowOff>
    </xdr:from>
    <xdr:to>
      <xdr:col>83</xdr:col>
      <xdr:colOff>41349</xdr:colOff>
      <xdr:row>45</xdr:row>
      <xdr:rowOff>69536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64</xdr:col>
      <xdr:colOff>287482</xdr:colOff>
      <xdr:row>22</xdr:row>
      <xdr:rowOff>96982</xdr:rowOff>
    </xdr:from>
    <xdr:to>
      <xdr:col>73</xdr:col>
      <xdr:colOff>279042</xdr:colOff>
      <xdr:row>45</xdr:row>
      <xdr:rowOff>42261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42</xdr:col>
      <xdr:colOff>571501</xdr:colOff>
      <xdr:row>22</xdr:row>
      <xdr:rowOff>58882</xdr:rowOff>
    </xdr:from>
    <xdr:to>
      <xdr:col>51</xdr:col>
      <xdr:colOff>563060</xdr:colOff>
      <xdr:row>45</xdr:row>
      <xdr:rowOff>4161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282349</xdr:colOff>
      <xdr:row>22</xdr:row>
      <xdr:rowOff>119063</xdr:rowOff>
    </xdr:from>
    <xdr:to>
      <xdr:col>28</xdr:col>
      <xdr:colOff>273908</xdr:colOff>
      <xdr:row>45</xdr:row>
      <xdr:rowOff>64342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52</xdr:col>
      <xdr:colOff>263236</xdr:colOff>
      <xdr:row>22</xdr:row>
      <xdr:rowOff>96982</xdr:rowOff>
    </xdr:from>
    <xdr:to>
      <xdr:col>61</xdr:col>
      <xdr:colOff>254795</xdr:colOff>
      <xdr:row>45</xdr:row>
      <xdr:rowOff>42261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50</xdr:col>
      <xdr:colOff>416379</xdr:colOff>
      <xdr:row>56</xdr:row>
      <xdr:rowOff>152400</xdr:rowOff>
    </xdr:from>
    <xdr:to>
      <xdr:col>59</xdr:col>
      <xdr:colOff>407938</xdr:colOff>
      <xdr:row>79</xdr:row>
      <xdr:rowOff>97679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253588</xdr:colOff>
      <xdr:row>49</xdr:row>
      <xdr:rowOff>184314</xdr:rowOff>
    </xdr:from>
    <xdr:to>
      <xdr:col>29</xdr:col>
      <xdr:colOff>245147</xdr:colOff>
      <xdr:row>72</xdr:row>
      <xdr:rowOff>129593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439139</xdr:colOff>
      <xdr:row>49</xdr:row>
      <xdr:rowOff>189262</xdr:rowOff>
    </xdr:from>
    <xdr:to>
      <xdr:col>38</xdr:col>
      <xdr:colOff>430698</xdr:colOff>
      <xdr:row>72</xdr:row>
      <xdr:rowOff>134541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51954</xdr:colOff>
      <xdr:row>49</xdr:row>
      <xdr:rowOff>173182</xdr:rowOff>
    </xdr:from>
    <xdr:to>
      <xdr:col>20</xdr:col>
      <xdr:colOff>43513</xdr:colOff>
      <xdr:row>72</xdr:row>
      <xdr:rowOff>118461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575397</xdr:colOff>
      <xdr:row>49</xdr:row>
      <xdr:rowOff>182707</xdr:rowOff>
    </xdr:from>
    <xdr:to>
      <xdr:col>47</xdr:col>
      <xdr:colOff>566957</xdr:colOff>
      <xdr:row>72</xdr:row>
      <xdr:rowOff>127986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616959</xdr:colOff>
      <xdr:row>73</xdr:row>
      <xdr:rowOff>62779</xdr:rowOff>
    </xdr:from>
    <xdr:to>
      <xdr:col>19</xdr:col>
      <xdr:colOff>608519</xdr:colOff>
      <xdr:row>96</xdr:row>
      <xdr:rowOff>8058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381000</xdr:colOff>
      <xdr:row>73</xdr:row>
      <xdr:rowOff>23813</xdr:rowOff>
    </xdr:from>
    <xdr:to>
      <xdr:col>29</xdr:col>
      <xdr:colOff>372560</xdr:colOff>
      <xdr:row>95</xdr:row>
      <xdr:rowOff>159592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586652</xdr:colOff>
      <xdr:row>73</xdr:row>
      <xdr:rowOff>62778</xdr:rowOff>
    </xdr:from>
    <xdr:to>
      <xdr:col>38</xdr:col>
      <xdr:colOff>578213</xdr:colOff>
      <xdr:row>96</xdr:row>
      <xdr:rowOff>8057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39</xdr:col>
      <xdr:colOff>60614</xdr:colOff>
      <xdr:row>73</xdr:row>
      <xdr:rowOff>25977</xdr:rowOff>
    </xdr:from>
    <xdr:to>
      <xdr:col>48</xdr:col>
      <xdr:colOff>52175</xdr:colOff>
      <xdr:row>95</xdr:row>
      <xdr:rowOff>161756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49789</xdr:colOff>
      <xdr:row>96</xdr:row>
      <xdr:rowOff>162357</xdr:rowOff>
    </xdr:from>
    <xdr:to>
      <xdr:col>20</xdr:col>
      <xdr:colOff>41349</xdr:colOff>
      <xdr:row>119</xdr:row>
      <xdr:rowOff>107636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363682</xdr:colOff>
      <xdr:row>96</xdr:row>
      <xdr:rowOff>173182</xdr:rowOff>
    </xdr:from>
    <xdr:to>
      <xdr:col>29</xdr:col>
      <xdr:colOff>355242</xdr:colOff>
      <xdr:row>119</xdr:row>
      <xdr:rowOff>118461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571501</xdr:colOff>
      <xdr:row>96</xdr:row>
      <xdr:rowOff>173182</xdr:rowOff>
    </xdr:from>
    <xdr:to>
      <xdr:col>38</xdr:col>
      <xdr:colOff>563060</xdr:colOff>
      <xdr:row>119</xdr:row>
      <xdr:rowOff>118461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39</xdr:col>
      <xdr:colOff>163286</xdr:colOff>
      <xdr:row>97</xdr:row>
      <xdr:rowOff>0</xdr:rowOff>
    </xdr:from>
    <xdr:to>
      <xdr:col>48</xdr:col>
      <xdr:colOff>154845</xdr:colOff>
      <xdr:row>119</xdr:row>
      <xdr:rowOff>135779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11</xdr:col>
      <xdr:colOff>34636</xdr:colOff>
      <xdr:row>120</xdr:row>
      <xdr:rowOff>173182</xdr:rowOff>
    </xdr:from>
    <xdr:to>
      <xdr:col>20</xdr:col>
      <xdr:colOff>26195</xdr:colOff>
      <xdr:row>143</xdr:row>
      <xdr:rowOff>118461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20</xdr:col>
      <xdr:colOff>340179</xdr:colOff>
      <xdr:row>121</xdr:row>
      <xdr:rowOff>0</xdr:rowOff>
    </xdr:from>
    <xdr:to>
      <xdr:col>29</xdr:col>
      <xdr:colOff>331738</xdr:colOff>
      <xdr:row>143</xdr:row>
      <xdr:rowOff>135779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5"/>
  <sheetViews>
    <sheetView topLeftCell="A49" zoomScale="40" zoomScaleNormal="40" workbookViewId="0">
      <selection activeCell="AH123" sqref="AH123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7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7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7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7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7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7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7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7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</row>
    <row r="108" spans="1:7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</row>
    <row r="109" spans="1:7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</row>
    <row r="110" spans="1:7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</row>
    <row r="111" spans="1:7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</row>
    <row r="113" spans="1:7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</row>
    <row r="114" spans="1:7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</row>
    <row r="115" spans="1:7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</row>
    <row r="116" spans="1:7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</row>
    <row r="117" spans="1:7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</row>
    <row r="119" spans="1:7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</row>
    <row r="120" spans="1:7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</row>
    <row r="121" spans="1:7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</row>
    <row r="122" spans="1:7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</row>
    <row r="123" spans="1:7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7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7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7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7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7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</row>
    <row r="132" spans="1:7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</row>
    <row r="133" spans="1:7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7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7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7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7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7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7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7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7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7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7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7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7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7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7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7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7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7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</row>
    <row r="156" spans="1:7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</row>
    <row r="157" spans="1:7" x14ac:dyDescent="0.25">
      <c r="C157" s="2">
        <f t="shared" ref="C157:G157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7" x14ac:dyDescent="0.25">
      <c r="C158" s="2">
        <f t="shared" ref="C158:G158" si="28">C146/C$154</f>
        <v>1</v>
      </c>
      <c r="D158" s="2">
        <f t="shared" si="28"/>
        <v>0.80543398635608399</v>
      </c>
      <c r="E158" s="2">
        <f t="shared" si="28"/>
        <v>0.41206046529013679</v>
      </c>
      <c r="F158" s="2">
        <f t="shared" si="28"/>
        <v>1</v>
      </c>
      <c r="G158" s="2">
        <f t="shared" si="28"/>
        <v>1</v>
      </c>
    </row>
    <row r="159" spans="1:7" x14ac:dyDescent="0.25">
      <c r="C159" s="2">
        <f t="shared" ref="C159:G159" si="29">C147/C$154</f>
        <v>0.75</v>
      </c>
      <c r="D159" s="2">
        <f t="shared" si="29"/>
        <v>0.7969945497761689</v>
      </c>
      <c r="E159" s="2">
        <f t="shared" si="29"/>
        <v>0.37098229286482309</v>
      </c>
      <c r="F159" s="2">
        <f t="shared" si="29"/>
        <v>7.5292635706825664E-2</v>
      </c>
      <c r="G159" s="2">
        <f t="shared" si="29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8" spans="1:7" x14ac:dyDescent="0.25">
      <c r="A168" s="1" t="s">
        <v>0</v>
      </c>
      <c r="B168" s="1" t="s">
        <v>1</v>
      </c>
      <c r="C168" s="1" t="s">
        <v>2</v>
      </c>
      <c r="D168" s="1" t="s">
        <v>3</v>
      </c>
      <c r="E168" s="1" t="s">
        <v>4</v>
      </c>
      <c r="F168" s="1" t="s">
        <v>5</v>
      </c>
      <c r="G168" s="1" t="s">
        <v>6</v>
      </c>
    </row>
    <row r="169" spans="1:7" x14ac:dyDescent="0.25">
      <c r="A169" s="2" t="s">
        <v>19</v>
      </c>
      <c r="B169" s="8" t="s">
        <v>20</v>
      </c>
      <c r="C169" s="2">
        <v>2</v>
      </c>
      <c r="D169" s="3">
        <v>327266.01547195681</v>
      </c>
      <c r="E169" s="3">
        <v>2736.7203125999999</v>
      </c>
      <c r="F169" s="4">
        <v>6.5575458761258591E-4</v>
      </c>
      <c r="G169" s="4">
        <v>9.6186040198574876E-4</v>
      </c>
    </row>
    <row r="170" spans="1:7" x14ac:dyDescent="0.25">
      <c r="A170" s="2" t="s">
        <v>19</v>
      </c>
      <c r="B170" s="8" t="s">
        <v>20</v>
      </c>
      <c r="C170" s="2">
        <v>3</v>
      </c>
      <c r="D170" s="3">
        <v>323997.44760210218</v>
      </c>
      <c r="E170" s="3">
        <v>2594.2840083999999</v>
      </c>
      <c r="F170" s="4">
        <v>4.4144095106468531E-4</v>
      </c>
      <c r="G170" s="4">
        <v>4.2813564143465432E-3</v>
      </c>
    </row>
    <row r="171" spans="1:7" x14ac:dyDescent="0.25">
      <c r="A171" s="2" t="s">
        <v>19</v>
      </c>
      <c r="B171" s="8" t="s">
        <v>20</v>
      </c>
      <c r="C171" s="2">
        <v>4</v>
      </c>
      <c r="D171" s="3">
        <v>321762.90970591619</v>
      </c>
      <c r="E171" s="3">
        <v>2793.945984</v>
      </c>
      <c r="F171" s="4">
        <v>3.0877619142976242E-4</v>
      </c>
      <c r="G171" s="4">
        <v>1.0062327675981299E-3</v>
      </c>
    </row>
    <row r="172" spans="1:7" x14ac:dyDescent="0.25">
      <c r="A172" s="2" t="s">
        <v>19</v>
      </c>
      <c r="B172" s="8" t="s">
        <v>20</v>
      </c>
      <c r="C172" s="2">
        <v>1</v>
      </c>
      <c r="D172" s="3">
        <v>297602.00445720641</v>
      </c>
      <c r="E172" s="3">
        <v>3256.4356082999998</v>
      </c>
      <c r="F172" s="4">
        <v>3.8592436982227681E-4</v>
      </c>
      <c r="G172" s="4">
        <v>2.369477916386043E-3</v>
      </c>
    </row>
    <row r="174" spans="1:7" x14ac:dyDescent="0.25">
      <c r="B174" s="7" t="s">
        <v>40</v>
      </c>
      <c r="D174" s="3">
        <f>AVERAGE(D169:D170)</f>
        <v>325631.7315370295</v>
      </c>
      <c r="E174" s="3">
        <f t="shared" ref="E174:G174" si="30">AVERAGE(E169:E170)</f>
        <v>2665.5021605000002</v>
      </c>
      <c r="F174" s="4">
        <f t="shared" si="30"/>
        <v>5.4859776933863561E-4</v>
      </c>
      <c r="G174" s="4">
        <f t="shared" si="30"/>
        <v>2.6216084081661459E-3</v>
      </c>
    </row>
    <row r="175" spans="1:7" x14ac:dyDescent="0.25">
      <c r="B175" s="7" t="s">
        <v>41</v>
      </c>
      <c r="D175" s="3">
        <f>AVERAGE(D171:D172)</f>
        <v>309682.45708156133</v>
      </c>
      <c r="E175" s="3">
        <f t="shared" ref="E175:G175" si="31">AVERAGE(E171:E172)</f>
        <v>3025.1907961500001</v>
      </c>
      <c r="F175" s="4">
        <f t="shared" si="31"/>
        <v>3.4735028062601961E-4</v>
      </c>
      <c r="G175" s="4">
        <f t="shared" si="31"/>
        <v>1.6878553419920864E-3</v>
      </c>
    </row>
    <row r="177" spans="3:7" x14ac:dyDescent="0.25">
      <c r="C177" s="7" t="s">
        <v>42</v>
      </c>
      <c r="D177" s="3">
        <f>D174/D175</f>
        <v>1.0515020276116822</v>
      </c>
      <c r="E177" s="3">
        <f t="shared" ref="E177:G177" si="32">E174/E175</f>
        <v>0.88110216515673767</v>
      </c>
      <c r="F177" s="3">
        <f t="shared" si="32"/>
        <v>1.5793790877321685</v>
      </c>
      <c r="G177" s="3">
        <f t="shared" si="32"/>
        <v>1.5532186573951297</v>
      </c>
    </row>
    <row r="179" spans="3:7" x14ac:dyDescent="0.25">
      <c r="C179" s="2">
        <f>MAX(C169:C172)</f>
        <v>4</v>
      </c>
      <c r="D179" s="2">
        <f t="shared" ref="D179:G179" si="33">MAX(D169:D172)</f>
        <v>327266.01547195681</v>
      </c>
      <c r="E179" s="2">
        <f t="shared" si="33"/>
        <v>3256.4356082999998</v>
      </c>
      <c r="F179" s="2">
        <f t="shared" si="33"/>
        <v>6.5575458761258591E-4</v>
      </c>
      <c r="G179" s="2">
        <f t="shared" si="33"/>
        <v>4.2813564143465432E-3</v>
      </c>
    </row>
    <row r="180" spans="3:7" x14ac:dyDescent="0.25">
      <c r="C180" s="10" t="s">
        <v>43</v>
      </c>
      <c r="D180" s="10" t="s">
        <v>3</v>
      </c>
      <c r="E180" s="1" t="s">
        <v>4</v>
      </c>
      <c r="F180" s="1" t="s">
        <v>5</v>
      </c>
      <c r="G180" s="1" t="s">
        <v>6</v>
      </c>
    </row>
    <row r="181" spans="3:7" x14ac:dyDescent="0.25">
      <c r="C181" s="2">
        <f t="shared" ref="C181:G184" si="34">C169/C$179</f>
        <v>0.5</v>
      </c>
      <c r="D181" s="2">
        <f t="shared" si="34"/>
        <v>1</v>
      </c>
      <c r="E181" s="2">
        <f t="shared" si="34"/>
        <v>0.84040363200323998</v>
      </c>
      <c r="F181" s="2">
        <f t="shared" si="34"/>
        <v>1</v>
      </c>
      <c r="G181" s="2">
        <f t="shared" si="34"/>
        <v>0.22466253890066659</v>
      </c>
    </row>
    <row r="182" spans="3:7" x14ac:dyDescent="0.25">
      <c r="C182" s="2">
        <f t="shared" si="34"/>
        <v>0.75</v>
      </c>
      <c r="D182" s="2">
        <f t="shared" si="34"/>
        <v>0.99001250446019895</v>
      </c>
      <c r="E182" s="2">
        <f t="shared" si="34"/>
        <v>0.796663690136446</v>
      </c>
      <c r="F182" s="2">
        <f t="shared" si="34"/>
        <v>0.67318011860480464</v>
      </c>
      <c r="G182" s="2">
        <f t="shared" si="34"/>
        <v>1</v>
      </c>
    </row>
    <row r="183" spans="3:7" x14ac:dyDescent="0.25">
      <c r="C183" s="2">
        <f t="shared" si="34"/>
        <v>1</v>
      </c>
      <c r="D183" s="2">
        <f t="shared" si="34"/>
        <v>0.98318460974903099</v>
      </c>
      <c r="E183" s="2">
        <f t="shared" si="34"/>
        <v>0.85797673286669429</v>
      </c>
      <c r="F183" s="2">
        <f t="shared" si="34"/>
        <v>0.47087156881956077</v>
      </c>
      <c r="G183" s="2">
        <f t="shared" si="34"/>
        <v>0.23502662946404326</v>
      </c>
    </row>
    <row r="184" spans="3:7" x14ac:dyDescent="0.25">
      <c r="C184" s="2">
        <f t="shared" si="34"/>
        <v>0.25</v>
      </c>
      <c r="D184" s="2">
        <f t="shared" si="34"/>
        <v>0.90935810743449375</v>
      </c>
      <c r="E184" s="2">
        <f t="shared" si="34"/>
        <v>1</v>
      </c>
      <c r="F184" s="2">
        <f t="shared" si="34"/>
        <v>0.58851951189135643</v>
      </c>
      <c r="G184" s="2">
        <f t="shared" si="34"/>
        <v>0.55344093952236229</v>
      </c>
    </row>
    <row r="186" spans="3:7" x14ac:dyDescent="0.25">
      <c r="C186" s="10" t="s">
        <v>3</v>
      </c>
      <c r="D186" s="10" t="s">
        <v>43</v>
      </c>
      <c r="E186" s="10" t="s">
        <v>4</v>
      </c>
      <c r="F186" s="10" t="s">
        <v>5</v>
      </c>
      <c r="G186" s="10" t="s">
        <v>6</v>
      </c>
    </row>
    <row r="187" spans="3:7" x14ac:dyDescent="0.25">
      <c r="C187" s="3">
        <v>0.90935810743449375</v>
      </c>
      <c r="D187" s="2">
        <v>0.25</v>
      </c>
      <c r="E187" s="2">
        <v>1</v>
      </c>
      <c r="F187" s="2">
        <v>0.58851951189135643</v>
      </c>
      <c r="G187" s="2">
        <v>0.55344093952236229</v>
      </c>
    </row>
    <row r="188" spans="3:7" x14ac:dyDescent="0.25">
      <c r="C188" s="3">
        <v>0.98318460974903099</v>
      </c>
      <c r="D188" s="2">
        <v>1</v>
      </c>
      <c r="E188" s="2">
        <v>0.85797673286669429</v>
      </c>
      <c r="F188" s="2">
        <v>0.47087156881956077</v>
      </c>
      <c r="G188" s="2">
        <v>0.23502662946404326</v>
      </c>
    </row>
    <row r="189" spans="3:7" x14ac:dyDescent="0.25">
      <c r="C189" s="3">
        <v>0.99001250446019895</v>
      </c>
      <c r="D189" s="2">
        <v>0.75</v>
      </c>
      <c r="E189" s="2">
        <v>0.796663690136446</v>
      </c>
      <c r="F189" s="2">
        <v>0.67318011860480464</v>
      </c>
      <c r="G189" s="2">
        <v>1</v>
      </c>
    </row>
    <row r="190" spans="3:7" x14ac:dyDescent="0.25">
      <c r="C190" s="3">
        <v>1</v>
      </c>
      <c r="D190" s="2">
        <v>0.5</v>
      </c>
      <c r="E190" s="2">
        <v>0.84040363200323998</v>
      </c>
      <c r="F190" s="2">
        <v>1</v>
      </c>
      <c r="G190" s="2">
        <v>0.22466253890066659</v>
      </c>
    </row>
    <row r="193" spans="1:7" x14ac:dyDescent="0.25">
      <c r="A193" s="1" t="s">
        <v>0</v>
      </c>
      <c r="B193" s="1" t="s">
        <v>1</v>
      </c>
      <c r="C193" s="1" t="s">
        <v>2</v>
      </c>
      <c r="D193" s="1" t="s">
        <v>3</v>
      </c>
      <c r="E193" s="1" t="s">
        <v>4</v>
      </c>
      <c r="F193" s="1" t="s">
        <v>5</v>
      </c>
      <c r="G193" s="1" t="s">
        <v>6</v>
      </c>
    </row>
    <row r="194" spans="1:7" x14ac:dyDescent="0.25">
      <c r="A194" s="2" t="s">
        <v>21</v>
      </c>
      <c r="B194" s="8" t="s">
        <v>22</v>
      </c>
      <c r="C194" s="2">
        <v>4</v>
      </c>
      <c r="D194" s="3">
        <v>589836.07301855378</v>
      </c>
      <c r="E194" s="3">
        <v>3459.2387039999999</v>
      </c>
      <c r="F194" s="4">
        <v>2.6129124854981389E-3</v>
      </c>
      <c r="G194" s="4">
        <v>2.2962786554205951E-3</v>
      </c>
    </row>
    <row r="195" spans="1:7" x14ac:dyDescent="0.25">
      <c r="A195" s="2" t="s">
        <v>21</v>
      </c>
      <c r="B195" s="8" t="s">
        <v>22</v>
      </c>
      <c r="C195" s="2">
        <v>2</v>
      </c>
      <c r="D195" s="3">
        <v>585427.26654459862</v>
      </c>
      <c r="E195" s="3">
        <v>4854.6591208600003</v>
      </c>
      <c r="F195" s="4">
        <v>3.7612999688359748E-4</v>
      </c>
      <c r="G195" s="4">
        <v>2.0756040556386131E-3</v>
      </c>
    </row>
    <row r="196" spans="1:7" x14ac:dyDescent="0.25">
      <c r="A196" s="2" t="s">
        <v>21</v>
      </c>
      <c r="B196" s="8" t="s">
        <v>22</v>
      </c>
      <c r="C196" s="2">
        <v>3</v>
      </c>
      <c r="D196" s="3">
        <v>575669.32501484314</v>
      </c>
      <c r="E196" s="3">
        <v>4774.9529707199999</v>
      </c>
      <c r="F196" s="4">
        <v>2.8738600116371028E-4</v>
      </c>
      <c r="G196" s="4">
        <v>1.316480132589062E-3</v>
      </c>
    </row>
    <row r="197" spans="1:7" x14ac:dyDescent="0.25">
      <c r="A197" s="2" t="s">
        <v>21</v>
      </c>
      <c r="B197" s="8" t="s">
        <v>22</v>
      </c>
      <c r="C197" s="2">
        <v>1</v>
      </c>
      <c r="D197" s="3">
        <v>532258.74860418728</v>
      </c>
      <c r="E197" s="3">
        <v>5998.8555937799993</v>
      </c>
      <c r="F197" s="4">
        <v>3.3561812091085249E-3</v>
      </c>
      <c r="G197" s="4">
        <v>1.7434020366891251E-3</v>
      </c>
    </row>
    <row r="199" spans="1:7" x14ac:dyDescent="0.25">
      <c r="B199" s="7" t="s">
        <v>40</v>
      </c>
      <c r="D199" s="3">
        <f>AVERAGE(D194:D195)</f>
        <v>587631.66978157614</v>
      </c>
      <c r="E199" s="3">
        <f t="shared" ref="E199:G199" si="35">AVERAGE(E194:E195)</f>
        <v>4156.9489124299998</v>
      </c>
      <c r="F199" s="4">
        <f t="shared" si="35"/>
        <v>1.4945212411908682E-3</v>
      </c>
      <c r="G199" s="4">
        <f t="shared" si="35"/>
        <v>2.1859413555296043E-3</v>
      </c>
    </row>
    <row r="200" spans="1:7" x14ac:dyDescent="0.25">
      <c r="B200" s="7" t="s">
        <v>41</v>
      </c>
      <c r="D200" s="3">
        <f>AVERAGE(D196:D197)</f>
        <v>553964.03680951521</v>
      </c>
      <c r="E200" s="3">
        <f t="shared" ref="E200:G200" si="36">AVERAGE(E196:E197)</f>
        <v>5386.9042822499996</v>
      </c>
      <c r="F200" s="4">
        <f t="shared" si="36"/>
        <v>1.8217836051361176E-3</v>
      </c>
      <c r="G200" s="4">
        <f t="shared" si="36"/>
        <v>1.5299410846390934E-3</v>
      </c>
    </row>
    <row r="202" spans="1:7" x14ac:dyDescent="0.25">
      <c r="C202" s="7" t="s">
        <v>42</v>
      </c>
      <c r="D202" s="3">
        <f>D199/D200</f>
        <v>1.0607758459664012</v>
      </c>
      <c r="E202" s="3">
        <f t="shared" ref="E202:G202" si="37">E199/E200</f>
        <v>0.77167677289668257</v>
      </c>
      <c r="F202" s="3">
        <f t="shared" si="37"/>
        <v>0.82036156049346076</v>
      </c>
      <c r="G202" s="3">
        <f t="shared" si="37"/>
        <v>1.4287748577228767</v>
      </c>
    </row>
    <row r="204" spans="1:7" x14ac:dyDescent="0.25">
      <c r="C204" s="2">
        <f>MAX(C194:C197)</f>
        <v>4</v>
      </c>
      <c r="D204" s="2">
        <f t="shared" ref="D204:G204" si="38">MAX(D194:D197)</f>
        <v>589836.07301855378</v>
      </c>
      <c r="E204" s="2">
        <f t="shared" si="38"/>
        <v>5998.8555937799993</v>
      </c>
      <c r="F204" s="2">
        <f t="shared" si="38"/>
        <v>3.3561812091085249E-3</v>
      </c>
      <c r="G204" s="2">
        <f t="shared" si="38"/>
        <v>2.2962786554205951E-3</v>
      </c>
    </row>
    <row r="205" spans="1:7" x14ac:dyDescent="0.25">
      <c r="C205" s="10" t="s">
        <v>43</v>
      </c>
      <c r="D205" s="10" t="s">
        <v>3</v>
      </c>
      <c r="E205" s="1" t="s">
        <v>4</v>
      </c>
      <c r="F205" s="1" t="s">
        <v>5</v>
      </c>
      <c r="G205" s="1" t="s">
        <v>6</v>
      </c>
    </row>
    <row r="206" spans="1:7" x14ac:dyDescent="0.25">
      <c r="C206" s="2">
        <f t="shared" ref="C206:G209" si="39">C194/C$204</f>
        <v>1</v>
      </c>
      <c r="D206" s="2">
        <f t="shared" si="39"/>
        <v>1</v>
      </c>
      <c r="E206" s="2">
        <f t="shared" si="39"/>
        <v>0.57664977093076919</v>
      </c>
      <c r="F206" s="2">
        <f t="shared" si="39"/>
        <v>0.77853736812744556</v>
      </c>
      <c r="G206" s="2">
        <f t="shared" si="39"/>
        <v>1</v>
      </c>
    </row>
    <row r="207" spans="1:7" x14ac:dyDescent="0.25">
      <c r="C207" s="2">
        <f t="shared" si="39"/>
        <v>0.5</v>
      </c>
      <c r="D207" s="2">
        <f t="shared" si="39"/>
        <v>0.99252536988558093</v>
      </c>
      <c r="E207" s="2">
        <f t="shared" si="39"/>
        <v>0.80926420797553855</v>
      </c>
      <c r="F207" s="2">
        <f t="shared" si="39"/>
        <v>0.11207082497893665</v>
      </c>
      <c r="G207" s="2">
        <f t="shared" si="39"/>
        <v>0.9038990327846067</v>
      </c>
    </row>
    <row r="208" spans="1:7" x14ac:dyDescent="0.25">
      <c r="C208" s="2">
        <f t="shared" si="39"/>
        <v>0.75</v>
      </c>
      <c r="D208" s="2">
        <f t="shared" si="39"/>
        <v>0.97598188945750519</v>
      </c>
      <c r="E208" s="2">
        <f t="shared" si="39"/>
        <v>0.79597731535177796</v>
      </c>
      <c r="F208" s="2">
        <f t="shared" si="39"/>
        <v>8.5628869020468137E-2</v>
      </c>
      <c r="G208" s="2">
        <f t="shared" si="39"/>
        <v>0.57331026854314004</v>
      </c>
    </row>
    <row r="209" spans="1:7" x14ac:dyDescent="0.25">
      <c r="C209" s="2">
        <f t="shared" si="39"/>
        <v>0.25</v>
      </c>
      <c r="D209" s="2">
        <f t="shared" si="39"/>
        <v>0.90238419274747317</v>
      </c>
      <c r="E209" s="2">
        <f t="shared" si="39"/>
        <v>1</v>
      </c>
      <c r="F209" s="2">
        <f t="shared" si="39"/>
        <v>1</v>
      </c>
      <c r="G209" s="2">
        <f t="shared" si="39"/>
        <v>0.7592293002304622</v>
      </c>
    </row>
    <row r="211" spans="1:7" x14ac:dyDescent="0.25">
      <c r="C211" s="10" t="s">
        <v>3</v>
      </c>
      <c r="D211" s="10" t="s">
        <v>43</v>
      </c>
      <c r="E211" s="10" t="s">
        <v>4</v>
      </c>
      <c r="F211" s="10" t="s">
        <v>5</v>
      </c>
      <c r="G211" s="10" t="s">
        <v>6</v>
      </c>
    </row>
    <row r="212" spans="1:7" x14ac:dyDescent="0.25">
      <c r="C212" s="12">
        <v>0.90238419274747317</v>
      </c>
      <c r="D212" s="11">
        <v>0.25</v>
      </c>
      <c r="E212" s="11">
        <v>1</v>
      </c>
      <c r="F212" s="11">
        <v>1</v>
      </c>
      <c r="G212" s="11">
        <v>0.7592293002304622</v>
      </c>
    </row>
    <row r="213" spans="1:7" x14ac:dyDescent="0.25">
      <c r="C213" s="12">
        <v>0.97598188945750519</v>
      </c>
      <c r="D213" s="11">
        <v>0.75</v>
      </c>
      <c r="E213" s="11">
        <v>0.79597731535177796</v>
      </c>
      <c r="F213" s="11">
        <v>8.5628869020468137E-2</v>
      </c>
      <c r="G213" s="11">
        <v>0.57331026854314004</v>
      </c>
    </row>
    <row r="214" spans="1:7" x14ac:dyDescent="0.25">
      <c r="C214" s="12">
        <v>0.99252536988558093</v>
      </c>
      <c r="D214" s="11">
        <v>0.5</v>
      </c>
      <c r="E214" s="11">
        <v>0.80926420797553855</v>
      </c>
      <c r="F214" s="11">
        <v>0.11207082497893665</v>
      </c>
      <c r="G214" s="11">
        <v>0.9038990327846067</v>
      </c>
    </row>
    <row r="215" spans="1:7" x14ac:dyDescent="0.25">
      <c r="C215" s="12">
        <v>1</v>
      </c>
      <c r="D215" s="11">
        <v>1</v>
      </c>
      <c r="E215" s="11">
        <v>0.57664977093076919</v>
      </c>
      <c r="F215" s="11">
        <v>0.77853736812744556</v>
      </c>
      <c r="G215" s="11">
        <v>1</v>
      </c>
    </row>
    <row r="218" spans="1:7" x14ac:dyDescent="0.25">
      <c r="A218" s="1" t="s">
        <v>0</v>
      </c>
      <c r="B218" s="1" t="s">
        <v>1</v>
      </c>
      <c r="C218" s="1" t="s">
        <v>2</v>
      </c>
      <c r="D218" s="1" t="s">
        <v>3</v>
      </c>
      <c r="E218" s="1" t="s">
        <v>4</v>
      </c>
      <c r="F218" s="1" t="s">
        <v>5</v>
      </c>
      <c r="G218" s="1" t="s">
        <v>6</v>
      </c>
    </row>
    <row r="219" spans="1:7" x14ac:dyDescent="0.25">
      <c r="A219" s="2" t="s">
        <v>23</v>
      </c>
      <c r="B219" s="8" t="s">
        <v>24</v>
      </c>
      <c r="C219" s="2">
        <v>1</v>
      </c>
      <c r="D219" s="3">
        <v>2688475.9724428668</v>
      </c>
      <c r="E219" s="3">
        <v>22918.622383440001</v>
      </c>
      <c r="F219" s="4">
        <v>1.411209606183382E-2</v>
      </c>
      <c r="G219" s="4">
        <v>6.7540592802753808E-4</v>
      </c>
    </row>
    <row r="220" spans="1:7" x14ac:dyDescent="0.25">
      <c r="A220" s="2" t="s">
        <v>23</v>
      </c>
      <c r="B220" s="8" t="s">
        <v>24</v>
      </c>
      <c r="C220" s="2">
        <v>2</v>
      </c>
      <c r="D220" s="3">
        <v>2199098.9702055152</v>
      </c>
      <c r="E220" s="3">
        <v>27186.587841839999</v>
      </c>
      <c r="F220" s="4">
        <v>1.428164445640567E-2</v>
      </c>
      <c r="G220" s="4">
        <v>1.063284111568874E-3</v>
      </c>
    </row>
    <row r="221" spans="1:7" x14ac:dyDescent="0.25">
      <c r="A221" s="2" t="s">
        <v>23</v>
      </c>
      <c r="B221" s="8" t="s">
        <v>24</v>
      </c>
      <c r="C221" s="2">
        <v>3</v>
      </c>
      <c r="D221" s="3">
        <v>2110825.0242093089</v>
      </c>
      <c r="E221" s="3">
        <v>36820.330575920001</v>
      </c>
      <c r="F221" s="4">
        <v>1.1388913987487259E-2</v>
      </c>
      <c r="G221" s="4">
        <v>1.346627653376551E-3</v>
      </c>
    </row>
    <row r="222" spans="1:7" x14ac:dyDescent="0.25">
      <c r="A222" s="2" t="s">
        <v>23</v>
      </c>
      <c r="B222" s="8" t="s">
        <v>24</v>
      </c>
      <c r="C222" s="2">
        <v>4</v>
      </c>
      <c r="D222" s="3">
        <v>2060147.693651289</v>
      </c>
      <c r="E222" s="3">
        <v>24111.565200000001</v>
      </c>
      <c r="F222" s="4">
        <v>1.6816288641435851E-2</v>
      </c>
      <c r="G222" s="4">
        <v>4.7603910840263489E-4</v>
      </c>
    </row>
    <row r="224" spans="1:7" x14ac:dyDescent="0.25">
      <c r="B224" s="7" t="s">
        <v>40</v>
      </c>
      <c r="D224" s="3">
        <f>AVERAGE(D219:D220)</f>
        <v>2443787.471324191</v>
      </c>
      <c r="E224" s="3">
        <f t="shared" ref="E224:G224" si="40">AVERAGE(E219:E220)</f>
        <v>25052.605112639998</v>
      </c>
      <c r="F224" s="4">
        <f t="shared" si="40"/>
        <v>1.4196870259119745E-2</v>
      </c>
      <c r="G224" s="4">
        <f t="shared" si="40"/>
        <v>8.6934501979820604E-4</v>
      </c>
    </row>
    <row r="225" spans="2:7" x14ac:dyDescent="0.25">
      <c r="B225" s="7" t="s">
        <v>41</v>
      </c>
      <c r="D225" s="3">
        <f>AVERAGE(D221:D222)</f>
        <v>2085486.3589302991</v>
      </c>
      <c r="E225" s="3">
        <f t="shared" ref="E225:G225" si="41">AVERAGE(E221:E222)</f>
        <v>30465.947887959999</v>
      </c>
      <c r="F225" s="4">
        <f t="shared" si="41"/>
        <v>1.4102601314461555E-2</v>
      </c>
      <c r="G225" s="4">
        <f t="shared" si="41"/>
        <v>9.1133338088959293E-4</v>
      </c>
    </row>
    <row r="227" spans="2:7" x14ac:dyDescent="0.25">
      <c r="C227" s="7" t="s">
        <v>42</v>
      </c>
      <c r="D227" s="3">
        <f>D224/D225</f>
        <v>1.1718069796331221</v>
      </c>
      <c r="E227" s="3">
        <f t="shared" ref="E227:G227" si="42">E224/E225</f>
        <v>0.82231497292558131</v>
      </c>
      <c r="F227" s="3">
        <f t="shared" si="42"/>
        <v>1.0066845075285169</v>
      </c>
      <c r="G227" s="3">
        <f t="shared" si="42"/>
        <v>0.95392645329154935</v>
      </c>
    </row>
    <row r="229" spans="2:7" x14ac:dyDescent="0.25">
      <c r="C229" s="2">
        <f>MAX(C219:C222)</f>
        <v>4</v>
      </c>
      <c r="D229" s="2">
        <f t="shared" ref="D229:G229" si="43">MAX(D219:D222)</f>
        <v>2688475.9724428668</v>
      </c>
      <c r="E229" s="2">
        <f t="shared" si="43"/>
        <v>36820.330575920001</v>
      </c>
      <c r="F229" s="2">
        <f t="shared" si="43"/>
        <v>1.6816288641435851E-2</v>
      </c>
      <c r="G229" s="2">
        <f t="shared" si="43"/>
        <v>1.346627653376551E-3</v>
      </c>
    </row>
    <row r="230" spans="2:7" x14ac:dyDescent="0.25">
      <c r="C230" s="10" t="s">
        <v>43</v>
      </c>
      <c r="D230" s="10" t="s">
        <v>3</v>
      </c>
      <c r="E230" s="1" t="s">
        <v>4</v>
      </c>
      <c r="F230" s="1" t="s">
        <v>5</v>
      </c>
      <c r="G230" s="1" t="s">
        <v>6</v>
      </c>
    </row>
    <row r="231" spans="2:7" x14ac:dyDescent="0.25">
      <c r="C231" s="2">
        <f>C219/C$229</f>
        <v>0.25</v>
      </c>
      <c r="D231" s="2">
        <f t="shared" ref="D231:G231" si="44">D219/D$229</f>
        <v>1</v>
      </c>
      <c r="E231" s="2">
        <f t="shared" si="44"/>
        <v>0.62244477507294493</v>
      </c>
      <c r="F231" s="2">
        <f t="shared" si="44"/>
        <v>0.83919206923346823</v>
      </c>
      <c r="G231" s="2">
        <f t="shared" si="44"/>
        <v>0.50155358560624896</v>
      </c>
    </row>
    <row r="232" spans="2:7" x14ac:dyDescent="0.25">
      <c r="C232" s="2">
        <f t="shared" ref="C232:G234" si="45">C220/C$229</f>
        <v>0.5</v>
      </c>
      <c r="D232" s="2">
        <f t="shared" si="45"/>
        <v>0.81797233553377002</v>
      </c>
      <c r="E232" s="2">
        <f t="shared" si="45"/>
        <v>0.73835805970790658</v>
      </c>
      <c r="F232" s="2">
        <f t="shared" si="45"/>
        <v>0.84927446007410101</v>
      </c>
      <c r="G232" s="2">
        <f t="shared" si="45"/>
        <v>0.78959028422057287</v>
      </c>
    </row>
    <row r="233" spans="2:7" x14ac:dyDescent="0.25">
      <c r="C233" s="2">
        <f t="shared" si="45"/>
        <v>0.75</v>
      </c>
      <c r="D233" s="2">
        <f t="shared" si="45"/>
        <v>0.78513813991475667</v>
      </c>
      <c r="E233" s="2">
        <f t="shared" si="45"/>
        <v>1</v>
      </c>
      <c r="F233" s="2">
        <f t="shared" si="45"/>
        <v>0.67725490625943618</v>
      </c>
      <c r="G233" s="2">
        <f t="shared" si="45"/>
        <v>1</v>
      </c>
    </row>
    <row r="234" spans="2:7" x14ac:dyDescent="0.25">
      <c r="C234" s="2">
        <f t="shared" si="45"/>
        <v>1</v>
      </c>
      <c r="D234" s="2">
        <f t="shared" si="45"/>
        <v>0.76628830414256921</v>
      </c>
      <c r="E234" s="2">
        <f t="shared" si="45"/>
        <v>0.65484380022836186</v>
      </c>
      <c r="F234" s="2">
        <f t="shared" si="45"/>
        <v>1</v>
      </c>
      <c r="G234" s="2">
        <f t="shared" si="45"/>
        <v>0.3535046285504449</v>
      </c>
    </row>
    <row r="236" spans="2:7" x14ac:dyDescent="0.25">
      <c r="C236" s="10" t="s">
        <v>3</v>
      </c>
      <c r="D236" s="10" t="s">
        <v>43</v>
      </c>
      <c r="E236" s="10" t="s">
        <v>4</v>
      </c>
      <c r="F236" s="10" t="s">
        <v>5</v>
      </c>
      <c r="G236" s="10" t="s">
        <v>6</v>
      </c>
    </row>
    <row r="237" spans="2:7" x14ac:dyDescent="0.25">
      <c r="C237" s="3">
        <v>0.76628830414256921</v>
      </c>
      <c r="D237" s="2">
        <v>1</v>
      </c>
      <c r="E237" s="2">
        <v>0.65484380022836186</v>
      </c>
      <c r="F237" s="2">
        <v>1</v>
      </c>
      <c r="G237" s="2">
        <v>0.3535046285504449</v>
      </c>
    </row>
    <row r="238" spans="2:7" x14ac:dyDescent="0.25">
      <c r="C238" s="3">
        <v>0.78513813991475667</v>
      </c>
      <c r="D238" s="2">
        <v>0.75</v>
      </c>
      <c r="E238" s="2">
        <v>1</v>
      </c>
      <c r="F238" s="2">
        <v>0.67725490625943618</v>
      </c>
      <c r="G238" s="2">
        <v>1</v>
      </c>
    </row>
    <row r="239" spans="2:7" x14ac:dyDescent="0.25">
      <c r="C239" s="3">
        <v>0.81797233553377002</v>
      </c>
      <c r="D239" s="2">
        <v>0.5</v>
      </c>
      <c r="E239" s="2">
        <v>0.73835805970790658</v>
      </c>
      <c r="F239" s="2">
        <v>0.84927446007410101</v>
      </c>
      <c r="G239" s="2">
        <v>0.78959028422057287</v>
      </c>
    </row>
    <row r="240" spans="2:7" x14ac:dyDescent="0.25">
      <c r="C240" s="3">
        <v>1</v>
      </c>
      <c r="D240" s="2">
        <v>0.25</v>
      </c>
      <c r="E240" s="2">
        <v>0.62244477507294493</v>
      </c>
      <c r="F240" s="2">
        <v>0.83919206923346823</v>
      </c>
      <c r="G240" s="2">
        <v>0.50155358560624896</v>
      </c>
    </row>
    <row r="243" spans="1:7" x14ac:dyDescent="0.25">
      <c r="A243" s="1" t="s">
        <v>0</v>
      </c>
      <c r="B243" s="1" t="s">
        <v>1</v>
      </c>
      <c r="C243" s="1" t="s">
        <v>2</v>
      </c>
      <c r="D243" s="1" t="s">
        <v>3</v>
      </c>
      <c r="E243" s="1" t="s">
        <v>4</v>
      </c>
      <c r="F243" s="1" t="s">
        <v>5</v>
      </c>
      <c r="G243" s="1" t="s">
        <v>6</v>
      </c>
    </row>
    <row r="244" spans="1:7" x14ac:dyDescent="0.25">
      <c r="A244" s="2" t="s">
        <v>25</v>
      </c>
      <c r="B244" s="8" t="s">
        <v>26</v>
      </c>
      <c r="C244" s="2">
        <v>4</v>
      </c>
      <c r="D244" s="3">
        <v>1079590.799601601</v>
      </c>
      <c r="E244" s="3">
        <v>29824.255583999999</v>
      </c>
      <c r="F244" s="4">
        <v>1.7700063980245699E-2</v>
      </c>
      <c r="G244" s="4">
        <v>1.8406361575525849E-2</v>
      </c>
    </row>
    <row r="245" spans="1:7" x14ac:dyDescent="0.25">
      <c r="A245" s="2" t="s">
        <v>25</v>
      </c>
      <c r="B245" s="8" t="s">
        <v>26</v>
      </c>
      <c r="C245" s="2">
        <v>3</v>
      </c>
      <c r="D245" s="3">
        <v>917032.53729645221</v>
      </c>
      <c r="E245" s="3">
        <v>21948.7441788</v>
      </c>
      <c r="F245" s="4">
        <v>5.1385668600091312E-2</v>
      </c>
      <c r="G245" s="4">
        <v>1.045825844659099E-3</v>
      </c>
    </row>
    <row r="246" spans="1:7" x14ac:dyDescent="0.25">
      <c r="A246" s="2" t="s">
        <v>25</v>
      </c>
      <c r="B246" s="8" t="s">
        <v>26</v>
      </c>
      <c r="C246" s="2">
        <v>2</v>
      </c>
      <c r="D246" s="3">
        <v>802566.08061441511</v>
      </c>
      <c r="E246" s="3">
        <v>12046.641059559999</v>
      </c>
      <c r="F246" s="4">
        <v>1.264319260007594E-2</v>
      </c>
      <c r="G246" s="4">
        <v>9.2646432850616075E-4</v>
      </c>
    </row>
    <row r="247" spans="1:7" x14ac:dyDescent="0.25">
      <c r="A247" s="2" t="s">
        <v>25</v>
      </c>
      <c r="B247" s="8" t="s">
        <v>26</v>
      </c>
      <c r="C247" s="2">
        <v>1</v>
      </c>
      <c r="D247" s="3">
        <v>774599.50938466226</v>
      </c>
      <c r="E247" s="3">
        <v>31768.917493320001</v>
      </c>
      <c r="F247" s="4">
        <v>4.5024994770462897E-3</v>
      </c>
      <c r="G247" s="4">
        <v>6.1504127372638605E-4</v>
      </c>
    </row>
    <row r="249" spans="1:7" x14ac:dyDescent="0.25">
      <c r="B249" s="7" t="s">
        <v>40</v>
      </c>
      <c r="D249" s="3">
        <f>AVERAGE(D244:D245)</f>
        <v>998311.66844902653</v>
      </c>
      <c r="E249" s="3">
        <f t="shared" ref="E249:G249" si="46">AVERAGE(E244:E245)</f>
        <v>25886.499881399999</v>
      </c>
      <c r="F249" s="4">
        <f t="shared" si="46"/>
        <v>3.4542866290168506E-2</v>
      </c>
      <c r="G249" s="4">
        <f t="shared" si="46"/>
        <v>9.7260937100924743E-3</v>
      </c>
    </row>
    <row r="250" spans="1:7" x14ac:dyDescent="0.25">
      <c r="B250" s="7" t="s">
        <v>41</v>
      </c>
      <c r="D250" s="3">
        <f>AVERAGE(D246:D247)</f>
        <v>788582.79499953869</v>
      </c>
      <c r="E250" s="3">
        <f t="shared" ref="E250:G250" si="47">AVERAGE(E246:E247)</f>
        <v>21907.77927644</v>
      </c>
      <c r="F250" s="4">
        <f t="shared" si="47"/>
        <v>8.5728460385611147E-3</v>
      </c>
      <c r="G250" s="4">
        <f t="shared" si="47"/>
        <v>7.7075280111627334E-4</v>
      </c>
    </row>
    <row r="252" spans="1:7" x14ac:dyDescent="0.25">
      <c r="C252" s="7" t="s">
        <v>42</v>
      </c>
      <c r="D252" s="3">
        <f>D249/D250</f>
        <v>1.2659566944389276</v>
      </c>
      <c r="E252" s="3">
        <f t="shared" ref="E252:G252" si="48">E249/E250</f>
        <v>1.1816122280015293</v>
      </c>
      <c r="F252" s="3">
        <f t="shared" si="48"/>
        <v>4.0293347314057506</v>
      </c>
      <c r="G252" s="3">
        <f t="shared" si="48"/>
        <v>12.618953438776055</v>
      </c>
    </row>
    <row r="254" spans="1:7" x14ac:dyDescent="0.25">
      <c r="C254" s="2">
        <f>MAX(C244:C247)</f>
        <v>4</v>
      </c>
      <c r="D254" s="2">
        <f t="shared" ref="D254:G254" si="49">MAX(D244:D247)</f>
        <v>1079590.799601601</v>
      </c>
      <c r="E254" s="2">
        <f t="shared" si="49"/>
        <v>31768.917493320001</v>
      </c>
      <c r="F254" s="2">
        <f t="shared" si="49"/>
        <v>5.1385668600091312E-2</v>
      </c>
      <c r="G254" s="2">
        <f t="shared" si="49"/>
        <v>1.8406361575525849E-2</v>
      </c>
    </row>
    <row r="255" spans="1:7" x14ac:dyDescent="0.25">
      <c r="C255" s="10" t="s">
        <v>43</v>
      </c>
      <c r="D255" s="10" t="s">
        <v>3</v>
      </c>
      <c r="E255" s="1" t="s">
        <v>4</v>
      </c>
      <c r="F255" s="1" t="s">
        <v>5</v>
      </c>
      <c r="G255" s="1" t="s">
        <v>6</v>
      </c>
    </row>
    <row r="256" spans="1:7" x14ac:dyDescent="0.25">
      <c r="C256" s="2">
        <f>C244/C$254</f>
        <v>1</v>
      </c>
      <c r="D256" s="2">
        <f t="shared" ref="D256:G256" si="50">D244/D$254</f>
        <v>1</v>
      </c>
      <c r="E256" s="2">
        <f t="shared" si="50"/>
        <v>0.93878727817122176</v>
      </c>
      <c r="F256" s="2">
        <f t="shared" si="50"/>
        <v>0.34445526276978805</v>
      </c>
      <c r="G256" s="2">
        <f t="shared" si="50"/>
        <v>1</v>
      </c>
    </row>
    <row r="257" spans="1:7" x14ac:dyDescent="0.25">
      <c r="C257" s="2">
        <f t="shared" ref="C257:G259" si="51">C245/C$254</f>
        <v>0.75</v>
      </c>
      <c r="D257" s="2">
        <f t="shared" si="51"/>
        <v>0.84942603960209995</v>
      </c>
      <c r="E257" s="2">
        <f t="shared" si="51"/>
        <v>0.69088738020157991</v>
      </c>
      <c r="F257" s="2">
        <f t="shared" si="51"/>
        <v>1</v>
      </c>
      <c r="G257" s="2">
        <f t="shared" si="51"/>
        <v>5.6818716744632944E-2</v>
      </c>
    </row>
    <row r="258" spans="1:7" x14ac:dyDescent="0.25">
      <c r="C258" s="2">
        <f t="shared" si="51"/>
        <v>0.5</v>
      </c>
      <c r="D258" s="2">
        <f t="shared" si="51"/>
        <v>0.74339840698029691</v>
      </c>
      <c r="E258" s="2">
        <f t="shared" si="51"/>
        <v>0.37919583070757845</v>
      </c>
      <c r="F258" s="2">
        <f t="shared" si="51"/>
        <v>0.24604511227578876</v>
      </c>
      <c r="G258" s="2">
        <f t="shared" si="51"/>
        <v>5.0333919862687079E-2</v>
      </c>
    </row>
    <row r="259" spans="1:7" x14ac:dyDescent="0.25">
      <c r="C259" s="2">
        <f t="shared" si="51"/>
        <v>0.25</v>
      </c>
      <c r="D259" s="2">
        <f t="shared" si="51"/>
        <v>0.71749361857336225</v>
      </c>
      <c r="E259" s="2">
        <f t="shared" si="51"/>
        <v>1</v>
      </c>
      <c r="F259" s="2">
        <f t="shared" si="51"/>
        <v>8.7621696860402221E-2</v>
      </c>
      <c r="G259" s="2">
        <f t="shared" si="51"/>
        <v>3.3414603489272977E-2</v>
      </c>
    </row>
    <row r="261" spans="1:7" x14ac:dyDescent="0.25">
      <c r="C261" s="10" t="s">
        <v>3</v>
      </c>
      <c r="D261" s="10" t="s">
        <v>43</v>
      </c>
      <c r="E261" s="10" t="s">
        <v>4</v>
      </c>
      <c r="F261" s="10" t="s">
        <v>5</v>
      </c>
      <c r="G261" s="10" t="s">
        <v>6</v>
      </c>
    </row>
    <row r="262" spans="1:7" x14ac:dyDescent="0.25">
      <c r="C262" s="3">
        <v>0.71749361857336225</v>
      </c>
      <c r="D262" s="2">
        <v>0.25</v>
      </c>
      <c r="E262" s="2">
        <v>1</v>
      </c>
      <c r="F262" s="2">
        <v>8.7621696860402221E-2</v>
      </c>
      <c r="G262" s="2">
        <v>3.3414603489272977E-2</v>
      </c>
    </row>
    <row r="263" spans="1:7" x14ac:dyDescent="0.25">
      <c r="C263" s="3">
        <v>0.74339840698029691</v>
      </c>
      <c r="D263" s="2">
        <v>0.5</v>
      </c>
      <c r="E263" s="2">
        <v>0.37919583070757845</v>
      </c>
      <c r="F263" s="2">
        <v>0.24604511227578876</v>
      </c>
      <c r="G263" s="2">
        <v>5.0333919862687079E-2</v>
      </c>
    </row>
    <row r="264" spans="1:7" x14ac:dyDescent="0.25">
      <c r="C264" s="3">
        <v>0.84942603960209995</v>
      </c>
      <c r="D264" s="2">
        <v>0.75</v>
      </c>
      <c r="E264" s="2">
        <v>0.69088738020157991</v>
      </c>
      <c r="F264" s="2">
        <v>1</v>
      </c>
      <c r="G264" s="2">
        <v>5.6818716744632944E-2</v>
      </c>
    </row>
    <row r="265" spans="1:7" x14ac:dyDescent="0.25">
      <c r="C265" s="3">
        <v>1</v>
      </c>
      <c r="D265" s="2">
        <v>1</v>
      </c>
      <c r="E265" s="2">
        <v>0.93878727817122176</v>
      </c>
      <c r="F265" s="2">
        <v>0.34445526276978805</v>
      </c>
      <c r="G265" s="2">
        <v>1</v>
      </c>
    </row>
    <row r="268" spans="1:7" x14ac:dyDescent="0.25">
      <c r="A268" s="1" t="s">
        <v>0</v>
      </c>
      <c r="B268" s="1" t="s">
        <v>1</v>
      </c>
      <c r="C268" s="1" t="s">
        <v>2</v>
      </c>
      <c r="D268" s="1" t="s">
        <v>3</v>
      </c>
      <c r="E268" s="1" t="s">
        <v>4</v>
      </c>
      <c r="F268" s="1" t="s">
        <v>5</v>
      </c>
      <c r="G268" s="1" t="s">
        <v>6</v>
      </c>
    </row>
    <row r="269" spans="1:7" x14ac:dyDescent="0.25">
      <c r="A269" s="2" t="s">
        <v>27</v>
      </c>
      <c r="B269" s="8" t="s">
        <v>28</v>
      </c>
      <c r="C269" s="2">
        <v>4</v>
      </c>
      <c r="D269" s="3">
        <v>702640.28510284843</v>
      </c>
      <c r="E269" s="3">
        <v>24692.815392</v>
      </c>
      <c r="F269" s="4">
        <v>1.2473785395074479E-2</v>
      </c>
      <c r="G269" s="4">
        <v>1.210844187888221E-3</v>
      </c>
    </row>
    <row r="270" spans="1:7" x14ac:dyDescent="0.25">
      <c r="A270" s="2" t="s">
        <v>27</v>
      </c>
      <c r="B270" s="8" t="s">
        <v>28</v>
      </c>
      <c r="C270" s="2">
        <v>3</v>
      </c>
      <c r="D270" s="3">
        <v>648523.59030139784</v>
      </c>
      <c r="E270" s="3">
        <v>20365.73930736</v>
      </c>
      <c r="F270" s="4">
        <v>2.3285205202868371E-2</v>
      </c>
      <c r="G270" s="4">
        <v>1.5783067550306741E-3</v>
      </c>
    </row>
    <row r="271" spans="1:7" x14ac:dyDescent="0.25">
      <c r="A271" s="2" t="s">
        <v>27</v>
      </c>
      <c r="B271" s="8" t="s">
        <v>28</v>
      </c>
      <c r="C271" s="2">
        <v>2</v>
      </c>
      <c r="D271" s="3">
        <v>525586.90611574077</v>
      </c>
      <c r="E271" s="3">
        <v>57596.7124071</v>
      </c>
      <c r="F271" s="4">
        <v>6.9328647193893768E-4</v>
      </c>
      <c r="G271" s="4">
        <v>1.2640594598421069E-2</v>
      </c>
    </row>
    <row r="272" spans="1:7" x14ac:dyDescent="0.25">
      <c r="A272" s="2" t="s">
        <v>27</v>
      </c>
      <c r="B272" s="8" t="s">
        <v>28</v>
      </c>
      <c r="C272" s="2">
        <v>1</v>
      </c>
      <c r="D272" s="3">
        <v>489831.22166003252</v>
      </c>
      <c r="E272" s="3">
        <v>28233.8392518</v>
      </c>
      <c r="F272" s="4">
        <v>1.7629362658082969E-3</v>
      </c>
      <c r="G272" s="4">
        <v>1.091290811894655E-3</v>
      </c>
    </row>
    <row r="274" spans="2:7" x14ac:dyDescent="0.25">
      <c r="B274" s="7" t="s">
        <v>40</v>
      </c>
      <c r="D274" s="3">
        <f>AVERAGE(D269:D270)</f>
        <v>675581.93770212308</v>
      </c>
      <c r="E274" s="3">
        <f t="shared" ref="E274:G274" si="52">AVERAGE(E269:E270)</f>
        <v>22529.27734968</v>
      </c>
      <c r="F274" s="4">
        <f t="shared" si="52"/>
        <v>1.7879495298971426E-2</v>
      </c>
      <c r="G274" s="4">
        <f t="shared" si="52"/>
        <v>1.3945754714594475E-3</v>
      </c>
    </row>
    <row r="275" spans="2:7" x14ac:dyDescent="0.25">
      <c r="B275" s="7" t="s">
        <v>41</v>
      </c>
      <c r="D275" s="3">
        <f>AVERAGE(D271:D272)</f>
        <v>507709.06388788664</v>
      </c>
      <c r="E275" s="3">
        <f t="shared" ref="E275:G275" si="53">AVERAGE(E271:E272)</f>
        <v>42915.275829450002</v>
      </c>
      <c r="F275" s="4">
        <f t="shared" si="53"/>
        <v>1.2281113688736172E-3</v>
      </c>
      <c r="G275" s="4">
        <f t="shared" si="53"/>
        <v>6.8659427051578625E-3</v>
      </c>
    </row>
    <row r="277" spans="2:7" x14ac:dyDescent="0.25">
      <c r="C277" s="7" t="s">
        <v>42</v>
      </c>
      <c r="D277" s="3">
        <f>D274/D275</f>
        <v>1.3306477779394272</v>
      </c>
      <c r="E277" s="3">
        <f t="shared" ref="E277:G277" si="54">E274/E275</f>
        <v>0.52497104851926879</v>
      </c>
      <c r="F277" s="3">
        <f t="shared" si="54"/>
        <v>14.558529260558757</v>
      </c>
      <c r="G277" s="3">
        <f t="shared" si="54"/>
        <v>0.20311492992969613</v>
      </c>
    </row>
    <row r="279" spans="2:7" x14ac:dyDescent="0.25">
      <c r="C279" s="2">
        <f>MAX(C269:C272)</f>
        <v>4</v>
      </c>
      <c r="D279" s="2">
        <f t="shared" ref="D279:G279" si="55">MAX(D269:D272)</f>
        <v>702640.28510284843</v>
      </c>
      <c r="E279" s="2">
        <f t="shared" si="55"/>
        <v>57596.7124071</v>
      </c>
      <c r="F279" s="2">
        <f t="shared" si="55"/>
        <v>2.3285205202868371E-2</v>
      </c>
      <c r="G279" s="2">
        <f t="shared" si="55"/>
        <v>1.2640594598421069E-2</v>
      </c>
    </row>
    <row r="280" spans="2:7" x14ac:dyDescent="0.25">
      <c r="C280" s="10" t="s">
        <v>43</v>
      </c>
      <c r="D280" s="10" t="s">
        <v>3</v>
      </c>
      <c r="E280" s="1" t="s">
        <v>4</v>
      </c>
      <c r="F280" s="1" t="s">
        <v>5</v>
      </c>
      <c r="G280" s="1" t="s">
        <v>6</v>
      </c>
    </row>
    <row r="281" spans="2:7" x14ac:dyDescent="0.25">
      <c r="C281" s="2">
        <f>C269/C$279</f>
        <v>1</v>
      </c>
      <c r="D281" s="2">
        <f t="shared" ref="D281:G281" si="56">D269/D$279</f>
        <v>1</v>
      </c>
      <c r="E281" s="2">
        <f t="shared" si="56"/>
        <v>0.4287191813565403</v>
      </c>
      <c r="F281" s="2">
        <f t="shared" si="56"/>
        <v>0.53569574699465849</v>
      </c>
      <c r="G281" s="2">
        <f t="shared" si="56"/>
        <v>9.5790129052906028E-2</v>
      </c>
    </row>
    <row r="282" spans="2:7" x14ac:dyDescent="0.25">
      <c r="C282" s="2">
        <f t="shared" ref="C282:G284" si="57">C270/C$279</f>
        <v>0.75</v>
      </c>
      <c r="D282" s="2">
        <f t="shared" si="57"/>
        <v>0.9229809392532492</v>
      </c>
      <c r="E282" s="2">
        <f t="shared" si="57"/>
        <v>0.3535920446884655</v>
      </c>
      <c r="F282" s="2">
        <f t="shared" si="57"/>
        <v>1</v>
      </c>
      <c r="G282" s="2">
        <f t="shared" si="57"/>
        <v>0.12486016719718387</v>
      </c>
    </row>
    <row r="283" spans="2:7" x14ac:dyDescent="0.25">
      <c r="C283" s="2">
        <f t="shared" si="57"/>
        <v>0.5</v>
      </c>
      <c r="D283" s="2">
        <f t="shared" si="57"/>
        <v>0.74801703981263812</v>
      </c>
      <c r="E283" s="2">
        <f t="shared" si="57"/>
        <v>1</v>
      </c>
      <c r="F283" s="2">
        <f t="shared" si="57"/>
        <v>2.9773689598128844E-2</v>
      </c>
      <c r="G283" s="2">
        <f t="shared" si="57"/>
        <v>1</v>
      </c>
    </row>
    <row r="284" spans="2:7" x14ac:dyDescent="0.25">
      <c r="C284" s="2">
        <f t="shared" si="57"/>
        <v>0.25</v>
      </c>
      <c r="D284" s="2">
        <f t="shared" si="57"/>
        <v>0.69712943030064645</v>
      </c>
      <c r="E284" s="2">
        <f t="shared" si="57"/>
        <v>0.49019879906061425</v>
      </c>
      <c r="F284" s="2">
        <f t="shared" si="57"/>
        <v>7.571057460945764E-2</v>
      </c>
      <c r="G284" s="2">
        <f t="shared" si="57"/>
        <v>8.6332237253377908E-2</v>
      </c>
    </row>
    <row r="286" spans="2:7" x14ac:dyDescent="0.25">
      <c r="C286" s="10" t="s">
        <v>3</v>
      </c>
      <c r="D286" s="10" t="s">
        <v>43</v>
      </c>
      <c r="E286" s="10" t="s">
        <v>4</v>
      </c>
      <c r="F286" s="10" t="s">
        <v>5</v>
      </c>
      <c r="G286" s="10" t="s">
        <v>6</v>
      </c>
    </row>
    <row r="287" spans="2:7" x14ac:dyDescent="0.25">
      <c r="C287" s="3">
        <v>0.69712943030064645</v>
      </c>
      <c r="D287" s="2">
        <v>0.25</v>
      </c>
      <c r="E287" s="2">
        <v>0.49019879906061425</v>
      </c>
      <c r="F287" s="2">
        <v>7.571057460945764E-2</v>
      </c>
      <c r="G287" s="2">
        <v>8.6332237253377908E-2</v>
      </c>
    </row>
    <row r="288" spans="2:7" x14ac:dyDescent="0.25">
      <c r="C288" s="3">
        <v>0.74801703981263812</v>
      </c>
      <c r="D288" s="2">
        <v>0.5</v>
      </c>
      <c r="E288" s="2">
        <v>1</v>
      </c>
      <c r="F288" s="2">
        <v>2.9773689598128844E-2</v>
      </c>
      <c r="G288" s="2">
        <v>1</v>
      </c>
    </row>
    <row r="289" spans="1:7" x14ac:dyDescent="0.25">
      <c r="C289" s="3">
        <v>0.9229809392532492</v>
      </c>
      <c r="D289" s="2">
        <v>0.75</v>
      </c>
      <c r="E289" s="2">
        <v>0.3535920446884655</v>
      </c>
      <c r="F289" s="2">
        <v>1</v>
      </c>
      <c r="G289" s="2">
        <v>0.12486016719718387</v>
      </c>
    </row>
    <row r="290" spans="1:7" x14ac:dyDescent="0.25">
      <c r="C290" s="3">
        <v>1</v>
      </c>
      <c r="D290" s="2">
        <v>1</v>
      </c>
      <c r="E290" s="2">
        <v>0.4287191813565403</v>
      </c>
      <c r="F290" s="2">
        <v>0.53569574699465849</v>
      </c>
      <c r="G290" s="2">
        <v>9.5790129052906028E-2</v>
      </c>
    </row>
    <row r="292" spans="1:7" x14ac:dyDescent="0.25">
      <c r="A292" s="1" t="s">
        <v>0</v>
      </c>
      <c r="B292" s="1" t="s">
        <v>1</v>
      </c>
      <c r="C292" s="1" t="s">
        <v>2</v>
      </c>
      <c r="D292" s="1" t="s">
        <v>3</v>
      </c>
      <c r="E292" s="1" t="s">
        <v>4</v>
      </c>
      <c r="F292" s="1" t="s">
        <v>5</v>
      </c>
      <c r="G292" s="1" t="s">
        <v>6</v>
      </c>
    </row>
    <row r="293" spans="1:7" x14ac:dyDescent="0.25">
      <c r="A293" s="2" t="s">
        <v>29</v>
      </c>
      <c r="B293" s="8" t="s">
        <v>30</v>
      </c>
      <c r="C293" s="2">
        <v>4</v>
      </c>
      <c r="D293" s="3">
        <v>333902.21266145178</v>
      </c>
      <c r="E293" s="3">
        <v>6590.0541599999997</v>
      </c>
      <c r="F293" s="4">
        <v>3.968817154607421E-3</v>
      </c>
      <c r="G293" s="4">
        <v>1.4273582237145071E-3</v>
      </c>
    </row>
    <row r="294" spans="1:7" x14ac:dyDescent="0.25">
      <c r="A294" s="2" t="s">
        <v>29</v>
      </c>
      <c r="B294" s="8" t="s">
        <v>30</v>
      </c>
      <c r="C294" s="2">
        <v>3</v>
      </c>
      <c r="D294" s="3">
        <v>289865.32010952412</v>
      </c>
      <c r="E294" s="3">
        <v>5130.8202951200001</v>
      </c>
      <c r="F294" s="4">
        <v>7.1409024001186736E-3</v>
      </c>
      <c r="G294" s="4">
        <v>1.6292149323472839E-3</v>
      </c>
    </row>
    <row r="295" spans="1:7" x14ac:dyDescent="0.25">
      <c r="A295" s="2" t="s">
        <v>29</v>
      </c>
      <c r="B295" s="8" t="s">
        <v>30</v>
      </c>
      <c r="C295" s="2">
        <v>2</v>
      </c>
      <c r="D295" s="3">
        <v>259818.50988372459</v>
      </c>
      <c r="E295" s="3">
        <v>45922.658233419999</v>
      </c>
      <c r="F295" s="4">
        <v>4.0433840100499702E-5</v>
      </c>
      <c r="G295" s="4">
        <v>1.5232724169502069E-4</v>
      </c>
    </row>
    <row r="296" spans="1:7" x14ac:dyDescent="0.25">
      <c r="A296" s="2" t="s">
        <v>29</v>
      </c>
      <c r="B296" s="8" t="s">
        <v>30</v>
      </c>
      <c r="C296" s="2">
        <v>1</v>
      </c>
      <c r="D296" s="3">
        <v>234189.89306239539</v>
      </c>
      <c r="E296" s="3">
        <v>4733.3383234200001</v>
      </c>
      <c r="F296" s="4">
        <v>6.6356632156617178E-4</v>
      </c>
      <c r="G296" s="4">
        <v>3.1476572520248271E-3</v>
      </c>
    </row>
    <row r="298" spans="1:7" x14ac:dyDescent="0.25">
      <c r="B298" s="7" t="s">
        <v>40</v>
      </c>
      <c r="D298" s="3">
        <f>AVERAGE(D293:D294)</f>
        <v>311883.76638548798</v>
      </c>
      <c r="E298" s="3">
        <f t="shared" ref="E298:G298" si="58">AVERAGE(E293:E294)</f>
        <v>5860.4372275599999</v>
      </c>
      <c r="F298" s="4">
        <f t="shared" si="58"/>
        <v>5.5548597773630477E-3</v>
      </c>
      <c r="G298" s="4">
        <f t="shared" si="58"/>
        <v>1.5282865780308955E-3</v>
      </c>
    </row>
    <row r="299" spans="1:7" x14ac:dyDescent="0.25">
      <c r="B299" s="7" t="s">
        <v>41</v>
      </c>
      <c r="D299" s="3">
        <f>AVERAGE(D295:D296)</f>
        <v>247004.20147306001</v>
      </c>
      <c r="E299" s="3">
        <f t="shared" ref="E299:G299" si="59">AVERAGE(E295:E296)</f>
        <v>25327.99827842</v>
      </c>
      <c r="F299" s="4">
        <f t="shared" si="59"/>
        <v>3.5200008083333573E-4</v>
      </c>
      <c r="G299" s="4">
        <f t="shared" si="59"/>
        <v>1.6499922468599239E-3</v>
      </c>
    </row>
    <row r="301" spans="1:7" x14ac:dyDescent="0.25">
      <c r="C301" s="7" t="s">
        <v>42</v>
      </c>
      <c r="D301" s="3">
        <f>D298/D299</f>
        <v>1.2626658353400688</v>
      </c>
      <c r="E301" s="3">
        <f t="shared" ref="E301:G301" si="60">E298/E299</f>
        <v>0.23138177613322164</v>
      </c>
      <c r="F301" s="3">
        <f t="shared" si="60"/>
        <v>15.780848016319494</v>
      </c>
      <c r="G301" s="3">
        <f t="shared" si="60"/>
        <v>0.9262386419932308</v>
      </c>
    </row>
    <row r="303" spans="1:7" x14ac:dyDescent="0.25">
      <c r="C303" s="2">
        <f>MAX(C293:C296)</f>
        <v>4</v>
      </c>
      <c r="D303" s="2">
        <f t="shared" ref="D303:G303" si="61">MAX(D293:D296)</f>
        <v>333902.21266145178</v>
      </c>
      <c r="E303" s="2">
        <f t="shared" si="61"/>
        <v>45922.658233419999</v>
      </c>
      <c r="F303" s="2">
        <f t="shared" si="61"/>
        <v>7.1409024001186736E-3</v>
      </c>
      <c r="G303" s="2">
        <f t="shared" si="61"/>
        <v>3.1476572520248271E-3</v>
      </c>
    </row>
    <row r="304" spans="1:7" x14ac:dyDescent="0.25">
      <c r="C304" s="10" t="s">
        <v>43</v>
      </c>
      <c r="D304" s="10" t="s">
        <v>3</v>
      </c>
      <c r="E304" s="1" t="s">
        <v>4</v>
      </c>
      <c r="F304" s="1" t="s">
        <v>5</v>
      </c>
      <c r="G304" s="1" t="s">
        <v>6</v>
      </c>
    </row>
    <row r="305" spans="1:7" x14ac:dyDescent="0.25">
      <c r="C305" s="2">
        <f>C293/C$303</f>
        <v>1</v>
      </c>
      <c r="D305" s="2">
        <f t="shared" ref="D305:G305" si="62">D293/D$303</f>
        <v>1</v>
      </c>
      <c r="E305" s="2">
        <f t="shared" si="62"/>
        <v>0.14350332523225146</v>
      </c>
      <c r="F305" s="2">
        <f t="shared" si="62"/>
        <v>0.55578650039264843</v>
      </c>
      <c r="G305" s="2">
        <f t="shared" si="62"/>
        <v>0.45346685151196658</v>
      </c>
    </row>
    <row r="306" spans="1:7" x14ac:dyDescent="0.25">
      <c r="C306" s="2">
        <f t="shared" ref="C306:G308" si="63">C294/C$303</f>
        <v>0.75</v>
      </c>
      <c r="D306" s="2">
        <f t="shared" si="63"/>
        <v>0.86811440331311229</v>
      </c>
      <c r="E306" s="2">
        <f t="shared" si="63"/>
        <v>0.11172742372709753</v>
      </c>
      <c r="F306" s="2">
        <f t="shared" si="63"/>
        <v>1</v>
      </c>
      <c r="G306" s="2">
        <f t="shared" si="63"/>
        <v>0.5175960410871423</v>
      </c>
    </row>
    <row r="307" spans="1:7" x14ac:dyDescent="0.25">
      <c r="C307" s="2">
        <f t="shared" si="63"/>
        <v>0.5</v>
      </c>
      <c r="D307" s="2">
        <f t="shared" si="63"/>
        <v>0.77812754762172931</v>
      </c>
      <c r="E307" s="2">
        <f t="shared" si="63"/>
        <v>1</v>
      </c>
      <c r="F307" s="2">
        <f t="shared" si="63"/>
        <v>5.6622871781342003E-3</v>
      </c>
      <c r="G307" s="2">
        <f t="shared" si="63"/>
        <v>4.8393846438341249E-2</v>
      </c>
    </row>
    <row r="308" spans="1:7" x14ac:dyDescent="0.25">
      <c r="C308" s="2">
        <f t="shared" si="63"/>
        <v>0.25</v>
      </c>
      <c r="D308" s="2">
        <f t="shared" si="63"/>
        <v>0.70137268991339052</v>
      </c>
      <c r="E308" s="2">
        <f t="shared" si="63"/>
        <v>0.10307195849510592</v>
      </c>
      <c r="F308" s="2">
        <f t="shared" si="63"/>
        <v>9.2924715166971622E-2</v>
      </c>
      <c r="G308" s="2">
        <f t="shared" si="63"/>
        <v>1</v>
      </c>
    </row>
    <row r="310" spans="1:7" x14ac:dyDescent="0.25">
      <c r="C310" s="10" t="s">
        <v>3</v>
      </c>
      <c r="D310" s="10" t="s">
        <v>43</v>
      </c>
      <c r="E310" s="10" t="s">
        <v>4</v>
      </c>
      <c r="F310" s="10" t="s">
        <v>5</v>
      </c>
      <c r="G310" s="10" t="s">
        <v>6</v>
      </c>
    </row>
    <row r="311" spans="1:7" x14ac:dyDescent="0.25">
      <c r="C311" s="3">
        <v>0.70137268991339052</v>
      </c>
      <c r="D311" s="2">
        <v>0.25</v>
      </c>
      <c r="E311" s="2">
        <v>0.10307195849510592</v>
      </c>
      <c r="F311" s="2">
        <v>9.2924715166971622E-2</v>
      </c>
      <c r="G311" s="2">
        <v>1</v>
      </c>
    </row>
    <row r="312" spans="1:7" x14ac:dyDescent="0.25">
      <c r="C312" s="3">
        <v>0.77812754762172931</v>
      </c>
      <c r="D312" s="2">
        <v>0.5</v>
      </c>
      <c r="E312" s="2">
        <v>1</v>
      </c>
      <c r="F312" s="2">
        <v>5.6622871781342003E-3</v>
      </c>
      <c r="G312" s="2">
        <v>4.8393846438341249E-2</v>
      </c>
    </row>
    <row r="313" spans="1:7" x14ac:dyDescent="0.25">
      <c r="C313" s="3">
        <v>0.86811440331311229</v>
      </c>
      <c r="D313" s="2">
        <v>0.75</v>
      </c>
      <c r="E313" s="2">
        <v>0.11172742372709753</v>
      </c>
      <c r="F313" s="2">
        <v>1</v>
      </c>
      <c r="G313" s="2">
        <v>0.5175960410871423</v>
      </c>
    </row>
    <row r="314" spans="1:7" x14ac:dyDescent="0.25">
      <c r="C314" s="3">
        <v>1</v>
      </c>
      <c r="D314" s="2">
        <v>1</v>
      </c>
      <c r="E314" s="2">
        <v>0.14350332523225146</v>
      </c>
      <c r="F314" s="2">
        <v>0.55578650039264843</v>
      </c>
      <c r="G314" s="2">
        <v>0.45346685151196658</v>
      </c>
    </row>
    <row r="317" spans="1:7" x14ac:dyDescent="0.25">
      <c r="A317" s="1" t="s">
        <v>0</v>
      </c>
      <c r="B317" s="1" t="s">
        <v>1</v>
      </c>
      <c r="C317" s="1" t="s">
        <v>2</v>
      </c>
      <c r="D317" s="1" t="s">
        <v>3</v>
      </c>
      <c r="E317" s="1" t="s">
        <v>4</v>
      </c>
      <c r="F317" s="1" t="s">
        <v>5</v>
      </c>
      <c r="G317" s="1" t="s">
        <v>6</v>
      </c>
    </row>
    <row r="318" spans="1:7" x14ac:dyDescent="0.25">
      <c r="A318" s="2" t="s">
        <v>31</v>
      </c>
      <c r="B318" s="8" t="s">
        <v>32</v>
      </c>
      <c r="C318" s="2">
        <v>4</v>
      </c>
      <c r="D318" s="3">
        <v>615324.90182869229</v>
      </c>
      <c r="E318" s="3">
        <v>12188.037840000001</v>
      </c>
      <c r="F318" s="4">
        <v>3.5563801629943082E-3</v>
      </c>
      <c r="G318" s="4">
        <v>2.3262126662383252E-3</v>
      </c>
    </row>
    <row r="319" spans="1:7" x14ac:dyDescent="0.25">
      <c r="A319" s="2" t="s">
        <v>31</v>
      </c>
      <c r="B319" s="8" t="s">
        <v>32</v>
      </c>
      <c r="C319" s="2">
        <v>3</v>
      </c>
      <c r="D319" s="3">
        <v>463470.71898289572</v>
      </c>
      <c r="E319" s="3">
        <v>9380.3853557600014</v>
      </c>
      <c r="F319" s="4">
        <v>2.4821681068467739E-3</v>
      </c>
      <c r="G319" s="4">
        <v>1.7821392198706289E-3</v>
      </c>
    </row>
    <row r="320" spans="1:7" x14ac:dyDescent="0.25">
      <c r="A320" s="2" t="s">
        <v>31</v>
      </c>
      <c r="B320" s="8" t="s">
        <v>32</v>
      </c>
      <c r="C320" s="2">
        <v>2</v>
      </c>
      <c r="D320" s="3">
        <v>441905.15975913568</v>
      </c>
      <c r="E320" s="3">
        <v>8680.9984719799995</v>
      </c>
      <c r="F320" s="4">
        <v>5.3628300774693723E-2</v>
      </c>
      <c r="G320" s="4">
        <v>1.9809359137092151E-3</v>
      </c>
    </row>
    <row r="321" spans="1:7" x14ac:dyDescent="0.25">
      <c r="A321" s="2" t="s">
        <v>31</v>
      </c>
      <c r="B321" s="8" t="s">
        <v>32</v>
      </c>
      <c r="C321" s="2">
        <v>1</v>
      </c>
      <c r="D321" s="3">
        <v>396416.47748978873</v>
      </c>
      <c r="E321" s="3">
        <v>10615.43888874</v>
      </c>
      <c r="F321" s="4">
        <v>5.7122249315871114E-3</v>
      </c>
      <c r="G321" s="4">
        <v>1.223257961926933E-3</v>
      </c>
    </row>
    <row r="323" spans="1:7" x14ac:dyDescent="0.25">
      <c r="B323" s="7" t="s">
        <v>40</v>
      </c>
      <c r="D323" s="3">
        <f>AVERAGE(D318:D319)</f>
        <v>539397.81040579407</v>
      </c>
      <c r="E323" s="3">
        <f t="shared" ref="E323:G323" si="64">AVERAGE(E318:E319)</f>
        <v>10784.211597880001</v>
      </c>
      <c r="F323" s="4">
        <f t="shared" si="64"/>
        <v>3.0192741349205411E-3</v>
      </c>
      <c r="G323" s="4">
        <f t="shared" si="64"/>
        <v>2.0541759430544771E-3</v>
      </c>
    </row>
    <row r="324" spans="1:7" x14ac:dyDescent="0.25">
      <c r="B324" s="7" t="s">
        <v>41</v>
      </c>
      <c r="D324" s="3">
        <f>AVERAGE(D320:D321)</f>
        <v>419160.81862446223</v>
      </c>
      <c r="E324" s="3">
        <f t="shared" ref="E324:G324" si="65">AVERAGE(E320:E321)</f>
        <v>9648.2186803599998</v>
      </c>
      <c r="F324" s="4">
        <f t="shared" si="65"/>
        <v>2.9670262853140415E-2</v>
      </c>
      <c r="G324" s="4">
        <f t="shared" si="65"/>
        <v>1.602096937818074E-3</v>
      </c>
    </row>
    <row r="326" spans="1:7" x14ac:dyDescent="0.25">
      <c r="C326" s="7" t="s">
        <v>42</v>
      </c>
      <c r="D326" s="3">
        <f>D323/D324</f>
        <v>1.2868516961482879</v>
      </c>
      <c r="E326" s="3">
        <f t="shared" ref="E326:G326" si="66">E323/E324</f>
        <v>1.1177412074865631</v>
      </c>
      <c r="F326" s="3">
        <f t="shared" si="66"/>
        <v>0.10176095000792922</v>
      </c>
      <c r="G326" s="3">
        <f t="shared" si="66"/>
        <v>1.2821795576565411</v>
      </c>
    </row>
    <row r="328" spans="1:7" x14ac:dyDescent="0.25">
      <c r="C328" s="2">
        <f>MAX(C318:C321)</f>
        <v>4</v>
      </c>
      <c r="D328" s="2">
        <f t="shared" ref="D328:G328" si="67">MAX(D318:D321)</f>
        <v>615324.90182869229</v>
      </c>
      <c r="E328" s="2">
        <f t="shared" si="67"/>
        <v>12188.037840000001</v>
      </c>
      <c r="F328" s="2">
        <f t="shared" si="67"/>
        <v>5.3628300774693723E-2</v>
      </c>
      <c r="G328" s="2">
        <f t="shared" si="67"/>
        <v>2.3262126662383252E-3</v>
      </c>
    </row>
    <row r="329" spans="1:7" x14ac:dyDescent="0.25">
      <c r="C329" s="10" t="s">
        <v>43</v>
      </c>
      <c r="D329" s="10" t="s">
        <v>3</v>
      </c>
      <c r="E329" s="1" t="s">
        <v>4</v>
      </c>
      <c r="F329" s="1" t="s">
        <v>5</v>
      </c>
      <c r="G329" s="1" t="s">
        <v>6</v>
      </c>
    </row>
    <row r="330" spans="1:7" x14ac:dyDescent="0.25">
      <c r="C330" s="2">
        <f>C318/C$328</f>
        <v>1</v>
      </c>
      <c r="D330" s="2">
        <f t="shared" ref="D330:G330" si="68">D318/D$328</f>
        <v>1</v>
      </c>
      <c r="E330" s="2">
        <f t="shared" si="68"/>
        <v>1</v>
      </c>
      <c r="F330" s="2">
        <f t="shared" si="68"/>
        <v>6.6315361695601274E-2</v>
      </c>
      <c r="G330" s="2">
        <f t="shared" si="68"/>
        <v>1</v>
      </c>
    </row>
    <row r="331" spans="1:7" x14ac:dyDescent="0.25">
      <c r="C331" s="2">
        <f t="shared" ref="C331:G333" si="69">C319/C$328</f>
        <v>0.75</v>
      </c>
      <c r="D331" s="2">
        <f t="shared" si="69"/>
        <v>0.75321300601601027</v>
      </c>
      <c r="E331" s="2">
        <f t="shared" si="69"/>
        <v>0.76963868006501046</v>
      </c>
      <c r="F331" s="2">
        <f t="shared" si="69"/>
        <v>4.6284668188071074E-2</v>
      </c>
      <c r="G331" s="2">
        <f t="shared" si="69"/>
        <v>0.76611190616225677</v>
      </c>
    </row>
    <row r="332" spans="1:7" x14ac:dyDescent="0.25">
      <c r="C332" s="2">
        <f t="shared" si="69"/>
        <v>0.5</v>
      </c>
      <c r="D332" s="2">
        <f t="shared" si="69"/>
        <v>0.71816557146611792</v>
      </c>
      <c r="E332" s="2">
        <f t="shared" si="69"/>
        <v>0.71225562194184977</v>
      </c>
      <c r="F332" s="2">
        <f t="shared" si="69"/>
        <v>1</v>
      </c>
      <c r="G332" s="2">
        <f t="shared" si="69"/>
        <v>0.85157128686456229</v>
      </c>
    </row>
    <row r="333" spans="1:7" x14ac:dyDescent="0.25">
      <c r="C333" s="2">
        <f t="shared" si="69"/>
        <v>0.25</v>
      </c>
      <c r="D333" s="2">
        <f t="shared" si="69"/>
        <v>0.64423928937651198</v>
      </c>
      <c r="E333" s="2">
        <f t="shared" si="69"/>
        <v>0.87097193396472083</v>
      </c>
      <c r="F333" s="2">
        <f t="shared" si="69"/>
        <v>0.10651512073048215</v>
      </c>
      <c r="G333" s="2">
        <f t="shared" si="69"/>
        <v>0.52585818127499084</v>
      </c>
    </row>
    <row r="335" spans="1:7" x14ac:dyDescent="0.25">
      <c r="C335" s="10" t="s">
        <v>3</v>
      </c>
      <c r="D335" s="10" t="s">
        <v>43</v>
      </c>
      <c r="E335" s="10" t="s">
        <v>4</v>
      </c>
      <c r="F335" s="10" t="s">
        <v>5</v>
      </c>
      <c r="G335" s="10" t="s">
        <v>6</v>
      </c>
    </row>
    <row r="336" spans="1:7" x14ac:dyDescent="0.25">
      <c r="C336" s="3">
        <v>0.64423928937651198</v>
      </c>
      <c r="D336" s="2">
        <v>0.25</v>
      </c>
      <c r="E336" s="2">
        <v>0.87097193396472083</v>
      </c>
      <c r="F336" s="2">
        <v>0.10651512073048215</v>
      </c>
      <c r="G336" s="2">
        <v>0.52585818127499084</v>
      </c>
    </row>
    <row r="337" spans="1:7" x14ac:dyDescent="0.25">
      <c r="C337" s="3">
        <v>0.71816557146611792</v>
      </c>
      <c r="D337" s="2">
        <v>0.5</v>
      </c>
      <c r="E337" s="2">
        <v>0.71225562194184977</v>
      </c>
      <c r="F337" s="2">
        <v>1</v>
      </c>
      <c r="G337" s="2">
        <v>0.85157128686456229</v>
      </c>
    </row>
    <row r="338" spans="1:7" x14ac:dyDescent="0.25">
      <c r="C338" s="3">
        <v>0.75321300601601027</v>
      </c>
      <c r="D338" s="2">
        <v>0.75</v>
      </c>
      <c r="E338" s="2">
        <v>0.76963868006501046</v>
      </c>
      <c r="F338" s="2">
        <v>4.6284668188071074E-2</v>
      </c>
      <c r="G338" s="2">
        <v>0.76611190616225677</v>
      </c>
    </row>
    <row r="339" spans="1:7" x14ac:dyDescent="0.25">
      <c r="C339" s="3">
        <v>1</v>
      </c>
      <c r="D339" s="2">
        <v>1</v>
      </c>
      <c r="E339" s="2">
        <v>1</v>
      </c>
      <c r="F339" s="2">
        <v>6.6315361695601274E-2</v>
      </c>
      <c r="G339" s="2">
        <v>1</v>
      </c>
    </row>
    <row r="342" spans="1:7" x14ac:dyDescent="0.25">
      <c r="A342" s="1" t="s">
        <v>0</v>
      </c>
      <c r="B342" s="1" t="s">
        <v>1</v>
      </c>
      <c r="C342" s="1" t="s">
        <v>2</v>
      </c>
      <c r="D342" s="1" t="s">
        <v>3</v>
      </c>
      <c r="E342" s="1" t="s">
        <v>4</v>
      </c>
      <c r="F342" s="1" t="s">
        <v>5</v>
      </c>
      <c r="G342" s="1" t="s">
        <v>6</v>
      </c>
    </row>
    <row r="343" spans="1:7" x14ac:dyDescent="0.25">
      <c r="A343" s="2" t="s">
        <v>33</v>
      </c>
      <c r="B343" s="8" t="s">
        <v>34</v>
      </c>
      <c r="C343" s="2">
        <v>1</v>
      </c>
      <c r="D343" s="3">
        <v>480752.63075950177</v>
      </c>
      <c r="E343" s="3">
        <v>13713.99982974</v>
      </c>
      <c r="F343" s="4">
        <v>1.8909555433829729E-4</v>
      </c>
      <c r="G343" s="4">
        <v>1.421912259449817E-2</v>
      </c>
    </row>
    <row r="344" spans="1:7" x14ac:dyDescent="0.25">
      <c r="A344" s="2" t="s">
        <v>33</v>
      </c>
      <c r="B344" s="8" t="s">
        <v>34</v>
      </c>
      <c r="C344" s="2">
        <v>4</v>
      </c>
      <c r="D344" s="3">
        <v>430680.74778667098</v>
      </c>
      <c r="E344" s="3">
        <v>9650.7308639999992</v>
      </c>
      <c r="F344" s="4">
        <v>3.2382873836611008E-4</v>
      </c>
      <c r="G344" s="4">
        <v>1.307147425181787E-3</v>
      </c>
    </row>
    <row r="345" spans="1:7" x14ac:dyDescent="0.25">
      <c r="A345" s="2" t="s">
        <v>33</v>
      </c>
      <c r="B345" s="8" t="s">
        <v>34</v>
      </c>
      <c r="C345" s="2">
        <v>3</v>
      </c>
      <c r="D345" s="3">
        <v>344818.33344279532</v>
      </c>
      <c r="E345" s="3">
        <v>7766.5175531200011</v>
      </c>
      <c r="F345" s="4">
        <v>5.6879237956854514E-4</v>
      </c>
      <c r="G345" s="4">
        <v>9.2862762115340628E-4</v>
      </c>
    </row>
    <row r="346" spans="1:7" x14ac:dyDescent="0.25">
      <c r="A346" s="2" t="s">
        <v>33</v>
      </c>
      <c r="B346" s="8" t="s">
        <v>34</v>
      </c>
      <c r="C346" s="2">
        <v>2</v>
      </c>
      <c r="D346" s="3">
        <v>310794.74797233898</v>
      </c>
      <c r="E346" s="3">
        <v>8210.8821614400003</v>
      </c>
      <c r="F346" s="4">
        <v>1.515288413031857E-4</v>
      </c>
      <c r="G346" s="4">
        <v>1.134724744407487E-2</v>
      </c>
    </row>
    <row r="348" spans="1:7" x14ac:dyDescent="0.25">
      <c r="B348" s="7" t="s">
        <v>40</v>
      </c>
      <c r="D348" s="3">
        <f>AVERAGE(D343:D344)</f>
        <v>455716.68927308638</v>
      </c>
      <c r="E348" s="3">
        <f t="shared" ref="E348:G348" si="70">AVERAGE(E343:E344)</f>
        <v>11682.365346869999</v>
      </c>
      <c r="F348" s="4">
        <f t="shared" si="70"/>
        <v>2.5646214635220368E-4</v>
      </c>
      <c r="G348" s="4">
        <f t="shared" si="70"/>
        <v>7.7631350098399787E-3</v>
      </c>
    </row>
    <row r="349" spans="1:7" x14ac:dyDescent="0.25">
      <c r="B349" s="7" t="s">
        <v>41</v>
      </c>
      <c r="D349" s="3">
        <f>AVERAGE(D345:D346)</f>
        <v>327806.54070756712</v>
      </c>
      <c r="E349" s="3">
        <f t="shared" ref="E349:G349" si="71">AVERAGE(E345:E346)</f>
        <v>7988.6998572800003</v>
      </c>
      <c r="F349" s="4">
        <f t="shared" si="71"/>
        <v>3.6016061043586542E-4</v>
      </c>
      <c r="G349" s="4">
        <f t="shared" si="71"/>
        <v>6.1379375326141381E-3</v>
      </c>
    </row>
    <row r="351" spans="1:7" x14ac:dyDescent="0.25">
      <c r="C351" s="7" t="s">
        <v>42</v>
      </c>
      <c r="D351" s="3">
        <f>D348/D349</f>
        <v>1.3902001109844437</v>
      </c>
      <c r="E351" s="3">
        <f t="shared" ref="E351:G351" si="72">E348/E349</f>
        <v>1.462361279754929</v>
      </c>
      <c r="F351" s="3">
        <f t="shared" si="72"/>
        <v>0.71207716480109773</v>
      </c>
      <c r="G351" s="3">
        <f t="shared" si="72"/>
        <v>1.2647790839496653</v>
      </c>
    </row>
    <row r="353" spans="1:7" x14ac:dyDescent="0.25">
      <c r="C353" s="2">
        <f>MAX(C343:C346)</f>
        <v>4</v>
      </c>
      <c r="D353" s="2">
        <f t="shared" ref="D353:G353" si="73">MAX(D343:D346)</f>
        <v>480752.63075950177</v>
      </c>
      <c r="E353" s="2">
        <f t="shared" si="73"/>
        <v>13713.99982974</v>
      </c>
      <c r="F353" s="2">
        <f t="shared" si="73"/>
        <v>5.6879237956854514E-4</v>
      </c>
      <c r="G353" s="2">
        <f t="shared" si="73"/>
        <v>1.421912259449817E-2</v>
      </c>
    </row>
    <row r="354" spans="1:7" x14ac:dyDescent="0.25">
      <c r="C354" s="10" t="s">
        <v>43</v>
      </c>
      <c r="D354" s="10" t="s">
        <v>3</v>
      </c>
      <c r="E354" s="1" t="s">
        <v>4</v>
      </c>
      <c r="F354" s="1" t="s">
        <v>5</v>
      </c>
      <c r="G354" s="1" t="s">
        <v>6</v>
      </c>
    </row>
    <row r="355" spans="1:7" x14ac:dyDescent="0.25">
      <c r="C355" s="2">
        <f>C343/C$353</f>
        <v>0.25</v>
      </c>
      <c r="D355" s="2">
        <f t="shared" ref="D355:G355" si="74">D343/D$353</f>
        <v>1</v>
      </c>
      <c r="E355" s="2">
        <f t="shared" si="74"/>
        <v>1</v>
      </c>
      <c r="F355" s="2">
        <f t="shared" si="74"/>
        <v>0.33245092784424229</v>
      </c>
      <c r="G355" s="2">
        <f t="shared" si="74"/>
        <v>1</v>
      </c>
    </row>
    <row r="356" spans="1:7" x14ac:dyDescent="0.25">
      <c r="C356" s="2">
        <f t="shared" ref="C356:G358" si="75">C344/C$353</f>
        <v>1</v>
      </c>
      <c r="D356" s="2">
        <f t="shared" si="75"/>
        <v>0.89584688721572603</v>
      </c>
      <c r="E356" s="2">
        <f t="shared" si="75"/>
        <v>0.70371379494052133</v>
      </c>
      <c r="F356" s="2">
        <f t="shared" si="75"/>
        <v>0.56932678776700363</v>
      </c>
      <c r="G356" s="2">
        <f t="shared" si="75"/>
        <v>9.1928838540822747E-2</v>
      </c>
    </row>
    <row r="357" spans="1:7" x14ac:dyDescent="0.25">
      <c r="C357" s="2">
        <f t="shared" si="75"/>
        <v>0.75</v>
      </c>
      <c r="D357" s="2">
        <f t="shared" si="75"/>
        <v>0.7172468986764462</v>
      </c>
      <c r="E357" s="2">
        <f t="shared" si="75"/>
        <v>0.56632037695360282</v>
      </c>
      <c r="F357" s="2">
        <f t="shared" si="75"/>
        <v>1</v>
      </c>
      <c r="G357" s="2">
        <f t="shared" si="75"/>
        <v>6.5308363085126067E-2</v>
      </c>
    </row>
    <row r="358" spans="1:7" x14ac:dyDescent="0.25">
      <c r="C358" s="2">
        <f t="shared" si="75"/>
        <v>0.5</v>
      </c>
      <c r="D358" s="2">
        <f t="shared" si="75"/>
        <v>0.64647539729806525</v>
      </c>
      <c r="E358" s="2">
        <f t="shared" si="75"/>
        <v>0.59872263842631746</v>
      </c>
      <c r="F358" s="2">
        <f t="shared" si="75"/>
        <v>0.26640448561938757</v>
      </c>
      <c r="G358" s="2">
        <f t="shared" si="75"/>
        <v>0.798027260026964</v>
      </c>
    </row>
    <row r="360" spans="1:7" x14ac:dyDescent="0.25">
      <c r="C360" s="10" t="s">
        <v>3</v>
      </c>
      <c r="D360" s="10" t="s">
        <v>43</v>
      </c>
      <c r="E360" s="10" t="s">
        <v>4</v>
      </c>
      <c r="F360" s="10" t="s">
        <v>5</v>
      </c>
      <c r="G360" s="10" t="s">
        <v>6</v>
      </c>
    </row>
    <row r="361" spans="1:7" x14ac:dyDescent="0.25">
      <c r="C361" s="3">
        <v>0.64647539729806525</v>
      </c>
      <c r="D361" s="2">
        <v>0.5</v>
      </c>
      <c r="E361" s="2">
        <v>0.59872263842631746</v>
      </c>
      <c r="F361" s="2">
        <v>0.26640448561938757</v>
      </c>
      <c r="G361" s="2">
        <v>0.798027260026964</v>
      </c>
    </row>
    <row r="362" spans="1:7" x14ac:dyDescent="0.25">
      <c r="C362" s="3">
        <v>0.7172468986764462</v>
      </c>
      <c r="D362" s="2">
        <v>0.75</v>
      </c>
      <c r="E362" s="2">
        <v>0.56632037695360282</v>
      </c>
      <c r="F362" s="2">
        <v>1</v>
      </c>
      <c r="G362" s="2">
        <v>6.5308363085126067E-2</v>
      </c>
    </row>
    <row r="363" spans="1:7" x14ac:dyDescent="0.25">
      <c r="C363" s="3">
        <v>0.89584688721572603</v>
      </c>
      <c r="D363" s="2">
        <v>1</v>
      </c>
      <c r="E363" s="2">
        <v>0.70371379494052133</v>
      </c>
      <c r="F363" s="2">
        <v>0.56932678776700363</v>
      </c>
      <c r="G363" s="2">
        <v>9.1928838540822747E-2</v>
      </c>
    </row>
    <row r="364" spans="1:7" x14ac:dyDescent="0.25">
      <c r="C364" s="3">
        <v>1</v>
      </c>
      <c r="D364" s="2">
        <v>0.25</v>
      </c>
      <c r="E364" s="2">
        <v>1</v>
      </c>
      <c r="F364" s="2">
        <v>0.33245092784424229</v>
      </c>
      <c r="G364" s="2">
        <v>1</v>
      </c>
    </row>
    <row r="367" spans="1:7" x14ac:dyDescent="0.25">
      <c r="A367" s="1" t="s">
        <v>0</v>
      </c>
      <c r="B367" s="1" t="s">
        <v>1</v>
      </c>
      <c r="C367" s="1" t="s">
        <v>2</v>
      </c>
      <c r="D367" s="1" t="s">
        <v>3</v>
      </c>
      <c r="E367" s="1" t="s">
        <v>4</v>
      </c>
      <c r="F367" s="1" t="s">
        <v>5</v>
      </c>
      <c r="G367" s="1" t="s">
        <v>6</v>
      </c>
    </row>
    <row r="368" spans="1:7" x14ac:dyDescent="0.25">
      <c r="A368" s="2" t="s">
        <v>35</v>
      </c>
      <c r="B368" s="8" t="s">
        <v>36</v>
      </c>
      <c r="C368" s="2">
        <v>4</v>
      </c>
      <c r="D368" s="3">
        <v>624490.81179662514</v>
      </c>
      <c r="E368" s="3">
        <v>23490.718752000001</v>
      </c>
      <c r="F368" s="4">
        <v>1.927088927244758E-3</v>
      </c>
      <c r="G368" s="4">
        <v>1.8760825696850091E-3</v>
      </c>
    </row>
    <row r="369" spans="1:7" x14ac:dyDescent="0.25">
      <c r="A369" s="2" t="s">
        <v>35</v>
      </c>
      <c r="B369" s="8" t="s">
        <v>36</v>
      </c>
      <c r="C369" s="2">
        <v>3</v>
      </c>
      <c r="D369" s="3">
        <v>615005.46689121344</v>
      </c>
      <c r="E369" s="3">
        <v>18304.5266156</v>
      </c>
      <c r="F369" s="4">
        <v>2.0544865338363899E-3</v>
      </c>
      <c r="G369" s="4">
        <v>2.397692315221963E-3</v>
      </c>
    </row>
    <row r="370" spans="1:7" x14ac:dyDescent="0.25">
      <c r="A370" s="2" t="s">
        <v>35</v>
      </c>
      <c r="B370" s="8" t="s">
        <v>36</v>
      </c>
      <c r="C370" s="2">
        <v>1</v>
      </c>
      <c r="D370" s="3">
        <v>557880.96074185451</v>
      </c>
      <c r="E370" s="3">
        <v>17673.58753398</v>
      </c>
      <c r="F370" s="4">
        <v>1.2639185721094849E-3</v>
      </c>
      <c r="G370" s="4">
        <v>7.224852054202324E-4</v>
      </c>
    </row>
    <row r="371" spans="1:7" x14ac:dyDescent="0.25">
      <c r="A371" s="2" t="s">
        <v>35</v>
      </c>
      <c r="B371" s="8" t="s">
        <v>36</v>
      </c>
      <c r="C371" s="2">
        <v>2</v>
      </c>
      <c r="D371" s="3">
        <v>528936.59684355662</v>
      </c>
      <c r="E371" s="3">
        <v>14840.029964359999</v>
      </c>
      <c r="F371" s="4">
        <v>3.348617336982791E-3</v>
      </c>
      <c r="G371" s="4">
        <v>9.7700369843055682E-4</v>
      </c>
    </row>
    <row r="373" spans="1:7" x14ac:dyDescent="0.25">
      <c r="B373" s="7" t="s">
        <v>40</v>
      </c>
      <c r="D373" s="3">
        <f>AVERAGE(D368:D369)</f>
        <v>619748.13934391923</v>
      </c>
      <c r="E373" s="3">
        <f t="shared" ref="E373:G373" si="76">AVERAGE(E368:E369)</f>
        <v>20897.6226838</v>
      </c>
      <c r="F373" s="4">
        <f t="shared" si="76"/>
        <v>1.9907877305405742E-3</v>
      </c>
      <c r="G373" s="4">
        <f t="shared" si="76"/>
        <v>2.1368874424534858E-3</v>
      </c>
    </row>
    <row r="374" spans="1:7" x14ac:dyDescent="0.25">
      <c r="B374" s="7" t="s">
        <v>41</v>
      </c>
      <c r="D374" s="3">
        <f>AVERAGE(D370:D371)</f>
        <v>543408.77879270562</v>
      </c>
      <c r="E374" s="3">
        <f t="shared" ref="E374:G374" si="77">AVERAGE(E370:E371)</f>
        <v>16256.808749169999</v>
      </c>
      <c r="F374" s="4">
        <f t="shared" si="77"/>
        <v>2.3062679545461382E-3</v>
      </c>
      <c r="G374" s="4">
        <f t="shared" si="77"/>
        <v>8.4974445192539461E-4</v>
      </c>
    </row>
    <row r="376" spans="1:7" x14ac:dyDescent="0.25">
      <c r="C376" s="7" t="s">
        <v>42</v>
      </c>
      <c r="D376" s="3">
        <f>D373/D374</f>
        <v>1.1404823836685474</v>
      </c>
      <c r="E376" s="3">
        <f t="shared" ref="E376:G376" si="78">E373/E374</f>
        <v>1.2854689383527957</v>
      </c>
      <c r="F376" s="3">
        <f t="shared" si="78"/>
        <v>0.8632074718882139</v>
      </c>
      <c r="G376" s="3">
        <f t="shared" si="78"/>
        <v>2.5147412702861627</v>
      </c>
    </row>
    <row r="378" spans="1:7" x14ac:dyDescent="0.25">
      <c r="C378" s="2">
        <f>MAX(C368:C371)</f>
        <v>4</v>
      </c>
      <c r="D378" s="2">
        <f t="shared" ref="D378:G378" si="79">MAX(D368:D371)</f>
        <v>624490.81179662514</v>
      </c>
      <c r="E378" s="2">
        <f t="shared" si="79"/>
        <v>23490.718752000001</v>
      </c>
      <c r="F378" s="2">
        <f t="shared" si="79"/>
        <v>3.348617336982791E-3</v>
      </c>
      <c r="G378" s="2">
        <f t="shared" si="79"/>
        <v>2.397692315221963E-3</v>
      </c>
    </row>
    <row r="379" spans="1:7" x14ac:dyDescent="0.25">
      <c r="C379" s="10" t="s">
        <v>43</v>
      </c>
      <c r="D379" s="10" t="s">
        <v>3</v>
      </c>
      <c r="E379" s="1" t="s">
        <v>4</v>
      </c>
      <c r="F379" s="1" t="s">
        <v>5</v>
      </c>
      <c r="G379" s="1" t="s">
        <v>6</v>
      </c>
    </row>
    <row r="380" spans="1:7" x14ac:dyDescent="0.25">
      <c r="C380" s="2">
        <f>C368/C$378</f>
        <v>1</v>
      </c>
      <c r="D380" s="2">
        <f t="shared" ref="D380:G380" si="80">D368/D$378</f>
        <v>1</v>
      </c>
      <c r="E380" s="2">
        <f t="shared" si="80"/>
        <v>1</v>
      </c>
      <c r="F380" s="2">
        <f t="shared" si="80"/>
        <v>0.57548795019413157</v>
      </c>
      <c r="G380" s="2">
        <f t="shared" si="80"/>
        <v>0.78245342731197487</v>
      </c>
    </row>
    <row r="381" spans="1:7" x14ac:dyDescent="0.25">
      <c r="C381" s="2">
        <f t="shared" ref="C381:G383" si="81">C369/C$378</f>
        <v>0.75</v>
      </c>
      <c r="D381" s="2">
        <f t="shared" si="81"/>
        <v>0.98481107371600407</v>
      </c>
      <c r="E381" s="2">
        <f t="shared" si="81"/>
        <v>0.77922377807369358</v>
      </c>
      <c r="F381" s="2">
        <f t="shared" si="81"/>
        <v>0.61353278893537189</v>
      </c>
      <c r="G381" s="2">
        <f t="shared" si="81"/>
        <v>1</v>
      </c>
    </row>
    <row r="382" spans="1:7" x14ac:dyDescent="0.25">
      <c r="C382" s="2">
        <f t="shared" si="81"/>
        <v>0.25</v>
      </c>
      <c r="D382" s="2">
        <f t="shared" si="81"/>
        <v>0.89333734012332733</v>
      </c>
      <c r="E382" s="2">
        <f t="shared" si="81"/>
        <v>0.7523646986099678</v>
      </c>
      <c r="F382" s="2">
        <f t="shared" si="81"/>
        <v>0.3774449108145379</v>
      </c>
      <c r="G382" s="2">
        <f t="shared" si="81"/>
        <v>0.30132523711798664</v>
      </c>
    </row>
    <row r="383" spans="1:7" x14ac:dyDescent="0.25">
      <c r="C383" s="2">
        <f t="shared" si="81"/>
        <v>0.5</v>
      </c>
      <c r="D383" s="2">
        <f t="shared" si="81"/>
        <v>0.84698859751328548</v>
      </c>
      <c r="E383" s="2">
        <f t="shared" si="81"/>
        <v>0.63174014047980198</v>
      </c>
      <c r="F383" s="2">
        <f t="shared" si="81"/>
        <v>1</v>
      </c>
      <c r="G383" s="2">
        <f t="shared" si="81"/>
        <v>0.40747667756532474</v>
      </c>
    </row>
    <row r="385" spans="1:7" x14ac:dyDescent="0.25">
      <c r="C385" s="10" t="s">
        <v>3</v>
      </c>
      <c r="D385" s="10" t="s">
        <v>43</v>
      </c>
      <c r="E385" s="10" t="s">
        <v>4</v>
      </c>
      <c r="F385" s="10" t="s">
        <v>5</v>
      </c>
      <c r="G385" s="10" t="s">
        <v>6</v>
      </c>
    </row>
    <row r="386" spans="1:7" x14ac:dyDescent="0.25">
      <c r="C386" s="3">
        <v>0.84698859751328548</v>
      </c>
      <c r="D386" s="2">
        <v>0.5</v>
      </c>
      <c r="E386" s="2">
        <v>0.63174014047980198</v>
      </c>
      <c r="F386" s="2">
        <v>1</v>
      </c>
      <c r="G386" s="2">
        <v>0.40747667756532474</v>
      </c>
    </row>
    <row r="387" spans="1:7" x14ac:dyDescent="0.25">
      <c r="C387" s="3">
        <v>0.89333734012332733</v>
      </c>
      <c r="D387" s="2">
        <v>0.25</v>
      </c>
      <c r="E387" s="2">
        <v>0.7523646986099678</v>
      </c>
      <c r="F387" s="2">
        <v>0.3774449108145379</v>
      </c>
      <c r="G387" s="2">
        <v>0.30132523711798664</v>
      </c>
    </row>
    <row r="388" spans="1:7" x14ac:dyDescent="0.25">
      <c r="C388" s="3">
        <v>0.98481107371600407</v>
      </c>
      <c r="D388" s="2">
        <v>0.75</v>
      </c>
      <c r="E388" s="2">
        <v>0.77922377807369358</v>
      </c>
      <c r="F388" s="2">
        <v>0.61353278893537189</v>
      </c>
      <c r="G388" s="2">
        <v>1</v>
      </c>
    </row>
    <row r="389" spans="1:7" x14ac:dyDescent="0.25">
      <c r="C389" s="3">
        <v>1</v>
      </c>
      <c r="D389" s="2">
        <v>1</v>
      </c>
      <c r="E389" s="2">
        <v>1</v>
      </c>
      <c r="F389" s="2">
        <v>0.57548795019413157</v>
      </c>
      <c r="G389" s="2">
        <v>0.78245342731197487</v>
      </c>
    </row>
    <row r="392" spans="1:7" x14ac:dyDescent="0.25">
      <c r="A392" s="1" t="s">
        <v>0</v>
      </c>
      <c r="B392" s="1" t="s">
        <v>1</v>
      </c>
      <c r="C392" s="1" t="s">
        <v>2</v>
      </c>
      <c r="D392" s="1" t="s">
        <v>3</v>
      </c>
      <c r="E392" s="1" t="s">
        <v>4</v>
      </c>
      <c r="F392" s="1" t="s">
        <v>5</v>
      </c>
      <c r="G392" s="1" t="s">
        <v>6</v>
      </c>
    </row>
    <row r="393" spans="1:7" x14ac:dyDescent="0.25">
      <c r="A393" s="2" t="s">
        <v>37</v>
      </c>
      <c r="B393" s="8" t="s">
        <v>38</v>
      </c>
      <c r="C393" s="2">
        <v>1</v>
      </c>
      <c r="D393" s="3">
        <v>496312.33844584553</v>
      </c>
      <c r="E393" s="3">
        <v>6058.6276942799996</v>
      </c>
      <c r="F393" s="4">
        <v>1.149126975828702E-3</v>
      </c>
      <c r="G393" s="4">
        <v>4.3326889923906344E-3</v>
      </c>
    </row>
    <row r="394" spans="1:7" x14ac:dyDescent="0.25">
      <c r="A394" s="5" t="s">
        <v>37</v>
      </c>
      <c r="B394" s="9" t="s">
        <v>38</v>
      </c>
      <c r="C394" s="5">
        <v>3</v>
      </c>
      <c r="D394" s="3">
        <v>481190.63450056087</v>
      </c>
      <c r="E394" s="3">
        <v>5659.2905294400007</v>
      </c>
      <c r="F394" s="4">
        <v>2.7642536319032169E-4</v>
      </c>
      <c r="G394" s="4">
        <v>2.609783923120391E-3</v>
      </c>
    </row>
    <row r="395" spans="1:7" x14ac:dyDescent="0.25">
      <c r="A395" s="2" t="s">
        <v>37</v>
      </c>
      <c r="B395" s="8" t="s">
        <v>38</v>
      </c>
      <c r="C395" s="2">
        <v>2</v>
      </c>
      <c r="D395" s="3">
        <v>463554.2380744408</v>
      </c>
      <c r="E395" s="3">
        <v>6405.1162323599992</v>
      </c>
      <c r="F395" s="4">
        <v>1.36542870460566E-3</v>
      </c>
      <c r="G395" s="4">
        <v>1.06191448730258E-3</v>
      </c>
    </row>
    <row r="396" spans="1:7" x14ac:dyDescent="0.25">
      <c r="A396" s="2" t="s">
        <v>37</v>
      </c>
      <c r="B396" s="8" t="s">
        <v>38</v>
      </c>
      <c r="C396" s="2">
        <v>4</v>
      </c>
      <c r="D396" s="3">
        <v>463215.01884109463</v>
      </c>
      <c r="E396" s="3">
        <v>6600.4823040000001</v>
      </c>
      <c r="F396" s="4">
        <v>1.0184783005820781E-3</v>
      </c>
      <c r="G396" s="4">
        <v>1.1952508372333631E-3</v>
      </c>
    </row>
    <row r="398" spans="1:7" x14ac:dyDescent="0.25">
      <c r="B398" s="7" t="s">
        <v>40</v>
      </c>
      <c r="D398" s="3">
        <f>AVERAGE(D393:D394)</f>
        <v>488751.48647320317</v>
      </c>
      <c r="E398" s="3">
        <f t="shared" ref="E398:G398" si="82">AVERAGE(E393:E394)</f>
        <v>5858.9591118600001</v>
      </c>
      <c r="F398" s="4">
        <f t="shared" si="82"/>
        <v>7.1277616950951182E-4</v>
      </c>
      <c r="G398" s="4">
        <f t="shared" si="82"/>
        <v>3.4712364577555127E-3</v>
      </c>
    </row>
    <row r="399" spans="1:7" x14ac:dyDescent="0.25">
      <c r="B399" s="7" t="s">
        <v>41</v>
      </c>
      <c r="D399" s="3">
        <f>AVERAGE(D395:D396)</f>
        <v>463384.62845776771</v>
      </c>
      <c r="E399" s="3">
        <f t="shared" ref="E399:G399" si="83">AVERAGE(E395:E396)</f>
        <v>6502.7992681799997</v>
      </c>
      <c r="F399" s="4">
        <f t="shared" si="83"/>
        <v>1.191953502593869E-3</v>
      </c>
      <c r="G399" s="4">
        <f t="shared" si="83"/>
        <v>1.1285826622679715E-3</v>
      </c>
    </row>
    <row r="401" spans="3:7" x14ac:dyDescent="0.25">
      <c r="C401" s="7" t="s">
        <v>42</v>
      </c>
      <c r="D401" s="3">
        <f>D398/D399</f>
        <v>1.0547425539337831</v>
      </c>
      <c r="E401" s="3">
        <f t="shared" ref="E401:G401" si="84">E398/E399</f>
        <v>0.9009903074402914</v>
      </c>
      <c r="F401" s="3">
        <f t="shared" si="84"/>
        <v>0.59798991148430225</v>
      </c>
      <c r="G401" s="3">
        <f t="shared" si="84"/>
        <v>3.0757485240645135</v>
      </c>
    </row>
    <row r="403" spans="3:7" x14ac:dyDescent="0.25">
      <c r="C403" s="2">
        <f>MAX(C393:C396)</f>
        <v>4</v>
      </c>
      <c r="D403" s="2">
        <f t="shared" ref="D403:G403" si="85">MAX(D393:D396)</f>
        <v>496312.33844584553</v>
      </c>
      <c r="E403" s="2">
        <f t="shared" si="85"/>
        <v>6600.4823040000001</v>
      </c>
      <c r="F403" s="2">
        <f t="shared" si="85"/>
        <v>1.36542870460566E-3</v>
      </c>
      <c r="G403" s="2">
        <f t="shared" si="85"/>
        <v>4.3326889923906344E-3</v>
      </c>
    </row>
    <row r="404" spans="3:7" x14ac:dyDescent="0.25">
      <c r="C404" s="10" t="s">
        <v>43</v>
      </c>
      <c r="D404" s="10" t="s">
        <v>3</v>
      </c>
      <c r="E404" s="1" t="s">
        <v>4</v>
      </c>
      <c r="F404" s="1" t="s">
        <v>5</v>
      </c>
      <c r="G404" s="1" t="s">
        <v>6</v>
      </c>
    </row>
    <row r="405" spans="3:7" x14ac:dyDescent="0.25">
      <c r="C405" s="2">
        <f>C393/C$403</f>
        <v>0.25</v>
      </c>
      <c r="D405" s="2">
        <f t="shared" ref="D405:G405" si="86">D393/D$403</f>
        <v>1</v>
      </c>
      <c r="E405" s="2">
        <f t="shared" si="86"/>
        <v>0.91790681578047295</v>
      </c>
      <c r="F405" s="2">
        <f t="shared" si="86"/>
        <v>0.84158694771293341</v>
      </c>
      <c r="G405" s="2">
        <f t="shared" si="86"/>
        <v>1</v>
      </c>
    </row>
    <row r="406" spans="3:7" x14ac:dyDescent="0.25">
      <c r="C406" s="2">
        <f t="shared" ref="C406:G406" si="87">C394/C$403</f>
        <v>0.75</v>
      </c>
      <c r="D406" s="2">
        <f t="shared" si="87"/>
        <v>0.96953187987903577</v>
      </c>
      <c r="E406" s="2">
        <f t="shared" si="87"/>
        <v>0.85740560595251925</v>
      </c>
      <c r="F406" s="2">
        <f t="shared" si="87"/>
        <v>0.20244584155725229</v>
      </c>
      <c r="G406" s="2">
        <f t="shared" si="87"/>
        <v>0.60234739389415504</v>
      </c>
    </row>
    <row r="407" spans="3:7" x14ac:dyDescent="0.25">
      <c r="C407" s="2">
        <f t="shared" ref="C407:G407" si="88">C395/C$403</f>
        <v>0.5</v>
      </c>
      <c r="D407" s="2">
        <f t="shared" si="88"/>
        <v>0.93399700584921264</v>
      </c>
      <c r="E407" s="2">
        <f t="shared" si="88"/>
        <v>0.97040124302407327</v>
      </c>
      <c r="F407" s="2">
        <f t="shared" si="88"/>
        <v>1</v>
      </c>
      <c r="G407" s="2">
        <f t="shared" si="88"/>
        <v>0.24509363334584758</v>
      </c>
    </row>
    <row r="408" spans="3:7" x14ac:dyDescent="0.25">
      <c r="C408" s="2">
        <f t="shared" ref="C408:G408" si="89">C396/C$403</f>
        <v>1</v>
      </c>
      <c r="D408" s="2">
        <f t="shared" si="89"/>
        <v>0.93331352650149302</v>
      </c>
      <c r="E408" s="2">
        <f t="shared" si="89"/>
        <v>1</v>
      </c>
      <c r="F408" s="2">
        <f t="shared" si="89"/>
        <v>0.7459036836904771</v>
      </c>
      <c r="G408" s="2">
        <f t="shared" si="89"/>
        <v>0.27586813623884487</v>
      </c>
    </row>
    <row r="410" spans="3:7" x14ac:dyDescent="0.25">
      <c r="C410" s="10" t="s">
        <v>3</v>
      </c>
      <c r="D410" s="10" t="s">
        <v>43</v>
      </c>
      <c r="E410" s="10" t="s">
        <v>4</v>
      </c>
      <c r="F410" s="10" t="s">
        <v>5</v>
      </c>
      <c r="G410" s="10" t="s">
        <v>6</v>
      </c>
    </row>
    <row r="411" spans="3:7" x14ac:dyDescent="0.25">
      <c r="C411" s="3">
        <v>0.93331352650149302</v>
      </c>
      <c r="D411" s="2">
        <v>1</v>
      </c>
      <c r="E411" s="2">
        <v>1</v>
      </c>
      <c r="F411" s="2">
        <v>0.7459036836904771</v>
      </c>
      <c r="G411" s="2">
        <v>0.27586813623884487</v>
      </c>
    </row>
    <row r="412" spans="3:7" x14ac:dyDescent="0.25">
      <c r="C412" s="3">
        <v>0.93399700584921264</v>
      </c>
      <c r="D412" s="2">
        <v>0.5</v>
      </c>
      <c r="E412" s="2">
        <v>0.97040124302407327</v>
      </c>
      <c r="F412" s="2">
        <v>1</v>
      </c>
      <c r="G412" s="2">
        <v>0.24509363334584758</v>
      </c>
    </row>
    <row r="413" spans="3:7" x14ac:dyDescent="0.25">
      <c r="C413" s="3">
        <v>0.96953187987903577</v>
      </c>
      <c r="D413" s="2">
        <v>0.75</v>
      </c>
      <c r="E413" s="2">
        <v>0.85740560595251925</v>
      </c>
      <c r="F413" s="2">
        <v>0.20244584155725229</v>
      </c>
      <c r="G413" s="2">
        <v>0.60234739389415504</v>
      </c>
    </row>
    <row r="414" spans="3:7" x14ac:dyDescent="0.25">
      <c r="C414" s="3">
        <v>1</v>
      </c>
      <c r="D414" s="2">
        <v>0.25</v>
      </c>
      <c r="E414" s="2">
        <v>0.91790681578047295</v>
      </c>
      <c r="F414" s="2">
        <v>0.84158694771293341</v>
      </c>
      <c r="G414" s="2">
        <v>1</v>
      </c>
    </row>
    <row r="415" spans="3:7" x14ac:dyDescent="0.25">
      <c r="C415" s="2"/>
      <c r="D415" s="2"/>
      <c r="E415" s="2"/>
      <c r="F415" s="2"/>
      <c r="G415" s="2"/>
    </row>
  </sheetData>
  <sortState ref="C411:G414">
    <sortCondition ref="C411:C414"/>
  </sortState>
  <conditionalFormatting sqref="D2:D62"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9:D172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9:E172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9:F172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9:G172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4:D175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4:E17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4:F17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4:G175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4:D197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4:E197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4:F197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4:G197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9:D200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9:E200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9:F20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9:G200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9:D222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9:E222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9:F222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9:G222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4:D225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4:E22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4:F225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4:G225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4:D247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4:E247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4:F247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4:G247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D250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9:E250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250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250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2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2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2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4:D275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4:E275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4:F275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4:G275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6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6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6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6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8:D299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8:E299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8:F299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8:G299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8:D321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8:E321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8:F321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8:G321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3:D32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23:E32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23:F32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23:G32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3:D34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3:E34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3:F34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3:G34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8:D3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8:E34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8:F34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8:G34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8:D37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8:E371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8:F37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8:G37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3:D37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3:E374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3:F37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3:G37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3:D39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3:E39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3:F39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3:G39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8:D39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8:E39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8:F39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8:G39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5"/>
  <sheetViews>
    <sheetView zoomScale="25" zoomScaleNormal="25" workbookViewId="0">
      <selection activeCell="AL98" sqref="AL98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7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7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7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7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7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7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7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7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</row>
    <row r="108" spans="1:7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</row>
    <row r="109" spans="1:7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</row>
    <row r="110" spans="1:7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</row>
    <row r="111" spans="1:7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</row>
    <row r="113" spans="1:7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</row>
    <row r="114" spans="1:7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</row>
    <row r="115" spans="1:7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</row>
    <row r="116" spans="1:7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</row>
    <row r="117" spans="1:7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</row>
    <row r="119" spans="1:7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</row>
    <row r="120" spans="1:7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</row>
    <row r="121" spans="1:7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</row>
    <row r="122" spans="1:7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</row>
    <row r="123" spans="1:7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7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7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7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7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7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</row>
    <row r="132" spans="1:7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</row>
    <row r="133" spans="1:7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7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7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7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7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7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7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7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7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7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7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7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7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7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7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7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7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7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</row>
    <row r="156" spans="1:7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</row>
    <row r="157" spans="1:7" x14ac:dyDescent="0.25">
      <c r="C157" s="2">
        <f t="shared" ref="C157:G159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7" x14ac:dyDescent="0.25">
      <c r="C158" s="2">
        <f t="shared" si="27"/>
        <v>1</v>
      </c>
      <c r="D158" s="2">
        <f t="shared" si="27"/>
        <v>0.80543398635608399</v>
      </c>
      <c r="E158" s="2">
        <f t="shared" si="27"/>
        <v>0.41206046529013679</v>
      </c>
      <c r="F158" s="2">
        <f t="shared" si="27"/>
        <v>1</v>
      </c>
      <c r="G158" s="2">
        <f t="shared" si="27"/>
        <v>1</v>
      </c>
    </row>
    <row r="159" spans="1:7" x14ac:dyDescent="0.25">
      <c r="C159" s="2">
        <f t="shared" si="27"/>
        <v>0.75</v>
      </c>
      <c r="D159" s="2">
        <f t="shared" si="27"/>
        <v>0.7969945497761689</v>
      </c>
      <c r="E159" s="2">
        <f t="shared" si="27"/>
        <v>0.37098229286482309</v>
      </c>
      <c r="F159" s="2">
        <f t="shared" si="27"/>
        <v>7.5292635706825664E-2</v>
      </c>
      <c r="G159" s="2">
        <f t="shared" si="27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8" spans="1:7" x14ac:dyDescent="0.25">
      <c r="A168" s="1" t="s">
        <v>0</v>
      </c>
      <c r="B168" s="1" t="s">
        <v>1</v>
      </c>
      <c r="C168" s="1" t="s">
        <v>2</v>
      </c>
      <c r="D168" s="1" t="s">
        <v>3</v>
      </c>
      <c r="E168" s="1" t="s">
        <v>4</v>
      </c>
      <c r="F168" s="1" t="s">
        <v>5</v>
      </c>
      <c r="G168" s="1" t="s">
        <v>6</v>
      </c>
    </row>
    <row r="169" spans="1:7" x14ac:dyDescent="0.25">
      <c r="A169" s="2" t="s">
        <v>19</v>
      </c>
      <c r="B169" s="8" t="s">
        <v>20</v>
      </c>
      <c r="C169" s="2">
        <v>2</v>
      </c>
      <c r="D169" s="3">
        <v>327266.01547195681</v>
      </c>
      <c r="E169" s="3">
        <v>2736.7203125999999</v>
      </c>
      <c r="F169" s="4">
        <v>6.5575458761258591E-4</v>
      </c>
      <c r="G169" s="4">
        <v>9.6186040198574876E-4</v>
      </c>
    </row>
    <row r="170" spans="1:7" x14ac:dyDescent="0.25">
      <c r="A170" s="2" t="s">
        <v>19</v>
      </c>
      <c r="B170" s="8" t="s">
        <v>20</v>
      </c>
      <c r="C170" s="2">
        <v>3</v>
      </c>
      <c r="D170" s="3">
        <v>323997.44760210218</v>
      </c>
      <c r="E170" s="3">
        <v>2594.2840083999999</v>
      </c>
      <c r="F170" s="4">
        <v>4.4144095106468531E-4</v>
      </c>
      <c r="G170" s="4">
        <v>4.2813564143465432E-3</v>
      </c>
    </row>
    <row r="171" spans="1:7" x14ac:dyDescent="0.25">
      <c r="A171" s="2" t="s">
        <v>19</v>
      </c>
      <c r="B171" s="8" t="s">
        <v>20</v>
      </c>
      <c r="C171" s="2">
        <v>4</v>
      </c>
      <c r="D171" s="3">
        <v>321762.90970591619</v>
      </c>
      <c r="E171" s="3">
        <v>2793.945984</v>
      </c>
      <c r="F171" s="4">
        <v>3.0877619142976242E-4</v>
      </c>
      <c r="G171" s="4">
        <v>1.0062327675981299E-3</v>
      </c>
    </row>
    <row r="172" spans="1:7" x14ac:dyDescent="0.25">
      <c r="A172" s="2" t="s">
        <v>19</v>
      </c>
      <c r="B172" s="8" t="s">
        <v>20</v>
      </c>
      <c r="C172" s="2">
        <v>1</v>
      </c>
      <c r="D172" s="3">
        <v>297602.00445720641</v>
      </c>
      <c r="E172" s="3">
        <v>3256.4356082999998</v>
      </c>
      <c r="F172" s="4">
        <v>3.8592436982227681E-4</v>
      </c>
      <c r="G172" s="4">
        <v>2.369477916386043E-3</v>
      </c>
    </row>
    <row r="174" spans="1:7" x14ac:dyDescent="0.25">
      <c r="B174" s="7" t="s">
        <v>40</v>
      </c>
      <c r="D174" s="3">
        <f>AVERAGE(D169:D170)</f>
        <v>325631.7315370295</v>
      </c>
      <c r="E174" s="3">
        <f t="shared" ref="E174:G174" si="28">AVERAGE(E169:E170)</f>
        <v>2665.5021605000002</v>
      </c>
      <c r="F174" s="4">
        <f t="shared" si="28"/>
        <v>5.4859776933863561E-4</v>
      </c>
      <c r="G174" s="4">
        <f t="shared" si="28"/>
        <v>2.6216084081661459E-3</v>
      </c>
    </row>
    <row r="175" spans="1:7" x14ac:dyDescent="0.25">
      <c r="B175" s="7" t="s">
        <v>41</v>
      </c>
      <c r="D175" s="3">
        <f>AVERAGE(D171:D172)</f>
        <v>309682.45708156133</v>
      </c>
      <c r="E175" s="3">
        <f t="shared" ref="E175:G175" si="29">AVERAGE(E171:E172)</f>
        <v>3025.1907961500001</v>
      </c>
      <c r="F175" s="4">
        <f t="shared" si="29"/>
        <v>3.4735028062601961E-4</v>
      </c>
      <c r="G175" s="4">
        <f t="shared" si="29"/>
        <v>1.6878553419920864E-3</v>
      </c>
    </row>
    <row r="177" spans="3:7" x14ac:dyDescent="0.25">
      <c r="C177" s="7" t="s">
        <v>42</v>
      </c>
      <c r="D177" s="3">
        <f>D174/D175</f>
        <v>1.0515020276116822</v>
      </c>
      <c r="E177" s="3">
        <f t="shared" ref="E177:G177" si="30">E174/E175</f>
        <v>0.88110216515673767</v>
      </c>
      <c r="F177" s="3">
        <f t="shared" si="30"/>
        <v>1.5793790877321685</v>
      </c>
      <c r="G177" s="3">
        <f t="shared" si="30"/>
        <v>1.5532186573951297</v>
      </c>
    </row>
    <row r="179" spans="3:7" x14ac:dyDescent="0.25">
      <c r="C179" s="2">
        <f>MAX(C169:C172)</f>
        <v>4</v>
      </c>
      <c r="D179" s="2">
        <f t="shared" ref="D179:G179" si="31">MAX(D169:D172)</f>
        <v>327266.01547195681</v>
      </c>
      <c r="E179" s="2">
        <f t="shared" si="31"/>
        <v>3256.4356082999998</v>
      </c>
      <c r="F179" s="2">
        <f t="shared" si="31"/>
        <v>6.5575458761258591E-4</v>
      </c>
      <c r="G179" s="2">
        <f t="shared" si="31"/>
        <v>4.2813564143465432E-3</v>
      </c>
    </row>
    <row r="180" spans="3:7" x14ac:dyDescent="0.25">
      <c r="C180" s="10" t="s">
        <v>43</v>
      </c>
      <c r="D180" s="10" t="s">
        <v>3</v>
      </c>
      <c r="E180" s="1" t="s">
        <v>4</v>
      </c>
      <c r="F180" s="1" t="s">
        <v>5</v>
      </c>
      <c r="G180" s="1" t="s">
        <v>6</v>
      </c>
    </row>
    <row r="181" spans="3:7" x14ac:dyDescent="0.25">
      <c r="C181" s="2">
        <f t="shared" ref="C181:G184" si="32">C169/C$179</f>
        <v>0.5</v>
      </c>
      <c r="D181" s="2">
        <f t="shared" si="32"/>
        <v>1</v>
      </c>
      <c r="E181" s="2">
        <f t="shared" si="32"/>
        <v>0.84040363200323998</v>
      </c>
      <c r="F181" s="2">
        <f t="shared" si="32"/>
        <v>1</v>
      </c>
      <c r="G181" s="2">
        <f t="shared" si="32"/>
        <v>0.22466253890066659</v>
      </c>
    </row>
    <row r="182" spans="3:7" x14ac:dyDescent="0.25">
      <c r="C182" s="2">
        <f t="shared" si="32"/>
        <v>0.75</v>
      </c>
      <c r="D182" s="2">
        <f t="shared" si="32"/>
        <v>0.99001250446019895</v>
      </c>
      <c r="E182" s="2">
        <f t="shared" si="32"/>
        <v>0.796663690136446</v>
      </c>
      <c r="F182" s="2">
        <f t="shared" si="32"/>
        <v>0.67318011860480464</v>
      </c>
      <c r="G182" s="2">
        <f t="shared" si="32"/>
        <v>1</v>
      </c>
    </row>
    <row r="183" spans="3:7" x14ac:dyDescent="0.25">
      <c r="C183" s="2">
        <f t="shared" si="32"/>
        <v>1</v>
      </c>
      <c r="D183" s="2">
        <f t="shared" si="32"/>
        <v>0.98318460974903099</v>
      </c>
      <c r="E183" s="2">
        <f t="shared" si="32"/>
        <v>0.85797673286669429</v>
      </c>
      <c r="F183" s="2">
        <f t="shared" si="32"/>
        <v>0.47087156881956077</v>
      </c>
      <c r="G183" s="2">
        <f t="shared" si="32"/>
        <v>0.23502662946404326</v>
      </c>
    </row>
    <row r="184" spans="3:7" x14ac:dyDescent="0.25">
      <c r="C184" s="2">
        <f t="shared" si="32"/>
        <v>0.25</v>
      </c>
      <c r="D184" s="2">
        <f t="shared" si="32"/>
        <v>0.90935810743449375</v>
      </c>
      <c r="E184" s="2">
        <f t="shared" si="32"/>
        <v>1</v>
      </c>
      <c r="F184" s="2">
        <f t="shared" si="32"/>
        <v>0.58851951189135643</v>
      </c>
      <c r="G184" s="2">
        <f t="shared" si="32"/>
        <v>0.55344093952236229</v>
      </c>
    </row>
    <row r="186" spans="3:7" x14ac:dyDescent="0.25">
      <c r="C186" s="10" t="s">
        <v>3</v>
      </c>
      <c r="D186" s="10" t="s">
        <v>43</v>
      </c>
      <c r="E186" s="10" t="s">
        <v>4</v>
      </c>
      <c r="F186" s="10" t="s">
        <v>5</v>
      </c>
      <c r="G186" s="10" t="s">
        <v>6</v>
      </c>
    </row>
    <row r="187" spans="3:7" x14ac:dyDescent="0.25">
      <c r="C187" s="3">
        <v>0.90935810743449375</v>
      </c>
      <c r="D187" s="2">
        <v>0.25</v>
      </c>
      <c r="E187" s="2">
        <v>1</v>
      </c>
      <c r="F187" s="2">
        <v>0.58851951189135643</v>
      </c>
      <c r="G187" s="2">
        <v>0.55344093952236229</v>
      </c>
    </row>
    <row r="188" spans="3:7" x14ac:dyDescent="0.25">
      <c r="C188" s="3">
        <v>0.98318460974903099</v>
      </c>
      <c r="D188" s="2">
        <v>1</v>
      </c>
      <c r="E188" s="2">
        <v>0.85797673286669429</v>
      </c>
      <c r="F188" s="2">
        <v>0.47087156881956077</v>
      </c>
      <c r="G188" s="2">
        <v>0.23502662946404326</v>
      </c>
    </row>
    <row r="189" spans="3:7" x14ac:dyDescent="0.25">
      <c r="C189" s="3">
        <v>0.99001250446019895</v>
      </c>
      <c r="D189" s="2">
        <v>0.75</v>
      </c>
      <c r="E189" s="2">
        <v>0.796663690136446</v>
      </c>
      <c r="F189" s="2">
        <v>0.67318011860480464</v>
      </c>
      <c r="G189" s="2">
        <v>1</v>
      </c>
    </row>
    <row r="190" spans="3:7" x14ac:dyDescent="0.25">
      <c r="C190" s="3">
        <v>1</v>
      </c>
      <c r="D190" s="2">
        <v>0.5</v>
      </c>
      <c r="E190" s="2">
        <v>0.84040363200323998</v>
      </c>
      <c r="F190" s="2">
        <v>1</v>
      </c>
      <c r="G190" s="2">
        <v>0.22466253890066659</v>
      </c>
    </row>
    <row r="193" spans="1:7" x14ac:dyDescent="0.25">
      <c r="A193" s="1" t="s">
        <v>0</v>
      </c>
      <c r="B193" s="1" t="s">
        <v>1</v>
      </c>
      <c r="C193" s="1" t="s">
        <v>2</v>
      </c>
      <c r="D193" s="1" t="s">
        <v>3</v>
      </c>
      <c r="E193" s="1" t="s">
        <v>4</v>
      </c>
      <c r="F193" s="1" t="s">
        <v>5</v>
      </c>
      <c r="G193" s="1" t="s">
        <v>6</v>
      </c>
    </row>
    <row r="194" spans="1:7" x14ac:dyDescent="0.25">
      <c r="A194" s="2" t="s">
        <v>21</v>
      </c>
      <c r="B194" s="8" t="s">
        <v>22</v>
      </c>
      <c r="C194" s="2">
        <v>4</v>
      </c>
      <c r="D194" s="3">
        <v>589836.07301855378</v>
      </c>
      <c r="E194" s="3">
        <v>3459.2387039999999</v>
      </c>
      <c r="F194" s="4">
        <v>2.6129124854981389E-3</v>
      </c>
      <c r="G194" s="4">
        <v>2.2962786554205951E-3</v>
      </c>
    </row>
    <row r="195" spans="1:7" x14ac:dyDescent="0.25">
      <c r="A195" s="2" t="s">
        <v>21</v>
      </c>
      <c r="B195" s="8" t="s">
        <v>22</v>
      </c>
      <c r="C195" s="2">
        <v>2</v>
      </c>
      <c r="D195" s="3">
        <v>585427.26654459862</v>
      </c>
      <c r="E195" s="3">
        <v>4854.6591208600003</v>
      </c>
      <c r="F195" s="4">
        <v>3.7612999688359748E-4</v>
      </c>
      <c r="G195" s="4">
        <v>2.0756040556386131E-3</v>
      </c>
    </row>
    <row r="196" spans="1:7" x14ac:dyDescent="0.25">
      <c r="A196" s="2" t="s">
        <v>21</v>
      </c>
      <c r="B196" s="8" t="s">
        <v>22</v>
      </c>
      <c r="C196" s="2">
        <v>3</v>
      </c>
      <c r="D196" s="3">
        <v>575669.32501484314</v>
      </c>
      <c r="E196" s="3">
        <v>4774.9529707199999</v>
      </c>
      <c r="F196" s="4">
        <v>2.8738600116371028E-4</v>
      </c>
      <c r="G196" s="4">
        <v>1.316480132589062E-3</v>
      </c>
    </row>
    <row r="197" spans="1:7" x14ac:dyDescent="0.25">
      <c r="A197" s="2" t="s">
        <v>21</v>
      </c>
      <c r="B197" s="8" t="s">
        <v>22</v>
      </c>
      <c r="C197" s="2">
        <v>1</v>
      </c>
      <c r="D197" s="3">
        <v>532258.74860418728</v>
      </c>
      <c r="E197" s="3">
        <v>5998.8555937799993</v>
      </c>
      <c r="F197" s="4">
        <v>3.3561812091085249E-3</v>
      </c>
      <c r="G197" s="4">
        <v>1.7434020366891251E-3</v>
      </c>
    </row>
    <row r="199" spans="1:7" x14ac:dyDescent="0.25">
      <c r="B199" s="7" t="s">
        <v>40</v>
      </c>
      <c r="D199" s="3">
        <f>AVERAGE(D194:D195)</f>
        <v>587631.66978157614</v>
      </c>
      <c r="E199" s="3">
        <f t="shared" ref="E199:G199" si="33">AVERAGE(E194:E195)</f>
        <v>4156.9489124299998</v>
      </c>
      <c r="F199" s="4">
        <f t="shared" si="33"/>
        <v>1.4945212411908682E-3</v>
      </c>
      <c r="G199" s="4">
        <f t="shared" si="33"/>
        <v>2.1859413555296043E-3</v>
      </c>
    </row>
    <row r="200" spans="1:7" x14ac:dyDescent="0.25">
      <c r="B200" s="7" t="s">
        <v>41</v>
      </c>
      <c r="D200" s="3">
        <f>AVERAGE(D196:D197)</f>
        <v>553964.03680951521</v>
      </c>
      <c r="E200" s="3">
        <f t="shared" ref="E200:G200" si="34">AVERAGE(E196:E197)</f>
        <v>5386.9042822499996</v>
      </c>
      <c r="F200" s="4">
        <f t="shared" si="34"/>
        <v>1.8217836051361176E-3</v>
      </c>
      <c r="G200" s="4">
        <f t="shared" si="34"/>
        <v>1.5299410846390934E-3</v>
      </c>
    </row>
    <row r="202" spans="1:7" x14ac:dyDescent="0.25">
      <c r="C202" s="7" t="s">
        <v>42</v>
      </c>
      <c r="D202" s="3">
        <f>D199/D200</f>
        <v>1.0607758459664012</v>
      </c>
      <c r="E202" s="3">
        <f t="shared" ref="E202:G202" si="35">E199/E200</f>
        <v>0.77167677289668257</v>
      </c>
      <c r="F202" s="3">
        <f t="shared" si="35"/>
        <v>0.82036156049346076</v>
      </c>
      <c r="G202" s="3">
        <f t="shared" si="35"/>
        <v>1.4287748577228767</v>
      </c>
    </row>
    <row r="204" spans="1:7" x14ac:dyDescent="0.25">
      <c r="C204" s="2">
        <f>MAX(C194:C197)</f>
        <v>4</v>
      </c>
      <c r="D204" s="2">
        <f t="shared" ref="D204:G204" si="36">MAX(D194:D197)</f>
        <v>589836.07301855378</v>
      </c>
      <c r="E204" s="2">
        <f t="shared" si="36"/>
        <v>5998.8555937799993</v>
      </c>
      <c r="F204" s="2">
        <f t="shared" si="36"/>
        <v>3.3561812091085249E-3</v>
      </c>
      <c r="G204" s="2">
        <f t="shared" si="36"/>
        <v>2.2962786554205951E-3</v>
      </c>
    </row>
    <row r="205" spans="1:7" x14ac:dyDescent="0.25">
      <c r="C205" s="10" t="s">
        <v>43</v>
      </c>
      <c r="D205" s="10" t="s">
        <v>3</v>
      </c>
      <c r="E205" s="1" t="s">
        <v>4</v>
      </c>
      <c r="F205" s="1" t="s">
        <v>5</v>
      </c>
      <c r="G205" s="1" t="s">
        <v>6</v>
      </c>
    </row>
    <row r="206" spans="1:7" x14ac:dyDescent="0.25">
      <c r="C206" s="2">
        <f t="shared" ref="C206:G209" si="37">C194/C$204</f>
        <v>1</v>
      </c>
      <c r="D206" s="2">
        <f t="shared" si="37"/>
        <v>1</v>
      </c>
      <c r="E206" s="2">
        <f t="shared" si="37"/>
        <v>0.57664977093076919</v>
      </c>
      <c r="F206" s="2">
        <f t="shared" si="37"/>
        <v>0.77853736812744556</v>
      </c>
      <c r="G206" s="2">
        <f t="shared" si="37"/>
        <v>1</v>
      </c>
    </row>
    <row r="207" spans="1:7" x14ac:dyDescent="0.25">
      <c r="C207" s="2">
        <f t="shared" si="37"/>
        <v>0.5</v>
      </c>
      <c r="D207" s="2">
        <f t="shared" si="37"/>
        <v>0.99252536988558093</v>
      </c>
      <c r="E207" s="2">
        <f t="shared" si="37"/>
        <v>0.80926420797553855</v>
      </c>
      <c r="F207" s="2">
        <f t="shared" si="37"/>
        <v>0.11207082497893665</v>
      </c>
      <c r="G207" s="2">
        <f t="shared" si="37"/>
        <v>0.9038990327846067</v>
      </c>
    </row>
    <row r="208" spans="1:7" x14ac:dyDescent="0.25">
      <c r="C208" s="2">
        <f t="shared" si="37"/>
        <v>0.75</v>
      </c>
      <c r="D208" s="2">
        <f t="shared" si="37"/>
        <v>0.97598188945750519</v>
      </c>
      <c r="E208" s="2">
        <f t="shared" si="37"/>
        <v>0.79597731535177796</v>
      </c>
      <c r="F208" s="2">
        <f t="shared" si="37"/>
        <v>8.5628869020468137E-2</v>
      </c>
      <c r="G208" s="2">
        <f t="shared" si="37"/>
        <v>0.57331026854314004</v>
      </c>
    </row>
    <row r="209" spans="1:7" x14ac:dyDescent="0.25">
      <c r="C209" s="2">
        <f t="shared" si="37"/>
        <v>0.25</v>
      </c>
      <c r="D209" s="2">
        <f t="shared" si="37"/>
        <v>0.90238419274747317</v>
      </c>
      <c r="E209" s="2">
        <f t="shared" si="37"/>
        <v>1</v>
      </c>
      <c r="F209" s="2">
        <f t="shared" si="37"/>
        <v>1</v>
      </c>
      <c r="G209" s="2">
        <f t="shared" si="37"/>
        <v>0.7592293002304622</v>
      </c>
    </row>
    <row r="211" spans="1:7" x14ac:dyDescent="0.25">
      <c r="C211" s="10" t="s">
        <v>3</v>
      </c>
      <c r="D211" s="10" t="s">
        <v>43</v>
      </c>
      <c r="E211" s="10" t="s">
        <v>4</v>
      </c>
      <c r="F211" s="10" t="s">
        <v>5</v>
      </c>
      <c r="G211" s="10" t="s">
        <v>6</v>
      </c>
    </row>
    <row r="212" spans="1:7" x14ac:dyDescent="0.25">
      <c r="C212" s="12">
        <v>0.90238419274747317</v>
      </c>
      <c r="D212" s="11">
        <v>0.25</v>
      </c>
      <c r="E212" s="11">
        <v>1</v>
      </c>
      <c r="F212" s="11">
        <v>1</v>
      </c>
      <c r="G212" s="11">
        <v>0.7592293002304622</v>
      </c>
    </row>
    <row r="213" spans="1:7" x14ac:dyDescent="0.25">
      <c r="C213" s="12">
        <v>0.97598188945750519</v>
      </c>
      <c r="D213" s="11">
        <v>0.75</v>
      </c>
      <c r="E213" s="11">
        <v>0.79597731535177796</v>
      </c>
      <c r="F213" s="11">
        <v>8.5628869020468137E-2</v>
      </c>
      <c r="G213" s="11">
        <v>0.57331026854314004</v>
      </c>
    </row>
    <row r="214" spans="1:7" x14ac:dyDescent="0.25">
      <c r="C214" s="12">
        <v>0.99252536988558093</v>
      </c>
      <c r="D214" s="11">
        <v>0.5</v>
      </c>
      <c r="E214" s="11">
        <v>0.80926420797553855</v>
      </c>
      <c r="F214" s="11">
        <v>0.11207082497893665</v>
      </c>
      <c r="G214" s="11">
        <v>0.9038990327846067</v>
      </c>
    </row>
    <row r="215" spans="1:7" x14ac:dyDescent="0.25">
      <c r="C215" s="12">
        <v>1</v>
      </c>
      <c r="D215" s="11">
        <v>1</v>
      </c>
      <c r="E215" s="11">
        <v>0.57664977093076919</v>
      </c>
      <c r="F215" s="11">
        <v>0.77853736812744556</v>
      </c>
      <c r="G215" s="11">
        <v>1</v>
      </c>
    </row>
    <row r="218" spans="1:7" x14ac:dyDescent="0.25">
      <c r="A218" s="1" t="s">
        <v>0</v>
      </c>
      <c r="B218" s="1" t="s">
        <v>1</v>
      </c>
      <c r="C218" s="1" t="s">
        <v>2</v>
      </c>
      <c r="D218" s="1" t="s">
        <v>3</v>
      </c>
      <c r="E218" s="1" t="s">
        <v>4</v>
      </c>
      <c r="F218" s="1" t="s">
        <v>5</v>
      </c>
      <c r="G218" s="1" t="s">
        <v>6</v>
      </c>
    </row>
    <row r="219" spans="1:7" x14ac:dyDescent="0.25">
      <c r="A219" s="2" t="s">
        <v>23</v>
      </c>
      <c r="B219" s="8" t="s">
        <v>24</v>
      </c>
      <c r="C219" s="2">
        <v>1</v>
      </c>
      <c r="D219" s="3">
        <v>2688475.9724428668</v>
      </c>
      <c r="E219" s="3">
        <v>22918.622383440001</v>
      </c>
      <c r="F219" s="4">
        <v>1.411209606183382E-2</v>
      </c>
      <c r="G219" s="4">
        <v>6.7540592802753808E-4</v>
      </c>
    </row>
    <row r="220" spans="1:7" x14ac:dyDescent="0.25">
      <c r="A220" s="2" t="s">
        <v>23</v>
      </c>
      <c r="B220" s="8" t="s">
        <v>24</v>
      </c>
      <c r="C220" s="2">
        <v>2</v>
      </c>
      <c r="D220" s="3">
        <v>2199098.9702055152</v>
      </c>
      <c r="E220" s="3">
        <v>27186.587841839999</v>
      </c>
      <c r="F220" s="4">
        <v>1.428164445640567E-2</v>
      </c>
      <c r="G220" s="4">
        <v>1.063284111568874E-3</v>
      </c>
    </row>
    <row r="221" spans="1:7" x14ac:dyDescent="0.25">
      <c r="A221" s="2" t="s">
        <v>23</v>
      </c>
      <c r="B221" s="8" t="s">
        <v>24</v>
      </c>
      <c r="C221" s="2">
        <v>3</v>
      </c>
      <c r="D221" s="3">
        <v>2110825.0242093089</v>
      </c>
      <c r="E221" s="3">
        <v>36820.330575920001</v>
      </c>
      <c r="F221" s="4">
        <v>1.1388913987487259E-2</v>
      </c>
      <c r="G221" s="4">
        <v>1.346627653376551E-3</v>
      </c>
    </row>
    <row r="222" spans="1:7" x14ac:dyDescent="0.25">
      <c r="A222" s="2" t="s">
        <v>23</v>
      </c>
      <c r="B222" s="8" t="s">
        <v>24</v>
      </c>
      <c r="C222" s="2">
        <v>4</v>
      </c>
      <c r="D222" s="3">
        <v>2060147.693651289</v>
      </c>
      <c r="E222" s="3">
        <v>24111.565200000001</v>
      </c>
      <c r="F222" s="4">
        <v>1.6816288641435851E-2</v>
      </c>
      <c r="G222" s="4">
        <v>4.7603910840263489E-4</v>
      </c>
    </row>
    <row r="224" spans="1:7" x14ac:dyDescent="0.25">
      <c r="B224" s="7" t="s">
        <v>40</v>
      </c>
      <c r="D224" s="3">
        <f>AVERAGE(D219:D220)</f>
        <v>2443787.471324191</v>
      </c>
      <c r="E224" s="3">
        <f t="shared" ref="E224:G224" si="38">AVERAGE(E219:E220)</f>
        <v>25052.605112639998</v>
      </c>
      <c r="F224" s="4">
        <f t="shared" si="38"/>
        <v>1.4196870259119745E-2</v>
      </c>
      <c r="G224" s="4">
        <f t="shared" si="38"/>
        <v>8.6934501979820604E-4</v>
      </c>
    </row>
    <row r="225" spans="2:7" x14ac:dyDescent="0.25">
      <c r="B225" s="7" t="s">
        <v>41</v>
      </c>
      <c r="D225" s="3">
        <f>AVERAGE(D221:D222)</f>
        <v>2085486.3589302991</v>
      </c>
      <c r="E225" s="3">
        <f t="shared" ref="E225:G225" si="39">AVERAGE(E221:E222)</f>
        <v>30465.947887959999</v>
      </c>
      <c r="F225" s="4">
        <f t="shared" si="39"/>
        <v>1.4102601314461555E-2</v>
      </c>
      <c r="G225" s="4">
        <f t="shared" si="39"/>
        <v>9.1133338088959293E-4</v>
      </c>
    </row>
    <row r="227" spans="2:7" x14ac:dyDescent="0.25">
      <c r="C227" s="7" t="s">
        <v>42</v>
      </c>
      <c r="D227" s="3">
        <f>D224/D225</f>
        <v>1.1718069796331221</v>
      </c>
      <c r="E227" s="3">
        <f t="shared" ref="E227:G227" si="40">E224/E225</f>
        <v>0.82231497292558131</v>
      </c>
      <c r="F227" s="3">
        <f t="shared" si="40"/>
        <v>1.0066845075285169</v>
      </c>
      <c r="G227" s="3">
        <f t="shared" si="40"/>
        <v>0.95392645329154935</v>
      </c>
    </row>
    <row r="229" spans="2:7" x14ac:dyDescent="0.25">
      <c r="C229" s="2">
        <f>MAX(C219:C222)</f>
        <v>4</v>
      </c>
      <c r="D229" s="2">
        <f t="shared" ref="D229:G229" si="41">MAX(D219:D222)</f>
        <v>2688475.9724428668</v>
      </c>
      <c r="E229" s="2">
        <f t="shared" si="41"/>
        <v>36820.330575920001</v>
      </c>
      <c r="F229" s="2">
        <f t="shared" si="41"/>
        <v>1.6816288641435851E-2</v>
      </c>
      <c r="G229" s="2">
        <f t="shared" si="41"/>
        <v>1.346627653376551E-3</v>
      </c>
    </row>
    <row r="230" spans="2:7" x14ac:dyDescent="0.25">
      <c r="C230" s="10" t="s">
        <v>43</v>
      </c>
      <c r="D230" s="10" t="s">
        <v>3</v>
      </c>
      <c r="E230" s="1" t="s">
        <v>4</v>
      </c>
      <c r="F230" s="1" t="s">
        <v>5</v>
      </c>
      <c r="G230" s="1" t="s">
        <v>6</v>
      </c>
    </row>
    <row r="231" spans="2:7" x14ac:dyDescent="0.25">
      <c r="C231" s="2">
        <f>C219/C$229</f>
        <v>0.25</v>
      </c>
      <c r="D231" s="2">
        <f t="shared" ref="D231:G231" si="42">D219/D$229</f>
        <v>1</v>
      </c>
      <c r="E231" s="2">
        <f t="shared" si="42"/>
        <v>0.62244477507294493</v>
      </c>
      <c r="F231" s="2">
        <f t="shared" si="42"/>
        <v>0.83919206923346823</v>
      </c>
      <c r="G231" s="2">
        <f t="shared" si="42"/>
        <v>0.50155358560624896</v>
      </c>
    </row>
    <row r="232" spans="2:7" x14ac:dyDescent="0.25">
      <c r="C232" s="2">
        <f t="shared" ref="C232:G234" si="43">C220/C$229</f>
        <v>0.5</v>
      </c>
      <c r="D232" s="2">
        <f t="shared" si="43"/>
        <v>0.81797233553377002</v>
      </c>
      <c r="E232" s="2">
        <f t="shared" si="43"/>
        <v>0.73835805970790658</v>
      </c>
      <c r="F232" s="2">
        <f t="shared" si="43"/>
        <v>0.84927446007410101</v>
      </c>
      <c r="G232" s="2">
        <f t="shared" si="43"/>
        <v>0.78959028422057287</v>
      </c>
    </row>
    <row r="233" spans="2:7" x14ac:dyDescent="0.25">
      <c r="C233" s="2">
        <f t="shared" si="43"/>
        <v>0.75</v>
      </c>
      <c r="D233" s="2">
        <f t="shared" si="43"/>
        <v>0.78513813991475667</v>
      </c>
      <c r="E233" s="2">
        <f t="shared" si="43"/>
        <v>1</v>
      </c>
      <c r="F233" s="2">
        <f t="shared" si="43"/>
        <v>0.67725490625943618</v>
      </c>
      <c r="G233" s="2">
        <f t="shared" si="43"/>
        <v>1</v>
      </c>
    </row>
    <row r="234" spans="2:7" x14ac:dyDescent="0.25">
      <c r="C234" s="2">
        <f t="shared" si="43"/>
        <v>1</v>
      </c>
      <c r="D234" s="2">
        <f t="shared" si="43"/>
        <v>0.76628830414256921</v>
      </c>
      <c r="E234" s="2">
        <f t="shared" si="43"/>
        <v>0.65484380022836186</v>
      </c>
      <c r="F234" s="2">
        <f t="shared" si="43"/>
        <v>1</v>
      </c>
      <c r="G234" s="2">
        <f t="shared" si="43"/>
        <v>0.3535046285504449</v>
      </c>
    </row>
    <row r="236" spans="2:7" x14ac:dyDescent="0.25">
      <c r="C236" s="10" t="s">
        <v>3</v>
      </c>
      <c r="D236" s="10" t="s">
        <v>43</v>
      </c>
      <c r="E236" s="10" t="s">
        <v>4</v>
      </c>
      <c r="F236" s="10" t="s">
        <v>5</v>
      </c>
      <c r="G236" s="10" t="s">
        <v>6</v>
      </c>
    </row>
    <row r="237" spans="2:7" x14ac:dyDescent="0.25">
      <c r="C237" s="3">
        <v>0.76628830414256921</v>
      </c>
      <c r="D237" s="2">
        <v>1</v>
      </c>
      <c r="E237" s="2">
        <v>0.65484380022836186</v>
      </c>
      <c r="F237" s="2">
        <v>1</v>
      </c>
      <c r="G237" s="2">
        <v>0.3535046285504449</v>
      </c>
    </row>
    <row r="238" spans="2:7" x14ac:dyDescent="0.25">
      <c r="C238" s="3">
        <v>0.78513813991475667</v>
      </c>
      <c r="D238" s="2">
        <v>0.75</v>
      </c>
      <c r="E238" s="2">
        <v>1</v>
      </c>
      <c r="F238" s="2">
        <v>0.67725490625943618</v>
      </c>
      <c r="G238" s="2">
        <v>1</v>
      </c>
    </row>
    <row r="239" spans="2:7" x14ac:dyDescent="0.25">
      <c r="C239" s="3">
        <v>0.81797233553377002</v>
      </c>
      <c r="D239" s="2">
        <v>0.5</v>
      </c>
      <c r="E239" s="2">
        <v>0.73835805970790658</v>
      </c>
      <c r="F239" s="2">
        <v>0.84927446007410101</v>
      </c>
      <c r="G239" s="2">
        <v>0.78959028422057287</v>
      </c>
    </row>
    <row r="240" spans="2:7" x14ac:dyDescent="0.25">
      <c r="C240" s="3">
        <v>1</v>
      </c>
      <c r="D240" s="2">
        <v>0.25</v>
      </c>
      <c r="E240" s="2">
        <v>0.62244477507294493</v>
      </c>
      <c r="F240" s="2">
        <v>0.83919206923346823</v>
      </c>
      <c r="G240" s="2">
        <v>0.50155358560624896</v>
      </c>
    </row>
    <row r="243" spans="1:7" x14ac:dyDescent="0.25">
      <c r="A243" s="1" t="s">
        <v>0</v>
      </c>
      <c r="B243" s="1" t="s">
        <v>1</v>
      </c>
      <c r="C243" s="1" t="s">
        <v>2</v>
      </c>
      <c r="D243" s="1" t="s">
        <v>3</v>
      </c>
      <c r="E243" s="1" t="s">
        <v>4</v>
      </c>
      <c r="F243" s="1" t="s">
        <v>5</v>
      </c>
      <c r="G243" s="1" t="s">
        <v>6</v>
      </c>
    </row>
    <row r="244" spans="1:7" x14ac:dyDescent="0.25">
      <c r="A244" s="2" t="s">
        <v>25</v>
      </c>
      <c r="B244" s="8" t="s">
        <v>26</v>
      </c>
      <c r="C244" s="2">
        <v>4</v>
      </c>
      <c r="D244" s="3">
        <v>1079590.799601601</v>
      </c>
      <c r="E244" s="3">
        <v>29824.255583999999</v>
      </c>
      <c r="F244" s="4">
        <v>1.7700063980245699E-2</v>
      </c>
      <c r="G244" s="4">
        <v>1.8406361575525849E-2</v>
      </c>
    </row>
    <row r="245" spans="1:7" x14ac:dyDescent="0.25">
      <c r="A245" s="2" t="s">
        <v>25</v>
      </c>
      <c r="B245" s="8" t="s">
        <v>26</v>
      </c>
      <c r="C245" s="2">
        <v>3</v>
      </c>
      <c r="D245" s="3">
        <v>917032.53729645221</v>
      </c>
      <c r="E245" s="3">
        <v>21948.7441788</v>
      </c>
      <c r="F245" s="4">
        <v>5.1385668600091312E-2</v>
      </c>
      <c r="G245" s="4">
        <v>1.045825844659099E-3</v>
      </c>
    </row>
    <row r="246" spans="1:7" x14ac:dyDescent="0.25">
      <c r="A246" s="2" t="s">
        <v>25</v>
      </c>
      <c r="B246" s="8" t="s">
        <v>26</v>
      </c>
      <c r="C246" s="2">
        <v>2</v>
      </c>
      <c r="D246" s="3">
        <v>802566.08061441511</v>
      </c>
      <c r="E246" s="3">
        <v>12046.641059559999</v>
      </c>
      <c r="F246" s="4">
        <v>1.264319260007594E-2</v>
      </c>
      <c r="G246" s="4">
        <v>9.2646432850616075E-4</v>
      </c>
    </row>
    <row r="247" spans="1:7" x14ac:dyDescent="0.25">
      <c r="A247" s="2" t="s">
        <v>25</v>
      </c>
      <c r="B247" s="8" t="s">
        <v>26</v>
      </c>
      <c r="C247" s="2">
        <v>1</v>
      </c>
      <c r="D247" s="3">
        <v>774599.50938466226</v>
      </c>
      <c r="E247" s="3">
        <v>31768.917493320001</v>
      </c>
      <c r="F247" s="4">
        <v>4.5024994770462897E-3</v>
      </c>
      <c r="G247" s="4">
        <v>6.1504127372638605E-4</v>
      </c>
    </row>
    <row r="249" spans="1:7" x14ac:dyDescent="0.25">
      <c r="B249" s="7" t="s">
        <v>40</v>
      </c>
      <c r="D249" s="3">
        <f>AVERAGE(D244:D245)</f>
        <v>998311.66844902653</v>
      </c>
      <c r="E249" s="3">
        <f t="shared" ref="E249:G249" si="44">AVERAGE(E244:E245)</f>
        <v>25886.499881399999</v>
      </c>
      <c r="F249" s="4">
        <f t="shared" si="44"/>
        <v>3.4542866290168506E-2</v>
      </c>
      <c r="G249" s="4">
        <f t="shared" si="44"/>
        <v>9.7260937100924743E-3</v>
      </c>
    </row>
    <row r="250" spans="1:7" x14ac:dyDescent="0.25">
      <c r="B250" s="7" t="s">
        <v>41</v>
      </c>
      <c r="D250" s="3">
        <f>AVERAGE(D246:D247)</f>
        <v>788582.79499953869</v>
      </c>
      <c r="E250" s="3">
        <f t="shared" ref="E250:G250" si="45">AVERAGE(E246:E247)</f>
        <v>21907.77927644</v>
      </c>
      <c r="F250" s="4">
        <f t="shared" si="45"/>
        <v>8.5728460385611147E-3</v>
      </c>
      <c r="G250" s="4">
        <f t="shared" si="45"/>
        <v>7.7075280111627334E-4</v>
      </c>
    </row>
    <row r="252" spans="1:7" x14ac:dyDescent="0.25">
      <c r="C252" s="7" t="s">
        <v>42</v>
      </c>
      <c r="D252" s="3">
        <f>D249/D250</f>
        <v>1.2659566944389276</v>
      </c>
      <c r="E252" s="3">
        <f t="shared" ref="E252:G252" si="46">E249/E250</f>
        <v>1.1816122280015293</v>
      </c>
      <c r="F252" s="3">
        <f t="shared" si="46"/>
        <v>4.0293347314057506</v>
      </c>
      <c r="G252" s="3">
        <f t="shared" si="46"/>
        <v>12.618953438776055</v>
      </c>
    </row>
    <row r="254" spans="1:7" x14ac:dyDescent="0.25">
      <c r="C254" s="2">
        <f>MAX(C244:C247)</f>
        <v>4</v>
      </c>
      <c r="D254" s="2">
        <f t="shared" ref="D254:G254" si="47">MAX(D244:D247)</f>
        <v>1079590.799601601</v>
      </c>
      <c r="E254" s="2">
        <f t="shared" si="47"/>
        <v>31768.917493320001</v>
      </c>
      <c r="F254" s="2">
        <f t="shared" si="47"/>
        <v>5.1385668600091312E-2</v>
      </c>
      <c r="G254" s="2">
        <f t="shared" si="47"/>
        <v>1.8406361575525849E-2</v>
      </c>
    </row>
    <row r="255" spans="1:7" x14ac:dyDescent="0.25">
      <c r="C255" s="10" t="s">
        <v>43</v>
      </c>
      <c r="D255" s="10" t="s">
        <v>3</v>
      </c>
      <c r="E255" s="1" t="s">
        <v>4</v>
      </c>
      <c r="F255" s="1" t="s">
        <v>5</v>
      </c>
      <c r="G255" s="1" t="s">
        <v>6</v>
      </c>
    </row>
    <row r="256" spans="1:7" x14ac:dyDescent="0.25">
      <c r="C256" s="2">
        <f>C244/C$254</f>
        <v>1</v>
      </c>
      <c r="D256" s="2">
        <f t="shared" ref="D256:G256" si="48">D244/D$254</f>
        <v>1</v>
      </c>
      <c r="E256" s="2">
        <f t="shared" si="48"/>
        <v>0.93878727817122176</v>
      </c>
      <c r="F256" s="2">
        <f t="shared" si="48"/>
        <v>0.34445526276978805</v>
      </c>
      <c r="G256" s="2">
        <f t="shared" si="48"/>
        <v>1</v>
      </c>
    </row>
    <row r="257" spans="1:7" x14ac:dyDescent="0.25">
      <c r="C257" s="2">
        <f t="shared" ref="C257:G259" si="49">C245/C$254</f>
        <v>0.75</v>
      </c>
      <c r="D257" s="2">
        <f t="shared" si="49"/>
        <v>0.84942603960209995</v>
      </c>
      <c r="E257" s="2">
        <f t="shared" si="49"/>
        <v>0.69088738020157991</v>
      </c>
      <c r="F257" s="2">
        <f t="shared" si="49"/>
        <v>1</v>
      </c>
      <c r="G257" s="2">
        <f t="shared" si="49"/>
        <v>5.6818716744632944E-2</v>
      </c>
    </row>
    <row r="258" spans="1:7" x14ac:dyDescent="0.25">
      <c r="C258" s="2">
        <f t="shared" si="49"/>
        <v>0.5</v>
      </c>
      <c r="D258" s="2">
        <f t="shared" si="49"/>
        <v>0.74339840698029691</v>
      </c>
      <c r="E258" s="2">
        <f t="shared" si="49"/>
        <v>0.37919583070757845</v>
      </c>
      <c r="F258" s="2">
        <f t="shared" si="49"/>
        <v>0.24604511227578876</v>
      </c>
      <c r="G258" s="2">
        <f t="shared" si="49"/>
        <v>5.0333919862687079E-2</v>
      </c>
    </row>
    <row r="259" spans="1:7" x14ac:dyDescent="0.25">
      <c r="C259" s="2">
        <f t="shared" si="49"/>
        <v>0.25</v>
      </c>
      <c r="D259" s="2">
        <f t="shared" si="49"/>
        <v>0.71749361857336225</v>
      </c>
      <c r="E259" s="2">
        <f t="shared" si="49"/>
        <v>1</v>
      </c>
      <c r="F259" s="2">
        <f t="shared" si="49"/>
        <v>8.7621696860402221E-2</v>
      </c>
      <c r="G259" s="2">
        <f t="shared" si="49"/>
        <v>3.3414603489272977E-2</v>
      </c>
    </row>
    <row r="261" spans="1:7" x14ac:dyDescent="0.25">
      <c r="C261" s="10" t="s">
        <v>3</v>
      </c>
      <c r="D261" s="10" t="s">
        <v>43</v>
      </c>
      <c r="E261" s="10" t="s">
        <v>4</v>
      </c>
      <c r="F261" s="10" t="s">
        <v>5</v>
      </c>
      <c r="G261" s="10" t="s">
        <v>6</v>
      </c>
    </row>
    <row r="262" spans="1:7" x14ac:dyDescent="0.25">
      <c r="C262" s="3">
        <v>0.71749361857336225</v>
      </c>
      <c r="D262" s="2">
        <v>0.25</v>
      </c>
      <c r="E262" s="2">
        <v>1</v>
      </c>
      <c r="F262" s="2">
        <v>8.7621696860402221E-2</v>
      </c>
      <c r="G262" s="2">
        <v>3.3414603489272977E-2</v>
      </c>
    </row>
    <row r="263" spans="1:7" x14ac:dyDescent="0.25">
      <c r="C263" s="3">
        <v>0.74339840698029691</v>
      </c>
      <c r="D263" s="2">
        <v>0.5</v>
      </c>
      <c r="E263" s="2">
        <v>0.37919583070757845</v>
      </c>
      <c r="F263" s="2">
        <v>0.24604511227578876</v>
      </c>
      <c r="G263" s="2">
        <v>5.0333919862687079E-2</v>
      </c>
    </row>
    <row r="264" spans="1:7" x14ac:dyDescent="0.25">
      <c r="C264" s="3">
        <v>0.84942603960209995</v>
      </c>
      <c r="D264" s="2">
        <v>0.75</v>
      </c>
      <c r="E264" s="2">
        <v>0.69088738020157991</v>
      </c>
      <c r="F264" s="2">
        <v>1</v>
      </c>
      <c r="G264" s="2">
        <v>5.6818716744632944E-2</v>
      </c>
    </row>
    <row r="265" spans="1:7" x14ac:dyDescent="0.25">
      <c r="C265" s="3">
        <v>1</v>
      </c>
      <c r="D265" s="2">
        <v>1</v>
      </c>
      <c r="E265" s="2">
        <v>0.93878727817122176</v>
      </c>
      <c r="F265" s="2">
        <v>0.34445526276978805</v>
      </c>
      <c r="G265" s="2">
        <v>1</v>
      </c>
    </row>
    <row r="268" spans="1:7" x14ac:dyDescent="0.25">
      <c r="A268" s="1" t="s">
        <v>0</v>
      </c>
      <c r="B268" s="1" t="s">
        <v>1</v>
      </c>
      <c r="C268" s="1" t="s">
        <v>2</v>
      </c>
      <c r="D268" s="1" t="s">
        <v>3</v>
      </c>
      <c r="E268" s="1" t="s">
        <v>4</v>
      </c>
      <c r="F268" s="1" t="s">
        <v>5</v>
      </c>
      <c r="G268" s="1" t="s">
        <v>6</v>
      </c>
    </row>
    <row r="269" spans="1:7" x14ac:dyDescent="0.25">
      <c r="A269" s="2" t="s">
        <v>27</v>
      </c>
      <c r="B269" s="8" t="s">
        <v>28</v>
      </c>
      <c r="C269" s="2">
        <v>4</v>
      </c>
      <c r="D269" s="3">
        <v>702640.28510284843</v>
      </c>
      <c r="E269" s="3">
        <v>24692.815392</v>
      </c>
      <c r="F269" s="4">
        <v>1.2473785395074479E-2</v>
      </c>
      <c r="G269" s="4">
        <v>1.210844187888221E-3</v>
      </c>
    </row>
    <row r="270" spans="1:7" x14ac:dyDescent="0.25">
      <c r="A270" s="2" t="s">
        <v>27</v>
      </c>
      <c r="B270" s="8" t="s">
        <v>28</v>
      </c>
      <c r="C270" s="2">
        <v>3</v>
      </c>
      <c r="D270" s="3">
        <v>648523.59030139784</v>
      </c>
      <c r="E270" s="3">
        <v>20365.73930736</v>
      </c>
      <c r="F270" s="4">
        <v>2.3285205202868371E-2</v>
      </c>
      <c r="G270" s="4">
        <v>1.5783067550306741E-3</v>
      </c>
    </row>
    <row r="271" spans="1:7" x14ac:dyDescent="0.25">
      <c r="A271" s="2" t="s">
        <v>27</v>
      </c>
      <c r="B271" s="8" t="s">
        <v>28</v>
      </c>
      <c r="C271" s="2">
        <v>2</v>
      </c>
      <c r="D271" s="3">
        <v>525586.90611574077</v>
      </c>
      <c r="E271" s="3">
        <v>57596.7124071</v>
      </c>
      <c r="F271" s="4">
        <v>6.9328647193893768E-4</v>
      </c>
      <c r="G271" s="4">
        <v>1.2640594598421069E-2</v>
      </c>
    </row>
    <row r="272" spans="1:7" x14ac:dyDescent="0.25">
      <c r="A272" s="2" t="s">
        <v>27</v>
      </c>
      <c r="B272" s="8" t="s">
        <v>28</v>
      </c>
      <c r="C272" s="2">
        <v>1</v>
      </c>
      <c r="D272" s="3">
        <v>489831.22166003252</v>
      </c>
      <c r="E272" s="3">
        <v>28233.8392518</v>
      </c>
      <c r="F272" s="4">
        <v>1.7629362658082969E-3</v>
      </c>
      <c r="G272" s="4">
        <v>1.091290811894655E-3</v>
      </c>
    </row>
    <row r="274" spans="2:7" x14ac:dyDescent="0.25">
      <c r="B274" s="7" t="s">
        <v>40</v>
      </c>
      <c r="D274" s="3">
        <f>AVERAGE(D269:D270)</f>
        <v>675581.93770212308</v>
      </c>
      <c r="E274" s="3">
        <f t="shared" ref="E274:G274" si="50">AVERAGE(E269:E270)</f>
        <v>22529.27734968</v>
      </c>
      <c r="F274" s="4">
        <f t="shared" si="50"/>
        <v>1.7879495298971426E-2</v>
      </c>
      <c r="G274" s="4">
        <f t="shared" si="50"/>
        <v>1.3945754714594475E-3</v>
      </c>
    </row>
    <row r="275" spans="2:7" x14ac:dyDescent="0.25">
      <c r="B275" s="7" t="s">
        <v>41</v>
      </c>
      <c r="D275" s="3">
        <f>AVERAGE(D271:D272)</f>
        <v>507709.06388788664</v>
      </c>
      <c r="E275" s="3">
        <f t="shared" ref="E275:G275" si="51">AVERAGE(E271:E272)</f>
        <v>42915.275829450002</v>
      </c>
      <c r="F275" s="4">
        <f t="shared" si="51"/>
        <v>1.2281113688736172E-3</v>
      </c>
      <c r="G275" s="4">
        <f t="shared" si="51"/>
        <v>6.8659427051578625E-3</v>
      </c>
    </row>
    <row r="277" spans="2:7" x14ac:dyDescent="0.25">
      <c r="C277" s="7" t="s">
        <v>42</v>
      </c>
      <c r="D277" s="3">
        <f>D274/D275</f>
        <v>1.3306477779394272</v>
      </c>
      <c r="E277" s="3">
        <f t="shared" ref="E277:G277" si="52">E274/E275</f>
        <v>0.52497104851926879</v>
      </c>
      <c r="F277" s="3">
        <f t="shared" si="52"/>
        <v>14.558529260558757</v>
      </c>
      <c r="G277" s="3">
        <f t="shared" si="52"/>
        <v>0.20311492992969613</v>
      </c>
    </row>
    <row r="279" spans="2:7" x14ac:dyDescent="0.25">
      <c r="C279" s="2">
        <f>MAX(C269:C272)</f>
        <v>4</v>
      </c>
      <c r="D279" s="2">
        <f t="shared" ref="D279:G279" si="53">MAX(D269:D272)</f>
        <v>702640.28510284843</v>
      </c>
      <c r="E279" s="2">
        <f t="shared" si="53"/>
        <v>57596.7124071</v>
      </c>
      <c r="F279" s="2">
        <f t="shared" si="53"/>
        <v>2.3285205202868371E-2</v>
      </c>
      <c r="G279" s="2">
        <f t="shared" si="53"/>
        <v>1.2640594598421069E-2</v>
      </c>
    </row>
    <row r="280" spans="2:7" x14ac:dyDescent="0.25">
      <c r="C280" s="10" t="s">
        <v>43</v>
      </c>
      <c r="D280" s="10" t="s">
        <v>3</v>
      </c>
      <c r="E280" s="1" t="s">
        <v>4</v>
      </c>
      <c r="F280" s="1" t="s">
        <v>5</v>
      </c>
      <c r="G280" s="1" t="s">
        <v>6</v>
      </c>
    </row>
    <row r="281" spans="2:7" x14ac:dyDescent="0.25">
      <c r="C281" s="2">
        <f>C269/C$279</f>
        <v>1</v>
      </c>
      <c r="D281" s="2">
        <f t="shared" ref="D281:G281" si="54">D269/D$279</f>
        <v>1</v>
      </c>
      <c r="E281" s="2">
        <f t="shared" si="54"/>
        <v>0.4287191813565403</v>
      </c>
      <c r="F281" s="2">
        <f t="shared" si="54"/>
        <v>0.53569574699465849</v>
      </c>
      <c r="G281" s="2">
        <f t="shared" si="54"/>
        <v>9.5790129052906028E-2</v>
      </c>
    </row>
    <row r="282" spans="2:7" x14ac:dyDescent="0.25">
      <c r="C282" s="2">
        <f t="shared" ref="C282:G284" si="55">C270/C$279</f>
        <v>0.75</v>
      </c>
      <c r="D282" s="2">
        <f t="shared" si="55"/>
        <v>0.9229809392532492</v>
      </c>
      <c r="E282" s="2">
        <f t="shared" si="55"/>
        <v>0.3535920446884655</v>
      </c>
      <c r="F282" s="2">
        <f t="shared" si="55"/>
        <v>1</v>
      </c>
      <c r="G282" s="2">
        <f t="shared" si="55"/>
        <v>0.12486016719718387</v>
      </c>
    </row>
    <row r="283" spans="2:7" x14ac:dyDescent="0.25">
      <c r="C283" s="2">
        <f t="shared" si="55"/>
        <v>0.5</v>
      </c>
      <c r="D283" s="2">
        <f t="shared" si="55"/>
        <v>0.74801703981263812</v>
      </c>
      <c r="E283" s="2">
        <f t="shared" si="55"/>
        <v>1</v>
      </c>
      <c r="F283" s="2">
        <f t="shared" si="55"/>
        <v>2.9773689598128844E-2</v>
      </c>
      <c r="G283" s="2">
        <f t="shared" si="55"/>
        <v>1</v>
      </c>
    </row>
    <row r="284" spans="2:7" x14ac:dyDescent="0.25">
      <c r="C284" s="2">
        <f t="shared" si="55"/>
        <v>0.25</v>
      </c>
      <c r="D284" s="2">
        <f t="shared" si="55"/>
        <v>0.69712943030064645</v>
      </c>
      <c r="E284" s="2">
        <f t="shared" si="55"/>
        <v>0.49019879906061425</v>
      </c>
      <c r="F284" s="2">
        <f t="shared" si="55"/>
        <v>7.571057460945764E-2</v>
      </c>
      <c r="G284" s="2">
        <f t="shared" si="55"/>
        <v>8.6332237253377908E-2</v>
      </c>
    </row>
    <row r="286" spans="2:7" x14ac:dyDescent="0.25">
      <c r="C286" s="10" t="s">
        <v>3</v>
      </c>
      <c r="D286" s="10" t="s">
        <v>43</v>
      </c>
      <c r="E286" s="10" t="s">
        <v>4</v>
      </c>
      <c r="F286" s="10" t="s">
        <v>5</v>
      </c>
      <c r="G286" s="10" t="s">
        <v>6</v>
      </c>
    </row>
    <row r="287" spans="2:7" x14ac:dyDescent="0.25">
      <c r="C287" s="3">
        <v>0.69712943030064645</v>
      </c>
      <c r="D287" s="2">
        <v>0.25</v>
      </c>
      <c r="E287" s="2">
        <v>0.49019879906061425</v>
      </c>
      <c r="F287" s="2">
        <v>7.571057460945764E-2</v>
      </c>
      <c r="G287" s="2">
        <v>8.6332237253377908E-2</v>
      </c>
    </row>
    <row r="288" spans="2:7" x14ac:dyDescent="0.25">
      <c r="C288" s="3">
        <v>0.74801703981263812</v>
      </c>
      <c r="D288" s="2">
        <v>0.5</v>
      </c>
      <c r="E288" s="2">
        <v>1</v>
      </c>
      <c r="F288" s="2">
        <v>2.9773689598128844E-2</v>
      </c>
      <c r="G288" s="2">
        <v>1</v>
      </c>
    </row>
    <row r="289" spans="1:7" x14ac:dyDescent="0.25">
      <c r="C289" s="3">
        <v>0.9229809392532492</v>
      </c>
      <c r="D289" s="2">
        <v>0.75</v>
      </c>
      <c r="E289" s="2">
        <v>0.3535920446884655</v>
      </c>
      <c r="F289" s="2">
        <v>1</v>
      </c>
      <c r="G289" s="2">
        <v>0.12486016719718387</v>
      </c>
    </row>
    <row r="290" spans="1:7" x14ac:dyDescent="0.25">
      <c r="C290" s="3">
        <v>1</v>
      </c>
      <c r="D290" s="2">
        <v>1</v>
      </c>
      <c r="E290" s="2">
        <v>0.4287191813565403</v>
      </c>
      <c r="F290" s="2">
        <v>0.53569574699465849</v>
      </c>
      <c r="G290" s="2">
        <v>9.5790129052906028E-2</v>
      </c>
    </row>
    <row r="292" spans="1:7" x14ac:dyDescent="0.25">
      <c r="A292" s="1" t="s">
        <v>0</v>
      </c>
      <c r="B292" s="1" t="s">
        <v>1</v>
      </c>
      <c r="C292" s="1" t="s">
        <v>2</v>
      </c>
      <c r="D292" s="1" t="s">
        <v>3</v>
      </c>
      <c r="E292" s="1" t="s">
        <v>4</v>
      </c>
      <c r="F292" s="1" t="s">
        <v>5</v>
      </c>
      <c r="G292" s="1" t="s">
        <v>6</v>
      </c>
    </row>
    <row r="293" spans="1:7" x14ac:dyDescent="0.25">
      <c r="A293" s="2" t="s">
        <v>29</v>
      </c>
      <c r="B293" s="8" t="s">
        <v>30</v>
      </c>
      <c r="C293" s="2">
        <v>4</v>
      </c>
      <c r="D293" s="3">
        <v>333902.21266145178</v>
      </c>
      <c r="E293" s="3">
        <v>6590.0541599999997</v>
      </c>
      <c r="F293" s="4">
        <v>3.968817154607421E-3</v>
      </c>
      <c r="G293" s="4">
        <v>1.4273582237145071E-3</v>
      </c>
    </row>
    <row r="294" spans="1:7" x14ac:dyDescent="0.25">
      <c r="A294" s="2" t="s">
        <v>29</v>
      </c>
      <c r="B294" s="8" t="s">
        <v>30</v>
      </c>
      <c r="C294" s="2">
        <v>3</v>
      </c>
      <c r="D294" s="3">
        <v>289865.32010952412</v>
      </c>
      <c r="E294" s="3">
        <v>5130.8202951200001</v>
      </c>
      <c r="F294" s="4">
        <v>7.1409024001186736E-3</v>
      </c>
      <c r="G294" s="4">
        <v>1.6292149323472839E-3</v>
      </c>
    </row>
    <row r="295" spans="1:7" x14ac:dyDescent="0.25">
      <c r="A295" s="2" t="s">
        <v>29</v>
      </c>
      <c r="B295" s="8" t="s">
        <v>30</v>
      </c>
      <c r="C295" s="2">
        <v>2</v>
      </c>
      <c r="D295" s="3">
        <v>259818.50988372459</v>
      </c>
      <c r="E295" s="3">
        <v>45922.658233419999</v>
      </c>
      <c r="F295" s="4">
        <v>4.0433840100499702E-5</v>
      </c>
      <c r="G295" s="4">
        <v>1.5232724169502069E-4</v>
      </c>
    </row>
    <row r="296" spans="1:7" x14ac:dyDescent="0.25">
      <c r="A296" s="2" t="s">
        <v>29</v>
      </c>
      <c r="B296" s="8" t="s">
        <v>30</v>
      </c>
      <c r="C296" s="2">
        <v>1</v>
      </c>
      <c r="D296" s="3">
        <v>234189.89306239539</v>
      </c>
      <c r="E296" s="3">
        <v>4733.3383234200001</v>
      </c>
      <c r="F296" s="4">
        <v>6.6356632156617178E-4</v>
      </c>
      <c r="G296" s="4">
        <v>3.1476572520248271E-3</v>
      </c>
    </row>
    <row r="298" spans="1:7" x14ac:dyDescent="0.25">
      <c r="B298" s="7" t="s">
        <v>40</v>
      </c>
      <c r="D298" s="3">
        <f>AVERAGE(D293:D294)</f>
        <v>311883.76638548798</v>
      </c>
      <c r="E298" s="3">
        <f t="shared" ref="E298:G298" si="56">AVERAGE(E293:E294)</f>
        <v>5860.4372275599999</v>
      </c>
      <c r="F298" s="4">
        <f t="shared" si="56"/>
        <v>5.5548597773630477E-3</v>
      </c>
      <c r="G298" s="4">
        <f t="shared" si="56"/>
        <v>1.5282865780308955E-3</v>
      </c>
    </row>
    <row r="299" spans="1:7" x14ac:dyDescent="0.25">
      <c r="B299" s="7" t="s">
        <v>41</v>
      </c>
      <c r="D299" s="3">
        <f>AVERAGE(D295:D296)</f>
        <v>247004.20147306001</v>
      </c>
      <c r="E299" s="3">
        <f t="shared" ref="E299:G299" si="57">AVERAGE(E295:E296)</f>
        <v>25327.99827842</v>
      </c>
      <c r="F299" s="4">
        <f t="shared" si="57"/>
        <v>3.5200008083333573E-4</v>
      </c>
      <c r="G299" s="4">
        <f t="shared" si="57"/>
        <v>1.6499922468599239E-3</v>
      </c>
    </row>
    <row r="301" spans="1:7" x14ac:dyDescent="0.25">
      <c r="C301" s="7" t="s">
        <v>42</v>
      </c>
      <c r="D301" s="3">
        <f>D298/D299</f>
        <v>1.2626658353400688</v>
      </c>
      <c r="E301" s="3">
        <f t="shared" ref="E301:G301" si="58">E298/E299</f>
        <v>0.23138177613322164</v>
      </c>
      <c r="F301" s="3">
        <f t="shared" si="58"/>
        <v>15.780848016319494</v>
      </c>
      <c r="G301" s="3">
        <f t="shared" si="58"/>
        <v>0.9262386419932308</v>
      </c>
    </row>
    <row r="303" spans="1:7" x14ac:dyDescent="0.25">
      <c r="C303" s="2">
        <f>MAX(C293:C296)</f>
        <v>4</v>
      </c>
      <c r="D303" s="2">
        <f t="shared" ref="D303:G303" si="59">MAX(D293:D296)</f>
        <v>333902.21266145178</v>
      </c>
      <c r="E303" s="2">
        <f t="shared" si="59"/>
        <v>45922.658233419999</v>
      </c>
      <c r="F303" s="2">
        <f t="shared" si="59"/>
        <v>7.1409024001186736E-3</v>
      </c>
      <c r="G303" s="2">
        <f t="shared" si="59"/>
        <v>3.1476572520248271E-3</v>
      </c>
    </row>
    <row r="304" spans="1:7" x14ac:dyDescent="0.25">
      <c r="C304" s="10" t="s">
        <v>43</v>
      </c>
      <c r="D304" s="10" t="s">
        <v>3</v>
      </c>
      <c r="E304" s="1" t="s">
        <v>4</v>
      </c>
      <c r="F304" s="1" t="s">
        <v>5</v>
      </c>
      <c r="G304" s="1" t="s">
        <v>6</v>
      </c>
    </row>
    <row r="305" spans="1:7" x14ac:dyDescent="0.25">
      <c r="C305" s="2">
        <f>C293/C$303</f>
        <v>1</v>
      </c>
      <c r="D305" s="2">
        <f t="shared" ref="D305:G305" si="60">D293/D$303</f>
        <v>1</v>
      </c>
      <c r="E305" s="2">
        <f t="shared" si="60"/>
        <v>0.14350332523225146</v>
      </c>
      <c r="F305" s="2">
        <f t="shared" si="60"/>
        <v>0.55578650039264843</v>
      </c>
      <c r="G305" s="2">
        <f t="shared" si="60"/>
        <v>0.45346685151196658</v>
      </c>
    </row>
    <row r="306" spans="1:7" x14ac:dyDescent="0.25">
      <c r="C306" s="2">
        <f t="shared" ref="C306:G308" si="61">C294/C$303</f>
        <v>0.75</v>
      </c>
      <c r="D306" s="2">
        <f t="shared" si="61"/>
        <v>0.86811440331311229</v>
      </c>
      <c r="E306" s="2">
        <f t="shared" si="61"/>
        <v>0.11172742372709753</v>
      </c>
      <c r="F306" s="2">
        <f t="shared" si="61"/>
        <v>1</v>
      </c>
      <c r="G306" s="2">
        <f t="shared" si="61"/>
        <v>0.5175960410871423</v>
      </c>
    </row>
    <row r="307" spans="1:7" x14ac:dyDescent="0.25">
      <c r="C307" s="2">
        <f t="shared" si="61"/>
        <v>0.5</v>
      </c>
      <c r="D307" s="2">
        <f t="shared" si="61"/>
        <v>0.77812754762172931</v>
      </c>
      <c r="E307" s="2">
        <f t="shared" si="61"/>
        <v>1</v>
      </c>
      <c r="F307" s="2">
        <f t="shared" si="61"/>
        <v>5.6622871781342003E-3</v>
      </c>
      <c r="G307" s="2">
        <f t="shared" si="61"/>
        <v>4.8393846438341249E-2</v>
      </c>
    </row>
    <row r="308" spans="1:7" x14ac:dyDescent="0.25">
      <c r="C308" s="2">
        <f t="shared" si="61"/>
        <v>0.25</v>
      </c>
      <c r="D308" s="2">
        <f t="shared" si="61"/>
        <v>0.70137268991339052</v>
      </c>
      <c r="E308" s="2">
        <f t="shared" si="61"/>
        <v>0.10307195849510592</v>
      </c>
      <c r="F308" s="2">
        <f t="shared" si="61"/>
        <v>9.2924715166971622E-2</v>
      </c>
      <c r="G308" s="2">
        <f t="shared" si="61"/>
        <v>1</v>
      </c>
    </row>
    <row r="310" spans="1:7" x14ac:dyDescent="0.25">
      <c r="C310" s="10" t="s">
        <v>3</v>
      </c>
      <c r="D310" s="10" t="s">
        <v>43</v>
      </c>
      <c r="E310" s="10" t="s">
        <v>4</v>
      </c>
      <c r="F310" s="10" t="s">
        <v>5</v>
      </c>
      <c r="G310" s="10" t="s">
        <v>6</v>
      </c>
    </row>
    <row r="311" spans="1:7" x14ac:dyDescent="0.25">
      <c r="C311" s="3">
        <v>0.70137268991339052</v>
      </c>
      <c r="D311" s="2">
        <v>0.25</v>
      </c>
      <c r="E311" s="2">
        <v>0.10307195849510592</v>
      </c>
      <c r="F311" s="2">
        <v>9.2924715166971622E-2</v>
      </c>
      <c r="G311" s="2">
        <v>1</v>
      </c>
    </row>
    <row r="312" spans="1:7" x14ac:dyDescent="0.25">
      <c r="C312" s="3">
        <v>0.77812754762172931</v>
      </c>
      <c r="D312" s="2">
        <v>0.5</v>
      </c>
      <c r="E312" s="2">
        <v>1</v>
      </c>
      <c r="F312" s="2">
        <v>5.6622871781342003E-3</v>
      </c>
      <c r="G312" s="2">
        <v>4.8393846438341249E-2</v>
      </c>
    </row>
    <row r="313" spans="1:7" x14ac:dyDescent="0.25">
      <c r="C313" s="3">
        <v>0.86811440331311229</v>
      </c>
      <c r="D313" s="2">
        <v>0.75</v>
      </c>
      <c r="E313" s="2">
        <v>0.11172742372709753</v>
      </c>
      <c r="F313" s="2">
        <v>1</v>
      </c>
      <c r="G313" s="2">
        <v>0.5175960410871423</v>
      </c>
    </row>
    <row r="314" spans="1:7" x14ac:dyDescent="0.25">
      <c r="C314" s="3">
        <v>1</v>
      </c>
      <c r="D314" s="2">
        <v>1</v>
      </c>
      <c r="E314" s="2">
        <v>0.14350332523225146</v>
      </c>
      <c r="F314" s="2">
        <v>0.55578650039264843</v>
      </c>
      <c r="G314" s="2">
        <v>0.45346685151196658</v>
      </c>
    </row>
    <row r="317" spans="1:7" x14ac:dyDescent="0.25">
      <c r="A317" s="1" t="s">
        <v>0</v>
      </c>
      <c r="B317" s="1" t="s">
        <v>1</v>
      </c>
      <c r="C317" s="1" t="s">
        <v>2</v>
      </c>
      <c r="D317" s="1" t="s">
        <v>3</v>
      </c>
      <c r="E317" s="1" t="s">
        <v>4</v>
      </c>
      <c r="F317" s="1" t="s">
        <v>5</v>
      </c>
      <c r="G317" s="1" t="s">
        <v>6</v>
      </c>
    </row>
    <row r="318" spans="1:7" x14ac:dyDescent="0.25">
      <c r="A318" s="2" t="s">
        <v>31</v>
      </c>
      <c r="B318" s="8" t="s">
        <v>32</v>
      </c>
      <c r="C318" s="2">
        <v>4</v>
      </c>
      <c r="D318" s="3">
        <v>615324.90182869229</v>
      </c>
      <c r="E318" s="3">
        <v>12188.037840000001</v>
      </c>
      <c r="F318" s="4">
        <v>3.5563801629943082E-3</v>
      </c>
      <c r="G318" s="4">
        <v>2.3262126662383252E-3</v>
      </c>
    </row>
    <row r="319" spans="1:7" x14ac:dyDescent="0.25">
      <c r="A319" s="2" t="s">
        <v>31</v>
      </c>
      <c r="B319" s="8" t="s">
        <v>32</v>
      </c>
      <c r="C319" s="2">
        <v>3</v>
      </c>
      <c r="D319" s="3">
        <v>463470.71898289572</v>
      </c>
      <c r="E319" s="3">
        <v>9380.3853557600014</v>
      </c>
      <c r="F319" s="4">
        <v>2.4821681068467739E-3</v>
      </c>
      <c r="G319" s="4">
        <v>1.7821392198706289E-3</v>
      </c>
    </row>
    <row r="320" spans="1:7" x14ac:dyDescent="0.25">
      <c r="A320" s="2" t="s">
        <v>31</v>
      </c>
      <c r="B320" s="8" t="s">
        <v>32</v>
      </c>
      <c r="C320" s="2">
        <v>2</v>
      </c>
      <c r="D320" s="3">
        <v>441905.15975913568</v>
      </c>
      <c r="E320" s="3">
        <v>8680.9984719799995</v>
      </c>
      <c r="F320" s="4">
        <v>5.3628300774693723E-2</v>
      </c>
      <c r="G320" s="4">
        <v>1.9809359137092151E-3</v>
      </c>
    </row>
    <row r="321" spans="1:7" x14ac:dyDescent="0.25">
      <c r="A321" s="2" t="s">
        <v>31</v>
      </c>
      <c r="B321" s="8" t="s">
        <v>32</v>
      </c>
      <c r="C321" s="2">
        <v>1</v>
      </c>
      <c r="D321" s="3">
        <v>396416.47748978873</v>
      </c>
      <c r="E321" s="3">
        <v>10615.43888874</v>
      </c>
      <c r="F321" s="4">
        <v>5.7122249315871114E-3</v>
      </c>
      <c r="G321" s="4">
        <v>1.223257961926933E-3</v>
      </c>
    </row>
    <row r="323" spans="1:7" x14ac:dyDescent="0.25">
      <c r="B323" s="7" t="s">
        <v>40</v>
      </c>
      <c r="D323" s="3">
        <f>AVERAGE(D318:D319)</f>
        <v>539397.81040579407</v>
      </c>
      <c r="E323" s="3">
        <f t="shared" ref="E323:G323" si="62">AVERAGE(E318:E319)</f>
        <v>10784.211597880001</v>
      </c>
      <c r="F323" s="4">
        <f t="shared" si="62"/>
        <v>3.0192741349205411E-3</v>
      </c>
      <c r="G323" s="4">
        <f t="shared" si="62"/>
        <v>2.0541759430544771E-3</v>
      </c>
    </row>
    <row r="324" spans="1:7" x14ac:dyDescent="0.25">
      <c r="B324" s="7" t="s">
        <v>41</v>
      </c>
      <c r="D324" s="3">
        <f>AVERAGE(D320:D321)</f>
        <v>419160.81862446223</v>
      </c>
      <c r="E324" s="3">
        <f t="shared" ref="E324:G324" si="63">AVERAGE(E320:E321)</f>
        <v>9648.2186803599998</v>
      </c>
      <c r="F324" s="4">
        <f t="shared" si="63"/>
        <v>2.9670262853140415E-2</v>
      </c>
      <c r="G324" s="4">
        <f t="shared" si="63"/>
        <v>1.602096937818074E-3</v>
      </c>
    </row>
    <row r="326" spans="1:7" x14ac:dyDescent="0.25">
      <c r="C326" s="7" t="s">
        <v>42</v>
      </c>
      <c r="D326" s="3">
        <f>D323/D324</f>
        <v>1.2868516961482879</v>
      </c>
      <c r="E326" s="3">
        <f t="shared" ref="E326:G326" si="64">E323/E324</f>
        <v>1.1177412074865631</v>
      </c>
      <c r="F326" s="3">
        <f t="shared" si="64"/>
        <v>0.10176095000792922</v>
      </c>
      <c r="G326" s="3">
        <f t="shared" si="64"/>
        <v>1.2821795576565411</v>
      </c>
    </row>
    <row r="328" spans="1:7" x14ac:dyDescent="0.25">
      <c r="C328" s="2">
        <f>MAX(C318:C321)</f>
        <v>4</v>
      </c>
      <c r="D328" s="2">
        <f t="shared" ref="D328:G328" si="65">MAX(D318:D321)</f>
        <v>615324.90182869229</v>
      </c>
      <c r="E328" s="2">
        <f t="shared" si="65"/>
        <v>12188.037840000001</v>
      </c>
      <c r="F328" s="2">
        <f t="shared" si="65"/>
        <v>5.3628300774693723E-2</v>
      </c>
      <c r="G328" s="2">
        <f t="shared" si="65"/>
        <v>2.3262126662383252E-3</v>
      </c>
    </row>
    <row r="329" spans="1:7" x14ac:dyDescent="0.25">
      <c r="C329" s="10" t="s">
        <v>43</v>
      </c>
      <c r="D329" s="10" t="s">
        <v>3</v>
      </c>
      <c r="E329" s="1" t="s">
        <v>4</v>
      </c>
      <c r="F329" s="1" t="s">
        <v>5</v>
      </c>
      <c r="G329" s="1" t="s">
        <v>6</v>
      </c>
    </row>
    <row r="330" spans="1:7" x14ac:dyDescent="0.25">
      <c r="C330" s="2">
        <f>C318/C$328</f>
        <v>1</v>
      </c>
      <c r="D330" s="2">
        <f t="shared" ref="D330:G330" si="66">D318/D$328</f>
        <v>1</v>
      </c>
      <c r="E330" s="2">
        <f t="shared" si="66"/>
        <v>1</v>
      </c>
      <c r="F330" s="2">
        <f t="shared" si="66"/>
        <v>6.6315361695601274E-2</v>
      </c>
      <c r="G330" s="2">
        <f t="shared" si="66"/>
        <v>1</v>
      </c>
    </row>
    <row r="331" spans="1:7" x14ac:dyDescent="0.25">
      <c r="C331" s="2">
        <f t="shared" ref="C331:G333" si="67">C319/C$328</f>
        <v>0.75</v>
      </c>
      <c r="D331" s="2">
        <f t="shared" si="67"/>
        <v>0.75321300601601027</v>
      </c>
      <c r="E331" s="2">
        <f t="shared" si="67"/>
        <v>0.76963868006501046</v>
      </c>
      <c r="F331" s="2">
        <f t="shared" si="67"/>
        <v>4.6284668188071074E-2</v>
      </c>
      <c r="G331" s="2">
        <f t="shared" si="67"/>
        <v>0.76611190616225677</v>
      </c>
    </row>
    <row r="332" spans="1:7" x14ac:dyDescent="0.25">
      <c r="C332" s="2">
        <f t="shared" si="67"/>
        <v>0.5</v>
      </c>
      <c r="D332" s="2">
        <f t="shared" si="67"/>
        <v>0.71816557146611792</v>
      </c>
      <c r="E332" s="2">
        <f t="shared" si="67"/>
        <v>0.71225562194184977</v>
      </c>
      <c r="F332" s="2">
        <f t="shared" si="67"/>
        <v>1</v>
      </c>
      <c r="G332" s="2">
        <f t="shared" si="67"/>
        <v>0.85157128686456229</v>
      </c>
    </row>
    <row r="333" spans="1:7" x14ac:dyDescent="0.25">
      <c r="C333" s="2">
        <f t="shared" si="67"/>
        <v>0.25</v>
      </c>
      <c r="D333" s="2">
        <f t="shared" si="67"/>
        <v>0.64423928937651198</v>
      </c>
      <c r="E333" s="2">
        <f t="shared" si="67"/>
        <v>0.87097193396472083</v>
      </c>
      <c r="F333" s="2">
        <f t="shared" si="67"/>
        <v>0.10651512073048215</v>
      </c>
      <c r="G333" s="2">
        <f t="shared" si="67"/>
        <v>0.52585818127499084</v>
      </c>
    </row>
    <row r="335" spans="1:7" x14ac:dyDescent="0.25">
      <c r="C335" s="10" t="s">
        <v>3</v>
      </c>
      <c r="D335" s="10" t="s">
        <v>43</v>
      </c>
      <c r="E335" s="10" t="s">
        <v>4</v>
      </c>
      <c r="F335" s="10" t="s">
        <v>5</v>
      </c>
      <c r="G335" s="10" t="s">
        <v>6</v>
      </c>
    </row>
    <row r="336" spans="1:7" x14ac:dyDescent="0.25">
      <c r="C336" s="3">
        <v>0.64423928937651198</v>
      </c>
      <c r="D336" s="2">
        <v>0.25</v>
      </c>
      <c r="E336" s="2">
        <v>0.87097193396472083</v>
      </c>
      <c r="F336" s="2">
        <v>0.10651512073048215</v>
      </c>
      <c r="G336" s="2">
        <v>0.52585818127499084</v>
      </c>
    </row>
    <row r="337" spans="1:7" x14ac:dyDescent="0.25">
      <c r="C337" s="3">
        <v>0.71816557146611792</v>
      </c>
      <c r="D337" s="2">
        <v>0.5</v>
      </c>
      <c r="E337" s="2">
        <v>0.71225562194184977</v>
      </c>
      <c r="F337" s="2">
        <v>1</v>
      </c>
      <c r="G337" s="2">
        <v>0.85157128686456229</v>
      </c>
    </row>
    <row r="338" spans="1:7" x14ac:dyDescent="0.25">
      <c r="C338" s="3">
        <v>0.75321300601601027</v>
      </c>
      <c r="D338" s="2">
        <v>0.75</v>
      </c>
      <c r="E338" s="2">
        <v>0.76963868006501046</v>
      </c>
      <c r="F338" s="2">
        <v>4.6284668188071074E-2</v>
      </c>
      <c r="G338" s="2">
        <v>0.76611190616225677</v>
      </c>
    </row>
    <row r="339" spans="1:7" x14ac:dyDescent="0.25">
      <c r="C339" s="3">
        <v>1</v>
      </c>
      <c r="D339" s="2">
        <v>1</v>
      </c>
      <c r="E339" s="2">
        <v>1</v>
      </c>
      <c r="F339" s="2">
        <v>6.6315361695601274E-2</v>
      </c>
      <c r="G339" s="2">
        <v>1</v>
      </c>
    </row>
    <row r="342" spans="1:7" x14ac:dyDescent="0.25">
      <c r="A342" s="1" t="s">
        <v>0</v>
      </c>
      <c r="B342" s="1" t="s">
        <v>1</v>
      </c>
      <c r="C342" s="1" t="s">
        <v>2</v>
      </c>
      <c r="D342" s="1" t="s">
        <v>3</v>
      </c>
      <c r="E342" s="1" t="s">
        <v>4</v>
      </c>
      <c r="F342" s="1" t="s">
        <v>5</v>
      </c>
      <c r="G342" s="1" t="s">
        <v>6</v>
      </c>
    </row>
    <row r="343" spans="1:7" x14ac:dyDescent="0.25">
      <c r="A343" s="2" t="s">
        <v>33</v>
      </c>
      <c r="B343" s="8" t="s">
        <v>34</v>
      </c>
      <c r="C343" s="2">
        <v>1</v>
      </c>
      <c r="D343" s="3">
        <v>480752.63075950177</v>
      </c>
      <c r="E343" s="3">
        <v>13713.99982974</v>
      </c>
      <c r="F343" s="4">
        <v>1.8909555433829729E-4</v>
      </c>
      <c r="G343" s="4">
        <v>1.421912259449817E-2</v>
      </c>
    </row>
    <row r="344" spans="1:7" x14ac:dyDescent="0.25">
      <c r="A344" s="2" t="s">
        <v>33</v>
      </c>
      <c r="B344" s="8" t="s">
        <v>34</v>
      </c>
      <c r="C344" s="2">
        <v>4</v>
      </c>
      <c r="D344" s="3">
        <v>430680.74778667098</v>
      </c>
      <c r="E344" s="3">
        <v>9650.7308639999992</v>
      </c>
      <c r="F344" s="4">
        <v>3.2382873836611008E-4</v>
      </c>
      <c r="G344" s="4">
        <v>1.307147425181787E-3</v>
      </c>
    </row>
    <row r="345" spans="1:7" x14ac:dyDescent="0.25">
      <c r="A345" s="2" t="s">
        <v>33</v>
      </c>
      <c r="B345" s="8" t="s">
        <v>34</v>
      </c>
      <c r="C345" s="2">
        <v>3</v>
      </c>
      <c r="D345" s="3">
        <v>344818.33344279532</v>
      </c>
      <c r="E345" s="3">
        <v>7766.5175531200011</v>
      </c>
      <c r="F345" s="4">
        <v>5.6879237956854514E-4</v>
      </c>
      <c r="G345" s="4">
        <v>9.2862762115340628E-4</v>
      </c>
    </row>
    <row r="346" spans="1:7" x14ac:dyDescent="0.25">
      <c r="A346" s="2" t="s">
        <v>33</v>
      </c>
      <c r="B346" s="8" t="s">
        <v>34</v>
      </c>
      <c r="C346" s="2">
        <v>2</v>
      </c>
      <c r="D346" s="3">
        <v>310794.74797233898</v>
      </c>
      <c r="E346" s="3">
        <v>8210.8821614400003</v>
      </c>
      <c r="F346" s="4">
        <v>1.515288413031857E-4</v>
      </c>
      <c r="G346" s="4">
        <v>1.134724744407487E-2</v>
      </c>
    </row>
    <row r="348" spans="1:7" x14ac:dyDescent="0.25">
      <c r="B348" s="7" t="s">
        <v>40</v>
      </c>
      <c r="D348" s="3">
        <f>AVERAGE(D343:D344)</f>
        <v>455716.68927308638</v>
      </c>
      <c r="E348" s="3">
        <f t="shared" ref="E348:G348" si="68">AVERAGE(E343:E344)</f>
        <v>11682.365346869999</v>
      </c>
      <c r="F348" s="4">
        <f t="shared" si="68"/>
        <v>2.5646214635220368E-4</v>
      </c>
      <c r="G348" s="4">
        <f t="shared" si="68"/>
        <v>7.7631350098399787E-3</v>
      </c>
    </row>
    <row r="349" spans="1:7" x14ac:dyDescent="0.25">
      <c r="B349" s="7" t="s">
        <v>41</v>
      </c>
      <c r="D349" s="3">
        <f>AVERAGE(D345:D346)</f>
        <v>327806.54070756712</v>
      </c>
      <c r="E349" s="3">
        <f t="shared" ref="E349:G349" si="69">AVERAGE(E345:E346)</f>
        <v>7988.6998572800003</v>
      </c>
      <c r="F349" s="4">
        <f t="shared" si="69"/>
        <v>3.6016061043586542E-4</v>
      </c>
      <c r="G349" s="4">
        <f t="shared" si="69"/>
        <v>6.1379375326141381E-3</v>
      </c>
    </row>
    <row r="351" spans="1:7" x14ac:dyDescent="0.25">
      <c r="C351" s="7" t="s">
        <v>42</v>
      </c>
      <c r="D351" s="3">
        <f>D348/D349</f>
        <v>1.3902001109844437</v>
      </c>
      <c r="E351" s="3">
        <f t="shared" ref="E351:G351" si="70">E348/E349</f>
        <v>1.462361279754929</v>
      </c>
      <c r="F351" s="3">
        <f t="shared" si="70"/>
        <v>0.71207716480109773</v>
      </c>
      <c r="G351" s="3">
        <f t="shared" si="70"/>
        <v>1.2647790839496653</v>
      </c>
    </row>
    <row r="353" spans="1:7" x14ac:dyDescent="0.25">
      <c r="C353" s="2">
        <f>MAX(C343:C346)</f>
        <v>4</v>
      </c>
      <c r="D353" s="2">
        <f t="shared" ref="D353:G353" si="71">MAX(D343:D346)</f>
        <v>480752.63075950177</v>
      </c>
      <c r="E353" s="2">
        <f t="shared" si="71"/>
        <v>13713.99982974</v>
      </c>
      <c r="F353" s="2">
        <f t="shared" si="71"/>
        <v>5.6879237956854514E-4</v>
      </c>
      <c r="G353" s="2">
        <f t="shared" si="71"/>
        <v>1.421912259449817E-2</v>
      </c>
    </row>
    <row r="354" spans="1:7" x14ac:dyDescent="0.25">
      <c r="C354" s="10" t="s">
        <v>43</v>
      </c>
      <c r="D354" s="10" t="s">
        <v>3</v>
      </c>
      <c r="E354" s="1" t="s">
        <v>4</v>
      </c>
      <c r="F354" s="1" t="s">
        <v>5</v>
      </c>
      <c r="G354" s="1" t="s">
        <v>6</v>
      </c>
    </row>
    <row r="355" spans="1:7" x14ac:dyDescent="0.25">
      <c r="C355" s="2">
        <f>C343/C$353</f>
        <v>0.25</v>
      </c>
      <c r="D355" s="2">
        <f t="shared" ref="D355:G355" si="72">D343/D$353</f>
        <v>1</v>
      </c>
      <c r="E355" s="2">
        <f t="shared" si="72"/>
        <v>1</v>
      </c>
      <c r="F355" s="2">
        <f t="shared" si="72"/>
        <v>0.33245092784424229</v>
      </c>
      <c r="G355" s="2">
        <f t="shared" si="72"/>
        <v>1</v>
      </c>
    </row>
    <row r="356" spans="1:7" x14ac:dyDescent="0.25">
      <c r="C356" s="2">
        <f t="shared" ref="C356:G358" si="73">C344/C$353</f>
        <v>1</v>
      </c>
      <c r="D356" s="2">
        <f t="shared" si="73"/>
        <v>0.89584688721572603</v>
      </c>
      <c r="E356" s="2">
        <f t="shared" si="73"/>
        <v>0.70371379494052133</v>
      </c>
      <c r="F356" s="2">
        <f t="shared" si="73"/>
        <v>0.56932678776700363</v>
      </c>
      <c r="G356" s="2">
        <f t="shared" si="73"/>
        <v>9.1928838540822747E-2</v>
      </c>
    </row>
    <row r="357" spans="1:7" x14ac:dyDescent="0.25">
      <c r="C357" s="2">
        <f t="shared" si="73"/>
        <v>0.75</v>
      </c>
      <c r="D357" s="2">
        <f t="shared" si="73"/>
        <v>0.7172468986764462</v>
      </c>
      <c r="E357" s="2">
        <f t="shared" si="73"/>
        <v>0.56632037695360282</v>
      </c>
      <c r="F357" s="2">
        <f t="shared" si="73"/>
        <v>1</v>
      </c>
      <c r="G357" s="2">
        <f t="shared" si="73"/>
        <v>6.5308363085126067E-2</v>
      </c>
    </row>
    <row r="358" spans="1:7" x14ac:dyDescent="0.25">
      <c r="C358" s="2">
        <f t="shared" si="73"/>
        <v>0.5</v>
      </c>
      <c r="D358" s="2">
        <f t="shared" si="73"/>
        <v>0.64647539729806525</v>
      </c>
      <c r="E358" s="2">
        <f t="shared" si="73"/>
        <v>0.59872263842631746</v>
      </c>
      <c r="F358" s="2">
        <f t="shared" si="73"/>
        <v>0.26640448561938757</v>
      </c>
      <c r="G358" s="2">
        <f t="shared" si="73"/>
        <v>0.798027260026964</v>
      </c>
    </row>
    <row r="360" spans="1:7" x14ac:dyDescent="0.25">
      <c r="C360" s="10" t="s">
        <v>3</v>
      </c>
      <c r="D360" s="10" t="s">
        <v>43</v>
      </c>
      <c r="E360" s="10" t="s">
        <v>4</v>
      </c>
      <c r="F360" s="10" t="s">
        <v>5</v>
      </c>
      <c r="G360" s="10" t="s">
        <v>6</v>
      </c>
    </row>
    <row r="361" spans="1:7" x14ac:dyDescent="0.25">
      <c r="C361" s="3">
        <v>0.64647539729806525</v>
      </c>
      <c r="D361" s="2">
        <v>0.5</v>
      </c>
      <c r="E361" s="2">
        <v>0.59872263842631746</v>
      </c>
      <c r="F361" s="2">
        <v>0.26640448561938757</v>
      </c>
      <c r="G361" s="2">
        <v>0.798027260026964</v>
      </c>
    </row>
    <row r="362" spans="1:7" x14ac:dyDescent="0.25">
      <c r="C362" s="3">
        <v>0.7172468986764462</v>
      </c>
      <c r="D362" s="2">
        <v>0.75</v>
      </c>
      <c r="E362" s="2">
        <v>0.56632037695360282</v>
      </c>
      <c r="F362" s="2">
        <v>1</v>
      </c>
      <c r="G362" s="2">
        <v>6.5308363085126067E-2</v>
      </c>
    </row>
    <row r="363" spans="1:7" x14ac:dyDescent="0.25">
      <c r="C363" s="3">
        <v>0.89584688721572603</v>
      </c>
      <c r="D363" s="2">
        <v>1</v>
      </c>
      <c r="E363" s="2">
        <v>0.70371379494052133</v>
      </c>
      <c r="F363" s="2">
        <v>0.56932678776700363</v>
      </c>
      <c r="G363" s="2">
        <v>9.1928838540822747E-2</v>
      </c>
    </row>
    <row r="364" spans="1:7" x14ac:dyDescent="0.25">
      <c r="C364" s="3">
        <v>1</v>
      </c>
      <c r="D364" s="2">
        <v>0.25</v>
      </c>
      <c r="E364" s="2">
        <v>1</v>
      </c>
      <c r="F364" s="2">
        <v>0.33245092784424229</v>
      </c>
      <c r="G364" s="2">
        <v>1</v>
      </c>
    </row>
    <row r="367" spans="1:7" x14ac:dyDescent="0.25">
      <c r="A367" s="1" t="s">
        <v>0</v>
      </c>
      <c r="B367" s="1" t="s">
        <v>1</v>
      </c>
      <c r="C367" s="1" t="s">
        <v>2</v>
      </c>
      <c r="D367" s="1" t="s">
        <v>3</v>
      </c>
      <c r="E367" s="1" t="s">
        <v>4</v>
      </c>
      <c r="F367" s="1" t="s">
        <v>5</v>
      </c>
      <c r="G367" s="1" t="s">
        <v>6</v>
      </c>
    </row>
    <row r="368" spans="1:7" x14ac:dyDescent="0.25">
      <c r="A368" s="2" t="s">
        <v>35</v>
      </c>
      <c r="B368" s="8" t="s">
        <v>36</v>
      </c>
      <c r="C368" s="2">
        <v>4</v>
      </c>
      <c r="D368" s="3">
        <v>624490.81179662514</v>
      </c>
      <c r="E368" s="3">
        <v>23490.718752000001</v>
      </c>
      <c r="F368" s="4">
        <v>1.927088927244758E-3</v>
      </c>
      <c r="G368" s="4">
        <v>1.8760825696850091E-3</v>
      </c>
    </row>
    <row r="369" spans="1:7" x14ac:dyDescent="0.25">
      <c r="A369" s="2" t="s">
        <v>35</v>
      </c>
      <c r="B369" s="8" t="s">
        <v>36</v>
      </c>
      <c r="C369" s="2">
        <v>3</v>
      </c>
      <c r="D369" s="3">
        <v>615005.46689121344</v>
      </c>
      <c r="E369" s="3">
        <v>18304.5266156</v>
      </c>
      <c r="F369" s="4">
        <v>2.0544865338363899E-3</v>
      </c>
      <c r="G369" s="4">
        <v>2.397692315221963E-3</v>
      </c>
    </row>
    <row r="370" spans="1:7" x14ac:dyDescent="0.25">
      <c r="A370" s="2" t="s">
        <v>35</v>
      </c>
      <c r="B370" s="8" t="s">
        <v>36</v>
      </c>
      <c r="C370" s="2">
        <v>1</v>
      </c>
      <c r="D370" s="3">
        <v>557880.96074185451</v>
      </c>
      <c r="E370" s="3">
        <v>17673.58753398</v>
      </c>
      <c r="F370" s="4">
        <v>1.2639185721094849E-3</v>
      </c>
      <c r="G370" s="4">
        <v>7.224852054202324E-4</v>
      </c>
    </row>
    <row r="371" spans="1:7" x14ac:dyDescent="0.25">
      <c r="A371" s="2" t="s">
        <v>35</v>
      </c>
      <c r="B371" s="8" t="s">
        <v>36</v>
      </c>
      <c r="C371" s="2">
        <v>2</v>
      </c>
      <c r="D371" s="3">
        <v>528936.59684355662</v>
      </c>
      <c r="E371" s="3">
        <v>14840.029964359999</v>
      </c>
      <c r="F371" s="4">
        <v>3.348617336982791E-3</v>
      </c>
      <c r="G371" s="4">
        <v>9.7700369843055682E-4</v>
      </c>
    </row>
    <row r="373" spans="1:7" x14ac:dyDescent="0.25">
      <c r="B373" s="7" t="s">
        <v>40</v>
      </c>
      <c r="D373" s="3">
        <f>AVERAGE(D368:D369)</f>
        <v>619748.13934391923</v>
      </c>
      <c r="E373" s="3">
        <f t="shared" ref="E373:G373" si="74">AVERAGE(E368:E369)</f>
        <v>20897.6226838</v>
      </c>
      <c r="F373" s="4">
        <f t="shared" si="74"/>
        <v>1.9907877305405742E-3</v>
      </c>
      <c r="G373" s="4">
        <f t="shared" si="74"/>
        <v>2.1368874424534858E-3</v>
      </c>
    </row>
    <row r="374" spans="1:7" x14ac:dyDescent="0.25">
      <c r="B374" s="7" t="s">
        <v>41</v>
      </c>
      <c r="D374" s="3">
        <f>AVERAGE(D370:D371)</f>
        <v>543408.77879270562</v>
      </c>
      <c r="E374" s="3">
        <f t="shared" ref="E374:G374" si="75">AVERAGE(E370:E371)</f>
        <v>16256.808749169999</v>
      </c>
      <c r="F374" s="4">
        <f t="shared" si="75"/>
        <v>2.3062679545461382E-3</v>
      </c>
      <c r="G374" s="4">
        <f t="shared" si="75"/>
        <v>8.4974445192539461E-4</v>
      </c>
    </row>
    <row r="376" spans="1:7" x14ac:dyDescent="0.25">
      <c r="C376" s="7" t="s">
        <v>42</v>
      </c>
      <c r="D376" s="3">
        <f>D373/D374</f>
        <v>1.1404823836685474</v>
      </c>
      <c r="E376" s="3">
        <f t="shared" ref="E376:G376" si="76">E373/E374</f>
        <v>1.2854689383527957</v>
      </c>
      <c r="F376" s="3">
        <f t="shared" si="76"/>
        <v>0.8632074718882139</v>
      </c>
      <c r="G376" s="3">
        <f t="shared" si="76"/>
        <v>2.5147412702861627</v>
      </c>
    </row>
    <row r="378" spans="1:7" x14ac:dyDescent="0.25">
      <c r="C378" s="2">
        <f>MAX(C368:C371)</f>
        <v>4</v>
      </c>
      <c r="D378" s="2">
        <f t="shared" ref="D378:G378" si="77">MAX(D368:D371)</f>
        <v>624490.81179662514</v>
      </c>
      <c r="E378" s="2">
        <f t="shared" si="77"/>
        <v>23490.718752000001</v>
      </c>
      <c r="F378" s="2">
        <f t="shared" si="77"/>
        <v>3.348617336982791E-3</v>
      </c>
      <c r="G378" s="2">
        <f t="shared" si="77"/>
        <v>2.397692315221963E-3</v>
      </c>
    </row>
    <row r="379" spans="1:7" x14ac:dyDescent="0.25">
      <c r="C379" s="10" t="s">
        <v>43</v>
      </c>
      <c r="D379" s="10" t="s">
        <v>3</v>
      </c>
      <c r="E379" s="1" t="s">
        <v>4</v>
      </c>
      <c r="F379" s="1" t="s">
        <v>5</v>
      </c>
      <c r="G379" s="1" t="s">
        <v>6</v>
      </c>
    </row>
    <row r="380" spans="1:7" x14ac:dyDescent="0.25">
      <c r="C380" s="2">
        <f>C368/C$378</f>
        <v>1</v>
      </c>
      <c r="D380" s="2">
        <f t="shared" ref="D380:G380" si="78">D368/D$378</f>
        <v>1</v>
      </c>
      <c r="E380" s="2">
        <f t="shared" si="78"/>
        <v>1</v>
      </c>
      <c r="F380" s="2">
        <f t="shared" si="78"/>
        <v>0.57548795019413157</v>
      </c>
      <c r="G380" s="2">
        <f t="shared" si="78"/>
        <v>0.78245342731197487</v>
      </c>
    </row>
    <row r="381" spans="1:7" x14ac:dyDescent="0.25">
      <c r="C381" s="2">
        <f t="shared" ref="C381:G383" si="79">C369/C$378</f>
        <v>0.75</v>
      </c>
      <c r="D381" s="2">
        <f t="shared" si="79"/>
        <v>0.98481107371600407</v>
      </c>
      <c r="E381" s="2">
        <f t="shared" si="79"/>
        <v>0.77922377807369358</v>
      </c>
      <c r="F381" s="2">
        <f t="shared" si="79"/>
        <v>0.61353278893537189</v>
      </c>
      <c r="G381" s="2">
        <f t="shared" si="79"/>
        <v>1</v>
      </c>
    </row>
    <row r="382" spans="1:7" x14ac:dyDescent="0.25">
      <c r="C382" s="2">
        <f t="shared" si="79"/>
        <v>0.25</v>
      </c>
      <c r="D382" s="2">
        <f t="shared" si="79"/>
        <v>0.89333734012332733</v>
      </c>
      <c r="E382" s="2">
        <f t="shared" si="79"/>
        <v>0.7523646986099678</v>
      </c>
      <c r="F382" s="2">
        <f t="shared" si="79"/>
        <v>0.3774449108145379</v>
      </c>
      <c r="G382" s="2">
        <f t="shared" si="79"/>
        <v>0.30132523711798664</v>
      </c>
    </row>
    <row r="383" spans="1:7" x14ac:dyDescent="0.25">
      <c r="C383" s="2">
        <f t="shared" si="79"/>
        <v>0.5</v>
      </c>
      <c r="D383" s="2">
        <f t="shared" si="79"/>
        <v>0.84698859751328548</v>
      </c>
      <c r="E383" s="2">
        <f t="shared" si="79"/>
        <v>0.63174014047980198</v>
      </c>
      <c r="F383" s="2">
        <f t="shared" si="79"/>
        <v>1</v>
      </c>
      <c r="G383" s="2">
        <f t="shared" si="79"/>
        <v>0.40747667756532474</v>
      </c>
    </row>
    <row r="385" spans="1:7" x14ac:dyDescent="0.25">
      <c r="C385" s="10" t="s">
        <v>3</v>
      </c>
      <c r="D385" s="10" t="s">
        <v>43</v>
      </c>
      <c r="E385" s="10" t="s">
        <v>4</v>
      </c>
      <c r="F385" s="10" t="s">
        <v>5</v>
      </c>
      <c r="G385" s="10" t="s">
        <v>6</v>
      </c>
    </row>
    <row r="386" spans="1:7" x14ac:dyDescent="0.25">
      <c r="C386" s="3">
        <v>0.84698859751328548</v>
      </c>
      <c r="D386" s="2">
        <v>0.5</v>
      </c>
      <c r="E386" s="2">
        <v>0.63174014047980198</v>
      </c>
      <c r="F386" s="2">
        <v>1</v>
      </c>
      <c r="G386" s="2">
        <v>0.40747667756532474</v>
      </c>
    </row>
    <row r="387" spans="1:7" x14ac:dyDescent="0.25">
      <c r="C387" s="3">
        <v>0.89333734012332733</v>
      </c>
      <c r="D387" s="2">
        <v>0.25</v>
      </c>
      <c r="E387" s="2">
        <v>0.7523646986099678</v>
      </c>
      <c r="F387" s="2">
        <v>0.3774449108145379</v>
      </c>
      <c r="G387" s="2">
        <v>0.30132523711798664</v>
      </c>
    </row>
    <row r="388" spans="1:7" x14ac:dyDescent="0.25">
      <c r="C388" s="3">
        <v>0.98481107371600407</v>
      </c>
      <c r="D388" s="2">
        <v>0.75</v>
      </c>
      <c r="E388" s="2">
        <v>0.77922377807369358</v>
      </c>
      <c r="F388" s="2">
        <v>0.61353278893537189</v>
      </c>
      <c r="G388" s="2">
        <v>1</v>
      </c>
    </row>
    <row r="389" spans="1:7" x14ac:dyDescent="0.25">
      <c r="C389" s="3">
        <v>1</v>
      </c>
      <c r="D389" s="2">
        <v>1</v>
      </c>
      <c r="E389" s="2">
        <v>1</v>
      </c>
      <c r="F389" s="2">
        <v>0.57548795019413157</v>
      </c>
      <c r="G389" s="2">
        <v>0.78245342731197487</v>
      </c>
    </row>
    <row r="392" spans="1:7" x14ac:dyDescent="0.25">
      <c r="A392" s="1" t="s">
        <v>0</v>
      </c>
      <c r="B392" s="1" t="s">
        <v>1</v>
      </c>
      <c r="C392" s="1" t="s">
        <v>2</v>
      </c>
      <c r="D392" s="1" t="s">
        <v>3</v>
      </c>
      <c r="E392" s="1" t="s">
        <v>4</v>
      </c>
      <c r="F392" s="1" t="s">
        <v>5</v>
      </c>
      <c r="G392" s="1" t="s">
        <v>6</v>
      </c>
    </row>
    <row r="393" spans="1:7" x14ac:dyDescent="0.25">
      <c r="A393" s="2" t="s">
        <v>37</v>
      </c>
      <c r="B393" s="8" t="s">
        <v>38</v>
      </c>
      <c r="C393" s="2">
        <v>1</v>
      </c>
      <c r="D393" s="3">
        <v>496312.33844584553</v>
      </c>
      <c r="E393" s="3">
        <v>6058.6276942799996</v>
      </c>
      <c r="F393" s="4">
        <v>1.149126975828702E-3</v>
      </c>
      <c r="G393" s="4">
        <v>4.3326889923906344E-3</v>
      </c>
    </row>
    <row r="394" spans="1:7" x14ac:dyDescent="0.25">
      <c r="A394" s="5" t="s">
        <v>37</v>
      </c>
      <c r="B394" s="9" t="s">
        <v>38</v>
      </c>
      <c r="C394" s="5">
        <v>3</v>
      </c>
      <c r="D394" s="3">
        <v>481190.63450056087</v>
      </c>
      <c r="E394" s="3">
        <v>5659.2905294400007</v>
      </c>
      <c r="F394" s="4">
        <v>2.7642536319032169E-4</v>
      </c>
      <c r="G394" s="4">
        <v>2.609783923120391E-3</v>
      </c>
    </row>
    <row r="395" spans="1:7" x14ac:dyDescent="0.25">
      <c r="A395" s="2" t="s">
        <v>37</v>
      </c>
      <c r="B395" s="8" t="s">
        <v>38</v>
      </c>
      <c r="C395" s="2">
        <v>2</v>
      </c>
      <c r="D395" s="3">
        <v>463554.2380744408</v>
      </c>
      <c r="E395" s="3">
        <v>6405.1162323599992</v>
      </c>
      <c r="F395" s="4">
        <v>1.36542870460566E-3</v>
      </c>
      <c r="G395" s="4">
        <v>1.06191448730258E-3</v>
      </c>
    </row>
    <row r="396" spans="1:7" x14ac:dyDescent="0.25">
      <c r="A396" s="2" t="s">
        <v>37</v>
      </c>
      <c r="B396" s="8" t="s">
        <v>38</v>
      </c>
      <c r="C396" s="2">
        <v>4</v>
      </c>
      <c r="D396" s="3">
        <v>463215.01884109463</v>
      </c>
      <c r="E396" s="3">
        <v>6600.4823040000001</v>
      </c>
      <c r="F396" s="4">
        <v>1.0184783005820781E-3</v>
      </c>
      <c r="G396" s="4">
        <v>1.1952508372333631E-3</v>
      </c>
    </row>
    <row r="398" spans="1:7" x14ac:dyDescent="0.25">
      <c r="B398" s="7" t="s">
        <v>40</v>
      </c>
      <c r="D398" s="3">
        <f>AVERAGE(D393:D394)</f>
        <v>488751.48647320317</v>
      </c>
      <c r="E398" s="3">
        <f t="shared" ref="E398:G398" si="80">AVERAGE(E393:E394)</f>
        <v>5858.9591118600001</v>
      </c>
      <c r="F398" s="4">
        <f t="shared" si="80"/>
        <v>7.1277616950951182E-4</v>
      </c>
      <c r="G398" s="4">
        <f t="shared" si="80"/>
        <v>3.4712364577555127E-3</v>
      </c>
    </row>
    <row r="399" spans="1:7" x14ac:dyDescent="0.25">
      <c r="B399" s="7" t="s">
        <v>41</v>
      </c>
      <c r="D399" s="3">
        <f>AVERAGE(D395:D396)</f>
        <v>463384.62845776771</v>
      </c>
      <c r="E399" s="3">
        <f t="shared" ref="E399:G399" si="81">AVERAGE(E395:E396)</f>
        <v>6502.7992681799997</v>
      </c>
      <c r="F399" s="4">
        <f t="shared" si="81"/>
        <v>1.191953502593869E-3</v>
      </c>
      <c r="G399" s="4">
        <f t="shared" si="81"/>
        <v>1.1285826622679715E-3</v>
      </c>
    </row>
    <row r="401" spans="3:7" x14ac:dyDescent="0.25">
      <c r="C401" s="7" t="s">
        <v>42</v>
      </c>
      <c r="D401" s="3">
        <f>D398/D399</f>
        <v>1.0547425539337831</v>
      </c>
      <c r="E401" s="3">
        <f t="shared" ref="E401:G401" si="82">E398/E399</f>
        <v>0.9009903074402914</v>
      </c>
      <c r="F401" s="3">
        <f t="shared" si="82"/>
        <v>0.59798991148430225</v>
      </c>
      <c r="G401" s="3">
        <f t="shared" si="82"/>
        <v>3.0757485240645135</v>
      </c>
    </row>
    <row r="403" spans="3:7" x14ac:dyDescent="0.25">
      <c r="C403" s="2">
        <f>MAX(C393:C396)</f>
        <v>4</v>
      </c>
      <c r="D403" s="2">
        <f t="shared" ref="D403:G403" si="83">MAX(D393:D396)</f>
        <v>496312.33844584553</v>
      </c>
      <c r="E403" s="2">
        <f t="shared" si="83"/>
        <v>6600.4823040000001</v>
      </c>
      <c r="F403" s="2">
        <f t="shared" si="83"/>
        <v>1.36542870460566E-3</v>
      </c>
      <c r="G403" s="2">
        <f t="shared" si="83"/>
        <v>4.3326889923906344E-3</v>
      </c>
    </row>
    <row r="404" spans="3:7" x14ac:dyDescent="0.25">
      <c r="C404" s="10" t="s">
        <v>43</v>
      </c>
      <c r="D404" s="10" t="s">
        <v>3</v>
      </c>
      <c r="E404" s="1" t="s">
        <v>4</v>
      </c>
      <c r="F404" s="1" t="s">
        <v>5</v>
      </c>
      <c r="G404" s="1" t="s">
        <v>6</v>
      </c>
    </row>
    <row r="405" spans="3:7" x14ac:dyDescent="0.25">
      <c r="C405" s="2">
        <f>C393/C$403</f>
        <v>0.25</v>
      </c>
      <c r="D405" s="2">
        <f t="shared" ref="D405:G405" si="84">D393/D$403</f>
        <v>1</v>
      </c>
      <c r="E405" s="2">
        <f t="shared" si="84"/>
        <v>0.91790681578047295</v>
      </c>
      <c r="F405" s="2">
        <f t="shared" si="84"/>
        <v>0.84158694771293341</v>
      </c>
      <c r="G405" s="2">
        <f t="shared" si="84"/>
        <v>1</v>
      </c>
    </row>
    <row r="406" spans="3:7" x14ac:dyDescent="0.25">
      <c r="C406" s="2">
        <f t="shared" ref="C406:G408" si="85">C394/C$403</f>
        <v>0.75</v>
      </c>
      <c r="D406" s="2">
        <f t="shared" si="85"/>
        <v>0.96953187987903577</v>
      </c>
      <c r="E406" s="2">
        <f t="shared" si="85"/>
        <v>0.85740560595251925</v>
      </c>
      <c r="F406" s="2">
        <f t="shared" si="85"/>
        <v>0.20244584155725229</v>
      </c>
      <c r="G406" s="2">
        <f t="shared" si="85"/>
        <v>0.60234739389415504</v>
      </c>
    </row>
    <row r="407" spans="3:7" x14ac:dyDescent="0.25">
      <c r="C407" s="2">
        <f t="shared" si="85"/>
        <v>0.5</v>
      </c>
      <c r="D407" s="2">
        <f t="shared" si="85"/>
        <v>0.93399700584921264</v>
      </c>
      <c r="E407" s="2">
        <f t="shared" si="85"/>
        <v>0.97040124302407327</v>
      </c>
      <c r="F407" s="2">
        <f t="shared" si="85"/>
        <v>1</v>
      </c>
      <c r="G407" s="2">
        <f t="shared" si="85"/>
        <v>0.24509363334584758</v>
      </c>
    </row>
    <row r="408" spans="3:7" x14ac:dyDescent="0.25">
      <c r="C408" s="2">
        <f t="shared" si="85"/>
        <v>1</v>
      </c>
      <c r="D408" s="2">
        <f t="shared" si="85"/>
        <v>0.93331352650149302</v>
      </c>
      <c r="E408" s="2">
        <f t="shared" si="85"/>
        <v>1</v>
      </c>
      <c r="F408" s="2">
        <f t="shared" si="85"/>
        <v>0.7459036836904771</v>
      </c>
      <c r="G408" s="2">
        <f t="shared" si="85"/>
        <v>0.27586813623884487</v>
      </c>
    </row>
    <row r="410" spans="3:7" x14ac:dyDescent="0.25">
      <c r="C410" s="10" t="s">
        <v>3</v>
      </c>
      <c r="D410" s="10" t="s">
        <v>43</v>
      </c>
      <c r="E410" s="10" t="s">
        <v>4</v>
      </c>
      <c r="F410" s="10" t="s">
        <v>5</v>
      </c>
      <c r="G410" s="10" t="s">
        <v>6</v>
      </c>
    </row>
    <row r="411" spans="3:7" x14ac:dyDescent="0.25">
      <c r="C411" s="3">
        <v>0.93331352650149302</v>
      </c>
      <c r="D411" s="2">
        <v>1</v>
      </c>
      <c r="E411" s="2">
        <v>1</v>
      </c>
      <c r="F411" s="2">
        <v>0.7459036836904771</v>
      </c>
      <c r="G411" s="2">
        <v>0.27586813623884487</v>
      </c>
    </row>
    <row r="412" spans="3:7" x14ac:dyDescent="0.25">
      <c r="C412" s="3">
        <v>0.93399700584921264</v>
      </c>
      <c r="D412" s="2">
        <v>0.5</v>
      </c>
      <c r="E412" s="2">
        <v>0.97040124302407327</v>
      </c>
      <c r="F412" s="2">
        <v>1</v>
      </c>
      <c r="G412" s="2">
        <v>0.24509363334584758</v>
      </c>
    </row>
    <row r="413" spans="3:7" x14ac:dyDescent="0.25">
      <c r="C413" s="3">
        <v>0.96953187987903577</v>
      </c>
      <c r="D413" s="2">
        <v>0.75</v>
      </c>
      <c r="E413" s="2">
        <v>0.85740560595251925</v>
      </c>
      <c r="F413" s="2">
        <v>0.20244584155725229</v>
      </c>
      <c r="G413" s="2">
        <v>0.60234739389415504</v>
      </c>
    </row>
    <row r="414" spans="3:7" x14ac:dyDescent="0.25">
      <c r="C414" s="3">
        <v>1</v>
      </c>
      <c r="D414" s="2">
        <v>0.25</v>
      </c>
      <c r="E414" s="2">
        <v>0.91790681578047295</v>
      </c>
      <c r="F414" s="2">
        <v>0.84158694771293341</v>
      </c>
      <c r="G414" s="2">
        <v>1</v>
      </c>
    </row>
    <row r="415" spans="3:7" x14ac:dyDescent="0.25">
      <c r="C415" s="2"/>
      <c r="D415" s="2"/>
      <c r="E415" s="2"/>
      <c r="F415" s="2"/>
      <c r="G415" s="2"/>
    </row>
  </sheetData>
  <conditionalFormatting sqref="D2:D62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9:D172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9:E172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9:F172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9:G172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4:D175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4:E17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4:F17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4:G175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4:D197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4:E197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4:F197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4:G197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9:D200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9:E200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9:F20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9:G200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9:D222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9:E222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9:F222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9:G222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4:D225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4:E22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4:F225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4:G225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4:D247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4:E247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4:F247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4:G247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D250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9:E250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250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250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2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2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2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4:D275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4:E275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4:F275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4:G275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6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6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6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6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8:D299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8:E299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8:F299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8:G299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8:D321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8:E321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8:F321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8:G321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3:D32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23:E32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23:F32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23:G32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3:D34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3:E34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3:F34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3:G34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8:D3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8:E34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8:F34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8:G34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8:D37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8:E371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8:F37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8:G37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3:D37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3:E374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3:F37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3:G37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3:D39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3:E39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3:F39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3:G39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8:D39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8:E39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8:F39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8:G39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5"/>
  <sheetViews>
    <sheetView tabSelected="1" topLeftCell="K51" zoomScale="70" zoomScaleNormal="70" workbookViewId="0">
      <selection activeCell="AX61" sqref="AX61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7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7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7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7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7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7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7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7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</row>
    <row r="108" spans="1:7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</row>
    <row r="109" spans="1:7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</row>
    <row r="110" spans="1:7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</row>
    <row r="111" spans="1:7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</row>
    <row r="113" spans="1:7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</row>
    <row r="114" spans="1:7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</row>
    <row r="115" spans="1:7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</row>
    <row r="116" spans="1:7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</row>
    <row r="117" spans="1:7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</row>
    <row r="119" spans="1:7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</row>
    <row r="120" spans="1:7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</row>
    <row r="121" spans="1:7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</row>
    <row r="122" spans="1:7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</row>
    <row r="123" spans="1:7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7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7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7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7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7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</row>
    <row r="132" spans="1:7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</row>
    <row r="133" spans="1:7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7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7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7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7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7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7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7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7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7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7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7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7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7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7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7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7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7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</row>
    <row r="156" spans="1:7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</row>
    <row r="157" spans="1:7" x14ac:dyDescent="0.25">
      <c r="C157" s="2">
        <f t="shared" ref="C157:G159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7" x14ac:dyDescent="0.25">
      <c r="C158" s="2">
        <f t="shared" si="27"/>
        <v>1</v>
      </c>
      <c r="D158" s="2">
        <f t="shared" si="27"/>
        <v>0.80543398635608399</v>
      </c>
      <c r="E158" s="2">
        <f t="shared" si="27"/>
        <v>0.41206046529013679</v>
      </c>
      <c r="F158" s="2">
        <f t="shared" si="27"/>
        <v>1</v>
      </c>
      <c r="G158" s="2">
        <f t="shared" si="27"/>
        <v>1</v>
      </c>
    </row>
    <row r="159" spans="1:7" x14ac:dyDescent="0.25">
      <c r="C159" s="2">
        <f t="shared" si="27"/>
        <v>0.75</v>
      </c>
      <c r="D159" s="2">
        <f t="shared" si="27"/>
        <v>0.7969945497761689</v>
      </c>
      <c r="E159" s="2">
        <f t="shared" si="27"/>
        <v>0.37098229286482309</v>
      </c>
      <c r="F159" s="2">
        <f t="shared" si="27"/>
        <v>7.5292635706825664E-2</v>
      </c>
      <c r="G159" s="2">
        <f t="shared" si="27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8" spans="1:7" x14ac:dyDescent="0.25">
      <c r="A168" s="1" t="s">
        <v>0</v>
      </c>
      <c r="B168" s="1" t="s">
        <v>1</v>
      </c>
      <c r="C168" s="1" t="s">
        <v>2</v>
      </c>
      <c r="D168" s="1" t="s">
        <v>3</v>
      </c>
      <c r="E168" s="1" t="s">
        <v>4</v>
      </c>
      <c r="F168" s="1" t="s">
        <v>5</v>
      </c>
      <c r="G168" s="1" t="s">
        <v>6</v>
      </c>
    </row>
    <row r="169" spans="1:7" x14ac:dyDescent="0.25">
      <c r="A169" s="2" t="s">
        <v>19</v>
      </c>
      <c r="B169" s="8" t="s">
        <v>20</v>
      </c>
      <c r="C169" s="2">
        <v>2</v>
      </c>
      <c r="D169" s="3">
        <v>327266.01547195681</v>
      </c>
      <c r="E169" s="3">
        <v>2736.7203125999999</v>
      </c>
      <c r="F169" s="4">
        <v>6.5575458761258591E-4</v>
      </c>
      <c r="G169" s="4">
        <v>9.6186040198574876E-4</v>
      </c>
    </row>
    <row r="170" spans="1:7" x14ac:dyDescent="0.25">
      <c r="A170" s="2" t="s">
        <v>19</v>
      </c>
      <c r="B170" s="8" t="s">
        <v>20</v>
      </c>
      <c r="C170" s="2">
        <v>3</v>
      </c>
      <c r="D170" s="3">
        <v>323997.44760210218</v>
      </c>
      <c r="E170" s="3">
        <v>2594.2840083999999</v>
      </c>
      <c r="F170" s="4">
        <v>4.4144095106468531E-4</v>
      </c>
      <c r="G170" s="4">
        <v>4.2813564143465432E-3</v>
      </c>
    </row>
    <row r="171" spans="1:7" x14ac:dyDescent="0.25">
      <c r="A171" s="2" t="s">
        <v>19</v>
      </c>
      <c r="B171" s="8" t="s">
        <v>20</v>
      </c>
      <c r="C171" s="2">
        <v>4</v>
      </c>
      <c r="D171" s="3">
        <v>321762.90970591619</v>
      </c>
      <c r="E171" s="3">
        <v>2793.945984</v>
      </c>
      <c r="F171" s="4">
        <v>3.0877619142976242E-4</v>
      </c>
      <c r="G171" s="4">
        <v>1.0062327675981299E-3</v>
      </c>
    </row>
    <row r="172" spans="1:7" x14ac:dyDescent="0.25">
      <c r="A172" s="2" t="s">
        <v>19</v>
      </c>
      <c r="B172" s="8" t="s">
        <v>20</v>
      </c>
      <c r="C172" s="2">
        <v>1</v>
      </c>
      <c r="D172" s="3">
        <v>297602.00445720641</v>
      </c>
      <c r="E172" s="3">
        <v>3256.4356082999998</v>
      </c>
      <c r="F172" s="4">
        <v>3.8592436982227681E-4</v>
      </c>
      <c r="G172" s="4">
        <v>2.369477916386043E-3</v>
      </c>
    </row>
    <row r="174" spans="1:7" x14ac:dyDescent="0.25">
      <c r="B174" s="7" t="s">
        <v>40</v>
      </c>
      <c r="D174" s="3">
        <f>AVERAGE(D169:D170)</f>
        <v>325631.7315370295</v>
      </c>
      <c r="E174" s="3">
        <f t="shared" ref="E174:G174" si="28">AVERAGE(E169:E170)</f>
        <v>2665.5021605000002</v>
      </c>
      <c r="F174" s="4">
        <f t="shared" si="28"/>
        <v>5.4859776933863561E-4</v>
      </c>
      <c r="G174" s="4">
        <f t="shared" si="28"/>
        <v>2.6216084081661459E-3</v>
      </c>
    </row>
    <row r="175" spans="1:7" x14ac:dyDescent="0.25">
      <c r="B175" s="7" t="s">
        <v>41</v>
      </c>
      <c r="D175" s="3">
        <f>AVERAGE(D171:D172)</f>
        <v>309682.45708156133</v>
      </c>
      <c r="E175" s="3">
        <f t="shared" ref="E175:G175" si="29">AVERAGE(E171:E172)</f>
        <v>3025.1907961500001</v>
      </c>
      <c r="F175" s="4">
        <f t="shared" si="29"/>
        <v>3.4735028062601961E-4</v>
      </c>
      <c r="G175" s="4">
        <f t="shared" si="29"/>
        <v>1.6878553419920864E-3</v>
      </c>
    </row>
    <row r="177" spans="3:7" x14ac:dyDescent="0.25">
      <c r="C177" s="7" t="s">
        <v>42</v>
      </c>
      <c r="D177" s="3">
        <f>D174/D175</f>
        <v>1.0515020276116822</v>
      </c>
      <c r="E177" s="3">
        <f t="shared" ref="E177:G177" si="30">E174/E175</f>
        <v>0.88110216515673767</v>
      </c>
      <c r="F177" s="3">
        <f t="shared" si="30"/>
        <v>1.5793790877321685</v>
      </c>
      <c r="G177" s="3">
        <f t="shared" si="30"/>
        <v>1.5532186573951297</v>
      </c>
    </row>
    <row r="179" spans="3:7" x14ac:dyDescent="0.25">
      <c r="C179" s="2">
        <f>MAX(C169:C172)</f>
        <v>4</v>
      </c>
      <c r="D179" s="2">
        <f t="shared" ref="D179:G179" si="31">MAX(D169:D172)</f>
        <v>327266.01547195681</v>
      </c>
      <c r="E179" s="2">
        <f t="shared" si="31"/>
        <v>3256.4356082999998</v>
      </c>
      <c r="F179" s="2">
        <f t="shared" si="31"/>
        <v>6.5575458761258591E-4</v>
      </c>
      <c r="G179" s="2">
        <f t="shared" si="31"/>
        <v>4.2813564143465432E-3</v>
      </c>
    </row>
    <row r="180" spans="3:7" x14ac:dyDescent="0.25">
      <c r="C180" s="10" t="s">
        <v>43</v>
      </c>
      <c r="D180" s="10" t="s">
        <v>3</v>
      </c>
      <c r="E180" s="1" t="s">
        <v>4</v>
      </c>
      <c r="F180" s="1" t="s">
        <v>5</v>
      </c>
      <c r="G180" s="1" t="s">
        <v>6</v>
      </c>
    </row>
    <row r="181" spans="3:7" x14ac:dyDescent="0.25">
      <c r="C181" s="2">
        <f t="shared" ref="C181:G184" si="32">C169/C$179</f>
        <v>0.5</v>
      </c>
      <c r="D181" s="2">
        <f t="shared" si="32"/>
        <v>1</v>
      </c>
      <c r="E181" s="2">
        <f t="shared" si="32"/>
        <v>0.84040363200323998</v>
      </c>
      <c r="F181" s="2">
        <f t="shared" si="32"/>
        <v>1</v>
      </c>
      <c r="G181" s="2">
        <f t="shared" si="32"/>
        <v>0.22466253890066659</v>
      </c>
    </row>
    <row r="182" spans="3:7" x14ac:dyDescent="0.25">
      <c r="C182" s="2">
        <f t="shared" si="32"/>
        <v>0.75</v>
      </c>
      <c r="D182" s="2">
        <f t="shared" si="32"/>
        <v>0.99001250446019895</v>
      </c>
      <c r="E182" s="2">
        <f t="shared" si="32"/>
        <v>0.796663690136446</v>
      </c>
      <c r="F182" s="2">
        <f t="shared" si="32"/>
        <v>0.67318011860480464</v>
      </c>
      <c r="G182" s="2">
        <f t="shared" si="32"/>
        <v>1</v>
      </c>
    </row>
    <row r="183" spans="3:7" x14ac:dyDescent="0.25">
      <c r="C183" s="2">
        <f t="shared" si="32"/>
        <v>1</v>
      </c>
      <c r="D183" s="2">
        <f t="shared" si="32"/>
        <v>0.98318460974903099</v>
      </c>
      <c r="E183" s="2">
        <f t="shared" si="32"/>
        <v>0.85797673286669429</v>
      </c>
      <c r="F183" s="2">
        <f t="shared" si="32"/>
        <v>0.47087156881956077</v>
      </c>
      <c r="G183" s="2">
        <f t="shared" si="32"/>
        <v>0.23502662946404326</v>
      </c>
    </row>
    <row r="184" spans="3:7" x14ac:dyDescent="0.25">
      <c r="C184" s="2">
        <f t="shared" si="32"/>
        <v>0.25</v>
      </c>
      <c r="D184" s="2">
        <f t="shared" si="32"/>
        <v>0.90935810743449375</v>
      </c>
      <c r="E184" s="2">
        <f t="shared" si="32"/>
        <v>1</v>
      </c>
      <c r="F184" s="2">
        <f t="shared" si="32"/>
        <v>0.58851951189135643</v>
      </c>
      <c r="G184" s="2">
        <f t="shared" si="32"/>
        <v>0.55344093952236229</v>
      </c>
    </row>
    <row r="186" spans="3:7" x14ac:dyDescent="0.25">
      <c r="C186" s="10" t="s">
        <v>3</v>
      </c>
      <c r="D186" s="10" t="s">
        <v>43</v>
      </c>
      <c r="E186" s="10" t="s">
        <v>4</v>
      </c>
      <c r="F186" s="10" t="s">
        <v>5</v>
      </c>
      <c r="G186" s="10" t="s">
        <v>6</v>
      </c>
    </row>
    <row r="187" spans="3:7" x14ac:dyDescent="0.25">
      <c r="C187" s="3">
        <v>0.90935810743449375</v>
      </c>
      <c r="D187" s="2">
        <v>0.25</v>
      </c>
      <c r="E187" s="2">
        <v>1</v>
      </c>
      <c r="F187" s="2">
        <v>0.58851951189135643</v>
      </c>
      <c r="G187" s="2">
        <v>0.55344093952236229</v>
      </c>
    </row>
    <row r="188" spans="3:7" x14ac:dyDescent="0.25">
      <c r="C188" s="3">
        <v>0.98318460974903099</v>
      </c>
      <c r="D188" s="2">
        <v>1</v>
      </c>
      <c r="E188" s="2">
        <v>0.85797673286669429</v>
      </c>
      <c r="F188" s="2">
        <v>0.47087156881956077</v>
      </c>
      <c r="G188" s="2">
        <v>0.23502662946404326</v>
      </c>
    </row>
    <row r="189" spans="3:7" x14ac:dyDescent="0.25">
      <c r="C189" s="3">
        <v>0.99001250446019895</v>
      </c>
      <c r="D189" s="2">
        <v>0.75</v>
      </c>
      <c r="E189" s="2">
        <v>0.796663690136446</v>
      </c>
      <c r="F189" s="2">
        <v>0.67318011860480464</v>
      </c>
      <c r="G189" s="2">
        <v>1</v>
      </c>
    </row>
    <row r="190" spans="3:7" x14ac:dyDescent="0.25">
      <c r="C190" s="3">
        <v>1</v>
      </c>
      <c r="D190" s="2">
        <v>0.5</v>
      </c>
      <c r="E190" s="2">
        <v>0.84040363200323998</v>
      </c>
      <c r="F190" s="2">
        <v>1</v>
      </c>
      <c r="G190" s="2">
        <v>0.22466253890066659</v>
      </c>
    </row>
    <row r="193" spans="1:7" x14ac:dyDescent="0.25">
      <c r="A193" s="1" t="s">
        <v>0</v>
      </c>
      <c r="B193" s="1" t="s">
        <v>1</v>
      </c>
      <c r="C193" s="1" t="s">
        <v>2</v>
      </c>
      <c r="D193" s="1" t="s">
        <v>3</v>
      </c>
      <c r="E193" s="1" t="s">
        <v>4</v>
      </c>
      <c r="F193" s="1" t="s">
        <v>5</v>
      </c>
      <c r="G193" s="1" t="s">
        <v>6</v>
      </c>
    </row>
    <row r="194" spans="1:7" x14ac:dyDescent="0.25">
      <c r="A194" s="2" t="s">
        <v>21</v>
      </c>
      <c r="B194" s="8" t="s">
        <v>22</v>
      </c>
      <c r="C194" s="2">
        <v>4</v>
      </c>
      <c r="D194" s="3">
        <v>589836.07301855378</v>
      </c>
      <c r="E194" s="3">
        <v>3459.2387039999999</v>
      </c>
      <c r="F194" s="4">
        <v>2.6129124854981389E-3</v>
      </c>
      <c r="G194" s="4">
        <v>2.2962786554205951E-3</v>
      </c>
    </row>
    <row r="195" spans="1:7" x14ac:dyDescent="0.25">
      <c r="A195" s="2" t="s">
        <v>21</v>
      </c>
      <c r="B195" s="8" t="s">
        <v>22</v>
      </c>
      <c r="C195" s="2">
        <v>2</v>
      </c>
      <c r="D195" s="3">
        <v>585427.26654459862</v>
      </c>
      <c r="E195" s="3">
        <v>4854.6591208600003</v>
      </c>
      <c r="F195" s="4">
        <v>3.7612999688359748E-4</v>
      </c>
      <c r="G195" s="4">
        <v>2.0756040556386131E-3</v>
      </c>
    </row>
    <row r="196" spans="1:7" x14ac:dyDescent="0.25">
      <c r="A196" s="2" t="s">
        <v>21</v>
      </c>
      <c r="B196" s="8" t="s">
        <v>22</v>
      </c>
      <c r="C196" s="2">
        <v>3</v>
      </c>
      <c r="D196" s="3">
        <v>575669.32501484314</v>
      </c>
      <c r="E196" s="3">
        <v>4774.9529707199999</v>
      </c>
      <c r="F196" s="4">
        <v>2.8738600116371028E-4</v>
      </c>
      <c r="G196" s="4">
        <v>1.316480132589062E-3</v>
      </c>
    </row>
    <row r="197" spans="1:7" x14ac:dyDescent="0.25">
      <c r="A197" s="2" t="s">
        <v>21</v>
      </c>
      <c r="B197" s="8" t="s">
        <v>22</v>
      </c>
      <c r="C197" s="2">
        <v>1</v>
      </c>
      <c r="D197" s="3">
        <v>532258.74860418728</v>
      </c>
      <c r="E197" s="3">
        <v>5998.8555937799993</v>
      </c>
      <c r="F197" s="4">
        <v>3.3561812091085249E-3</v>
      </c>
      <c r="G197" s="4">
        <v>1.7434020366891251E-3</v>
      </c>
    </row>
    <row r="199" spans="1:7" x14ac:dyDescent="0.25">
      <c r="B199" s="7" t="s">
        <v>40</v>
      </c>
      <c r="D199" s="3">
        <f>AVERAGE(D194:D195)</f>
        <v>587631.66978157614</v>
      </c>
      <c r="E199" s="3">
        <f t="shared" ref="E199:G199" si="33">AVERAGE(E194:E195)</f>
        <v>4156.9489124299998</v>
      </c>
      <c r="F199" s="4">
        <f t="shared" si="33"/>
        <v>1.4945212411908682E-3</v>
      </c>
      <c r="G199" s="4">
        <f t="shared" si="33"/>
        <v>2.1859413555296043E-3</v>
      </c>
    </row>
    <row r="200" spans="1:7" x14ac:dyDescent="0.25">
      <c r="B200" s="7" t="s">
        <v>41</v>
      </c>
      <c r="D200" s="3">
        <f>AVERAGE(D196:D197)</f>
        <v>553964.03680951521</v>
      </c>
      <c r="E200" s="3">
        <f t="shared" ref="E200:G200" si="34">AVERAGE(E196:E197)</f>
        <v>5386.9042822499996</v>
      </c>
      <c r="F200" s="4">
        <f t="shared" si="34"/>
        <v>1.8217836051361176E-3</v>
      </c>
      <c r="G200" s="4">
        <f t="shared" si="34"/>
        <v>1.5299410846390934E-3</v>
      </c>
    </row>
    <row r="202" spans="1:7" x14ac:dyDescent="0.25">
      <c r="C202" s="7" t="s">
        <v>42</v>
      </c>
      <c r="D202" s="3">
        <f>D199/D200</f>
        <v>1.0607758459664012</v>
      </c>
      <c r="E202" s="3">
        <f t="shared" ref="E202:G202" si="35">E199/E200</f>
        <v>0.77167677289668257</v>
      </c>
      <c r="F202" s="3">
        <f t="shared" si="35"/>
        <v>0.82036156049346076</v>
      </c>
      <c r="G202" s="3">
        <f t="shared" si="35"/>
        <v>1.4287748577228767</v>
      </c>
    </row>
    <row r="204" spans="1:7" x14ac:dyDescent="0.25">
      <c r="C204" s="2">
        <f>MAX(C194:C197)</f>
        <v>4</v>
      </c>
      <c r="D204" s="2">
        <f t="shared" ref="D204:G204" si="36">MAX(D194:D197)</f>
        <v>589836.07301855378</v>
      </c>
      <c r="E204" s="2">
        <f t="shared" si="36"/>
        <v>5998.8555937799993</v>
      </c>
      <c r="F204" s="2">
        <f t="shared" si="36"/>
        <v>3.3561812091085249E-3</v>
      </c>
      <c r="G204" s="2">
        <f t="shared" si="36"/>
        <v>2.2962786554205951E-3</v>
      </c>
    </row>
    <row r="205" spans="1:7" x14ac:dyDescent="0.25">
      <c r="C205" s="10" t="s">
        <v>43</v>
      </c>
      <c r="D205" s="10" t="s">
        <v>3</v>
      </c>
      <c r="E205" s="1" t="s">
        <v>4</v>
      </c>
      <c r="F205" s="1" t="s">
        <v>5</v>
      </c>
      <c r="G205" s="1" t="s">
        <v>6</v>
      </c>
    </row>
    <row r="206" spans="1:7" x14ac:dyDescent="0.25">
      <c r="C206" s="2">
        <f t="shared" ref="C206:G209" si="37">C194/C$204</f>
        <v>1</v>
      </c>
      <c r="D206" s="2">
        <f t="shared" si="37"/>
        <v>1</v>
      </c>
      <c r="E206" s="2">
        <f t="shared" si="37"/>
        <v>0.57664977093076919</v>
      </c>
      <c r="F206" s="2">
        <f t="shared" si="37"/>
        <v>0.77853736812744556</v>
      </c>
      <c r="G206" s="2">
        <f t="shared" si="37"/>
        <v>1</v>
      </c>
    </row>
    <row r="207" spans="1:7" x14ac:dyDescent="0.25">
      <c r="C207" s="2">
        <f t="shared" si="37"/>
        <v>0.5</v>
      </c>
      <c r="D207" s="2">
        <f t="shared" si="37"/>
        <v>0.99252536988558093</v>
      </c>
      <c r="E207" s="2">
        <f t="shared" si="37"/>
        <v>0.80926420797553855</v>
      </c>
      <c r="F207" s="2">
        <f t="shared" si="37"/>
        <v>0.11207082497893665</v>
      </c>
      <c r="G207" s="2">
        <f t="shared" si="37"/>
        <v>0.9038990327846067</v>
      </c>
    </row>
    <row r="208" spans="1:7" x14ac:dyDescent="0.25">
      <c r="C208" s="2">
        <f t="shared" si="37"/>
        <v>0.75</v>
      </c>
      <c r="D208" s="2">
        <f t="shared" si="37"/>
        <v>0.97598188945750519</v>
      </c>
      <c r="E208" s="2">
        <f t="shared" si="37"/>
        <v>0.79597731535177796</v>
      </c>
      <c r="F208" s="2">
        <f t="shared" si="37"/>
        <v>8.5628869020468137E-2</v>
      </c>
      <c r="G208" s="2">
        <f t="shared" si="37"/>
        <v>0.57331026854314004</v>
      </c>
    </row>
    <row r="209" spans="1:7" x14ac:dyDescent="0.25">
      <c r="C209" s="2">
        <f t="shared" si="37"/>
        <v>0.25</v>
      </c>
      <c r="D209" s="2">
        <f t="shared" si="37"/>
        <v>0.90238419274747317</v>
      </c>
      <c r="E209" s="2">
        <f t="shared" si="37"/>
        <v>1</v>
      </c>
      <c r="F209" s="2">
        <f t="shared" si="37"/>
        <v>1</v>
      </c>
      <c r="G209" s="2">
        <f t="shared" si="37"/>
        <v>0.7592293002304622</v>
      </c>
    </row>
    <row r="211" spans="1:7" x14ac:dyDescent="0.25">
      <c r="C211" s="10" t="s">
        <v>3</v>
      </c>
      <c r="D211" s="10" t="s">
        <v>43</v>
      </c>
      <c r="E211" s="10" t="s">
        <v>4</v>
      </c>
      <c r="F211" s="10" t="s">
        <v>5</v>
      </c>
      <c r="G211" s="10" t="s">
        <v>6</v>
      </c>
    </row>
    <row r="212" spans="1:7" x14ac:dyDescent="0.25">
      <c r="C212" s="12">
        <v>0.90238419274747317</v>
      </c>
      <c r="D212" s="11">
        <v>0.25</v>
      </c>
      <c r="E212" s="11">
        <v>1</v>
      </c>
      <c r="F212" s="11">
        <v>1</v>
      </c>
      <c r="G212" s="11">
        <v>0.7592293002304622</v>
      </c>
    </row>
    <row r="213" spans="1:7" x14ac:dyDescent="0.25">
      <c r="C213" s="12">
        <v>0.97598188945750519</v>
      </c>
      <c r="D213" s="11">
        <v>0.75</v>
      </c>
      <c r="E213" s="11">
        <v>0.79597731535177796</v>
      </c>
      <c r="F213" s="11">
        <v>8.5628869020468137E-2</v>
      </c>
      <c r="G213" s="11">
        <v>0.57331026854314004</v>
      </c>
    </row>
    <row r="214" spans="1:7" x14ac:dyDescent="0.25">
      <c r="C214" s="12">
        <v>0.99252536988558093</v>
      </c>
      <c r="D214" s="11">
        <v>0.5</v>
      </c>
      <c r="E214" s="11">
        <v>0.80926420797553855</v>
      </c>
      <c r="F214" s="11">
        <v>0.11207082497893665</v>
      </c>
      <c r="G214" s="11">
        <v>0.9038990327846067</v>
      </c>
    </row>
    <row r="215" spans="1:7" x14ac:dyDescent="0.25">
      <c r="C215" s="12">
        <v>1</v>
      </c>
      <c r="D215" s="11">
        <v>1</v>
      </c>
      <c r="E215" s="11">
        <v>0.57664977093076919</v>
      </c>
      <c r="F215" s="11">
        <v>0.77853736812744556</v>
      </c>
      <c r="G215" s="11">
        <v>1</v>
      </c>
    </row>
    <row r="218" spans="1:7" x14ac:dyDescent="0.25">
      <c r="A218" s="1" t="s">
        <v>0</v>
      </c>
      <c r="B218" s="1" t="s">
        <v>1</v>
      </c>
      <c r="C218" s="1" t="s">
        <v>2</v>
      </c>
      <c r="D218" s="1" t="s">
        <v>3</v>
      </c>
      <c r="E218" s="1" t="s">
        <v>4</v>
      </c>
      <c r="F218" s="1" t="s">
        <v>5</v>
      </c>
      <c r="G218" s="1" t="s">
        <v>6</v>
      </c>
    </row>
    <row r="219" spans="1:7" x14ac:dyDescent="0.25">
      <c r="A219" s="2" t="s">
        <v>23</v>
      </c>
      <c r="B219" s="8" t="s">
        <v>24</v>
      </c>
      <c r="C219" s="2">
        <v>1</v>
      </c>
      <c r="D219" s="3">
        <v>2688475.9724428668</v>
      </c>
      <c r="E219" s="3">
        <v>22918.622383440001</v>
      </c>
      <c r="F219" s="4">
        <v>1.411209606183382E-2</v>
      </c>
      <c r="G219" s="4">
        <v>6.7540592802753808E-4</v>
      </c>
    </row>
    <row r="220" spans="1:7" x14ac:dyDescent="0.25">
      <c r="A220" s="2" t="s">
        <v>23</v>
      </c>
      <c r="B220" s="8" t="s">
        <v>24</v>
      </c>
      <c r="C220" s="2">
        <v>2</v>
      </c>
      <c r="D220" s="3">
        <v>2199098.9702055152</v>
      </c>
      <c r="E220" s="3">
        <v>27186.587841839999</v>
      </c>
      <c r="F220" s="4">
        <v>1.428164445640567E-2</v>
      </c>
      <c r="G220" s="4">
        <v>1.063284111568874E-3</v>
      </c>
    </row>
    <row r="221" spans="1:7" x14ac:dyDescent="0.25">
      <c r="A221" s="2" t="s">
        <v>23</v>
      </c>
      <c r="B221" s="8" t="s">
        <v>24</v>
      </c>
      <c r="C221" s="2">
        <v>3</v>
      </c>
      <c r="D221" s="3">
        <v>2110825.0242093089</v>
      </c>
      <c r="E221" s="3">
        <v>36820.330575920001</v>
      </c>
      <c r="F221" s="4">
        <v>1.1388913987487259E-2</v>
      </c>
      <c r="G221" s="4">
        <v>1.346627653376551E-3</v>
      </c>
    </row>
    <row r="222" spans="1:7" x14ac:dyDescent="0.25">
      <c r="A222" s="2" t="s">
        <v>23</v>
      </c>
      <c r="B222" s="8" t="s">
        <v>24</v>
      </c>
      <c r="C222" s="2">
        <v>4</v>
      </c>
      <c r="D222" s="3">
        <v>2060147.693651289</v>
      </c>
      <c r="E222" s="3">
        <v>24111.565200000001</v>
      </c>
      <c r="F222" s="4">
        <v>1.6816288641435851E-2</v>
      </c>
      <c r="G222" s="4">
        <v>4.7603910840263489E-4</v>
      </c>
    </row>
    <row r="224" spans="1:7" x14ac:dyDescent="0.25">
      <c r="B224" s="7" t="s">
        <v>40</v>
      </c>
      <c r="D224" s="3">
        <f>AVERAGE(D219:D220)</f>
        <v>2443787.471324191</v>
      </c>
      <c r="E224" s="3">
        <f t="shared" ref="E224:G224" si="38">AVERAGE(E219:E220)</f>
        <v>25052.605112639998</v>
      </c>
      <c r="F224" s="4">
        <f t="shared" si="38"/>
        <v>1.4196870259119745E-2</v>
      </c>
      <c r="G224" s="4">
        <f t="shared" si="38"/>
        <v>8.6934501979820604E-4</v>
      </c>
    </row>
    <row r="225" spans="2:7" x14ac:dyDescent="0.25">
      <c r="B225" s="7" t="s">
        <v>41</v>
      </c>
      <c r="D225" s="3">
        <f>AVERAGE(D221:D222)</f>
        <v>2085486.3589302991</v>
      </c>
      <c r="E225" s="3">
        <f t="shared" ref="E225:G225" si="39">AVERAGE(E221:E222)</f>
        <v>30465.947887959999</v>
      </c>
      <c r="F225" s="4">
        <f t="shared" si="39"/>
        <v>1.4102601314461555E-2</v>
      </c>
      <c r="G225" s="4">
        <f t="shared" si="39"/>
        <v>9.1133338088959293E-4</v>
      </c>
    </row>
    <row r="227" spans="2:7" x14ac:dyDescent="0.25">
      <c r="C227" s="7" t="s">
        <v>42</v>
      </c>
      <c r="D227" s="3">
        <f>D224/D225</f>
        <v>1.1718069796331221</v>
      </c>
      <c r="E227" s="3">
        <f t="shared" ref="E227:G227" si="40">E224/E225</f>
        <v>0.82231497292558131</v>
      </c>
      <c r="F227" s="3">
        <f t="shared" si="40"/>
        <v>1.0066845075285169</v>
      </c>
      <c r="G227" s="3">
        <f t="shared" si="40"/>
        <v>0.95392645329154935</v>
      </c>
    </row>
    <row r="229" spans="2:7" x14ac:dyDescent="0.25">
      <c r="C229" s="2">
        <f>MAX(C219:C222)</f>
        <v>4</v>
      </c>
      <c r="D229" s="2">
        <f t="shared" ref="D229:G229" si="41">MAX(D219:D222)</f>
        <v>2688475.9724428668</v>
      </c>
      <c r="E229" s="2">
        <f t="shared" si="41"/>
        <v>36820.330575920001</v>
      </c>
      <c r="F229" s="2">
        <f t="shared" si="41"/>
        <v>1.6816288641435851E-2</v>
      </c>
      <c r="G229" s="2">
        <f t="shared" si="41"/>
        <v>1.346627653376551E-3</v>
      </c>
    </row>
    <row r="230" spans="2:7" x14ac:dyDescent="0.25">
      <c r="C230" s="10" t="s">
        <v>43</v>
      </c>
      <c r="D230" s="10" t="s">
        <v>3</v>
      </c>
      <c r="E230" s="1" t="s">
        <v>4</v>
      </c>
      <c r="F230" s="1" t="s">
        <v>5</v>
      </c>
      <c r="G230" s="1" t="s">
        <v>6</v>
      </c>
    </row>
    <row r="231" spans="2:7" x14ac:dyDescent="0.25">
      <c r="C231" s="2">
        <f>C219/C$229</f>
        <v>0.25</v>
      </c>
      <c r="D231" s="2">
        <f t="shared" ref="D231:G231" si="42">D219/D$229</f>
        <v>1</v>
      </c>
      <c r="E231" s="2">
        <f t="shared" si="42"/>
        <v>0.62244477507294493</v>
      </c>
      <c r="F231" s="2">
        <f t="shared" si="42"/>
        <v>0.83919206923346823</v>
      </c>
      <c r="G231" s="2">
        <f t="shared" si="42"/>
        <v>0.50155358560624896</v>
      </c>
    </row>
    <row r="232" spans="2:7" x14ac:dyDescent="0.25">
      <c r="C232" s="2">
        <f t="shared" ref="C232:G234" si="43">C220/C$229</f>
        <v>0.5</v>
      </c>
      <c r="D232" s="2">
        <f t="shared" si="43"/>
        <v>0.81797233553377002</v>
      </c>
      <c r="E232" s="2">
        <f t="shared" si="43"/>
        <v>0.73835805970790658</v>
      </c>
      <c r="F232" s="2">
        <f t="shared" si="43"/>
        <v>0.84927446007410101</v>
      </c>
      <c r="G232" s="2">
        <f t="shared" si="43"/>
        <v>0.78959028422057287</v>
      </c>
    </row>
    <row r="233" spans="2:7" x14ac:dyDescent="0.25">
      <c r="C233" s="2">
        <f t="shared" si="43"/>
        <v>0.75</v>
      </c>
      <c r="D233" s="2">
        <f t="shared" si="43"/>
        <v>0.78513813991475667</v>
      </c>
      <c r="E233" s="2">
        <f t="shared" si="43"/>
        <v>1</v>
      </c>
      <c r="F233" s="2">
        <f t="shared" si="43"/>
        <v>0.67725490625943618</v>
      </c>
      <c r="G233" s="2">
        <f t="shared" si="43"/>
        <v>1</v>
      </c>
    </row>
    <row r="234" spans="2:7" x14ac:dyDescent="0.25">
      <c r="C234" s="2">
        <f t="shared" si="43"/>
        <v>1</v>
      </c>
      <c r="D234" s="2">
        <f t="shared" si="43"/>
        <v>0.76628830414256921</v>
      </c>
      <c r="E234" s="2">
        <f t="shared" si="43"/>
        <v>0.65484380022836186</v>
      </c>
      <c r="F234" s="2">
        <f t="shared" si="43"/>
        <v>1</v>
      </c>
      <c r="G234" s="2">
        <f t="shared" si="43"/>
        <v>0.3535046285504449</v>
      </c>
    </row>
    <row r="236" spans="2:7" x14ac:dyDescent="0.25">
      <c r="C236" s="10" t="s">
        <v>3</v>
      </c>
      <c r="D236" s="10" t="s">
        <v>43</v>
      </c>
      <c r="E236" s="10" t="s">
        <v>4</v>
      </c>
      <c r="F236" s="10" t="s">
        <v>5</v>
      </c>
      <c r="G236" s="10" t="s">
        <v>6</v>
      </c>
    </row>
    <row r="237" spans="2:7" x14ac:dyDescent="0.25">
      <c r="C237" s="3">
        <v>0.76628830414256921</v>
      </c>
      <c r="D237" s="2">
        <v>1</v>
      </c>
      <c r="E237" s="2">
        <v>0.65484380022836186</v>
      </c>
      <c r="F237" s="2">
        <v>1</v>
      </c>
      <c r="G237" s="2">
        <v>0.3535046285504449</v>
      </c>
    </row>
    <row r="238" spans="2:7" x14ac:dyDescent="0.25">
      <c r="C238" s="3">
        <v>0.78513813991475667</v>
      </c>
      <c r="D238" s="2">
        <v>0.75</v>
      </c>
      <c r="E238" s="2">
        <v>1</v>
      </c>
      <c r="F238" s="2">
        <v>0.67725490625943618</v>
      </c>
      <c r="G238" s="2">
        <v>1</v>
      </c>
    </row>
    <row r="239" spans="2:7" x14ac:dyDescent="0.25">
      <c r="C239" s="3">
        <v>0.81797233553377002</v>
      </c>
      <c r="D239" s="2">
        <v>0.5</v>
      </c>
      <c r="E239" s="2">
        <v>0.73835805970790658</v>
      </c>
      <c r="F239" s="2">
        <v>0.84927446007410101</v>
      </c>
      <c r="G239" s="2">
        <v>0.78959028422057287</v>
      </c>
    </row>
    <row r="240" spans="2:7" x14ac:dyDescent="0.25">
      <c r="C240" s="3">
        <v>1</v>
      </c>
      <c r="D240" s="2">
        <v>0.25</v>
      </c>
      <c r="E240" s="2">
        <v>0.62244477507294493</v>
      </c>
      <c r="F240" s="2">
        <v>0.83919206923346823</v>
      </c>
      <c r="G240" s="2">
        <v>0.50155358560624896</v>
      </c>
    </row>
    <row r="243" spans="1:7" x14ac:dyDescent="0.25">
      <c r="A243" s="1" t="s">
        <v>0</v>
      </c>
      <c r="B243" s="1" t="s">
        <v>1</v>
      </c>
      <c r="C243" s="1" t="s">
        <v>2</v>
      </c>
      <c r="D243" s="1" t="s">
        <v>3</v>
      </c>
      <c r="E243" s="1" t="s">
        <v>4</v>
      </c>
      <c r="F243" s="1" t="s">
        <v>5</v>
      </c>
      <c r="G243" s="1" t="s">
        <v>6</v>
      </c>
    </row>
    <row r="244" spans="1:7" x14ac:dyDescent="0.25">
      <c r="A244" s="2" t="s">
        <v>25</v>
      </c>
      <c r="B244" s="8" t="s">
        <v>26</v>
      </c>
      <c r="C244" s="2">
        <v>4</v>
      </c>
      <c r="D244" s="3">
        <v>1079590.799601601</v>
      </c>
      <c r="E244" s="3">
        <v>29824.255583999999</v>
      </c>
      <c r="F244" s="4">
        <v>1.7700063980245699E-2</v>
      </c>
      <c r="G244" s="4">
        <v>1.8406361575525849E-2</v>
      </c>
    </row>
    <row r="245" spans="1:7" x14ac:dyDescent="0.25">
      <c r="A245" s="2" t="s">
        <v>25</v>
      </c>
      <c r="B245" s="8" t="s">
        <v>26</v>
      </c>
      <c r="C245" s="2">
        <v>3</v>
      </c>
      <c r="D245" s="3">
        <v>917032.53729645221</v>
      </c>
      <c r="E245" s="3">
        <v>21948.7441788</v>
      </c>
      <c r="F245" s="4">
        <v>5.1385668600091312E-2</v>
      </c>
      <c r="G245" s="4">
        <v>1.045825844659099E-3</v>
      </c>
    </row>
    <row r="246" spans="1:7" x14ac:dyDescent="0.25">
      <c r="A246" s="2" t="s">
        <v>25</v>
      </c>
      <c r="B246" s="8" t="s">
        <v>26</v>
      </c>
      <c r="C246" s="2">
        <v>2</v>
      </c>
      <c r="D246" s="3">
        <v>802566.08061441511</v>
      </c>
      <c r="E246" s="3">
        <v>12046.641059559999</v>
      </c>
      <c r="F246" s="4">
        <v>1.264319260007594E-2</v>
      </c>
      <c r="G246" s="4">
        <v>9.2646432850616075E-4</v>
      </c>
    </row>
    <row r="247" spans="1:7" x14ac:dyDescent="0.25">
      <c r="A247" s="2" t="s">
        <v>25</v>
      </c>
      <c r="B247" s="8" t="s">
        <v>26</v>
      </c>
      <c r="C247" s="2">
        <v>1</v>
      </c>
      <c r="D247" s="3">
        <v>774599.50938466226</v>
      </c>
      <c r="E247" s="3">
        <v>31768.917493320001</v>
      </c>
      <c r="F247" s="4">
        <v>4.5024994770462897E-3</v>
      </c>
      <c r="G247" s="4">
        <v>6.1504127372638605E-4</v>
      </c>
    </row>
    <row r="249" spans="1:7" x14ac:dyDescent="0.25">
      <c r="B249" s="7" t="s">
        <v>40</v>
      </c>
      <c r="D249" s="3">
        <f>AVERAGE(D244:D245)</f>
        <v>998311.66844902653</v>
      </c>
      <c r="E249" s="3">
        <f t="shared" ref="E249:G249" si="44">AVERAGE(E244:E245)</f>
        <v>25886.499881399999</v>
      </c>
      <c r="F249" s="4">
        <f t="shared" si="44"/>
        <v>3.4542866290168506E-2</v>
      </c>
      <c r="G249" s="4">
        <f t="shared" si="44"/>
        <v>9.7260937100924743E-3</v>
      </c>
    </row>
    <row r="250" spans="1:7" x14ac:dyDescent="0.25">
      <c r="B250" s="7" t="s">
        <v>41</v>
      </c>
      <c r="D250" s="3">
        <f>AVERAGE(D246:D247)</f>
        <v>788582.79499953869</v>
      </c>
      <c r="E250" s="3">
        <f t="shared" ref="E250:G250" si="45">AVERAGE(E246:E247)</f>
        <v>21907.77927644</v>
      </c>
      <c r="F250" s="4">
        <f t="shared" si="45"/>
        <v>8.5728460385611147E-3</v>
      </c>
      <c r="G250" s="4">
        <f t="shared" si="45"/>
        <v>7.7075280111627334E-4</v>
      </c>
    </row>
    <row r="252" spans="1:7" x14ac:dyDescent="0.25">
      <c r="C252" s="7" t="s">
        <v>42</v>
      </c>
      <c r="D252" s="3">
        <f>D249/D250</f>
        <v>1.2659566944389276</v>
      </c>
      <c r="E252" s="3">
        <f t="shared" ref="E252:G252" si="46">E249/E250</f>
        <v>1.1816122280015293</v>
      </c>
      <c r="F252" s="3">
        <f t="shared" si="46"/>
        <v>4.0293347314057506</v>
      </c>
      <c r="G252" s="3">
        <f t="shared" si="46"/>
        <v>12.618953438776055</v>
      </c>
    </row>
    <row r="254" spans="1:7" x14ac:dyDescent="0.25">
      <c r="C254" s="2">
        <f>MAX(C244:C247)</f>
        <v>4</v>
      </c>
      <c r="D254" s="2">
        <f t="shared" ref="D254:G254" si="47">MAX(D244:D247)</f>
        <v>1079590.799601601</v>
      </c>
      <c r="E254" s="2">
        <f t="shared" si="47"/>
        <v>31768.917493320001</v>
      </c>
      <c r="F254" s="2">
        <f t="shared" si="47"/>
        <v>5.1385668600091312E-2</v>
      </c>
      <c r="G254" s="2">
        <f t="shared" si="47"/>
        <v>1.8406361575525849E-2</v>
      </c>
    </row>
    <row r="255" spans="1:7" x14ac:dyDescent="0.25">
      <c r="C255" s="10" t="s">
        <v>43</v>
      </c>
      <c r="D255" s="10" t="s">
        <v>3</v>
      </c>
      <c r="E255" s="1" t="s">
        <v>4</v>
      </c>
      <c r="F255" s="1" t="s">
        <v>5</v>
      </c>
      <c r="G255" s="1" t="s">
        <v>6</v>
      </c>
    </row>
    <row r="256" spans="1:7" x14ac:dyDescent="0.25">
      <c r="C256" s="2">
        <f>C244/C$254</f>
        <v>1</v>
      </c>
      <c r="D256" s="2">
        <f t="shared" ref="D256:G256" si="48">D244/D$254</f>
        <v>1</v>
      </c>
      <c r="E256" s="2">
        <f t="shared" si="48"/>
        <v>0.93878727817122176</v>
      </c>
      <c r="F256" s="2">
        <f t="shared" si="48"/>
        <v>0.34445526276978805</v>
      </c>
      <c r="G256" s="2">
        <f t="shared" si="48"/>
        <v>1</v>
      </c>
    </row>
    <row r="257" spans="1:7" x14ac:dyDescent="0.25">
      <c r="C257" s="2">
        <f t="shared" ref="C257:G259" si="49">C245/C$254</f>
        <v>0.75</v>
      </c>
      <c r="D257" s="2">
        <f t="shared" si="49"/>
        <v>0.84942603960209995</v>
      </c>
      <c r="E257" s="2">
        <f t="shared" si="49"/>
        <v>0.69088738020157991</v>
      </c>
      <c r="F257" s="2">
        <f t="shared" si="49"/>
        <v>1</v>
      </c>
      <c r="G257" s="2">
        <f t="shared" si="49"/>
        <v>5.6818716744632944E-2</v>
      </c>
    </row>
    <row r="258" spans="1:7" x14ac:dyDescent="0.25">
      <c r="C258" s="2">
        <f t="shared" si="49"/>
        <v>0.5</v>
      </c>
      <c r="D258" s="2">
        <f t="shared" si="49"/>
        <v>0.74339840698029691</v>
      </c>
      <c r="E258" s="2">
        <f t="shared" si="49"/>
        <v>0.37919583070757845</v>
      </c>
      <c r="F258" s="2">
        <f t="shared" si="49"/>
        <v>0.24604511227578876</v>
      </c>
      <c r="G258" s="2">
        <f t="shared" si="49"/>
        <v>5.0333919862687079E-2</v>
      </c>
    </row>
    <row r="259" spans="1:7" x14ac:dyDescent="0.25">
      <c r="C259" s="2">
        <f t="shared" si="49"/>
        <v>0.25</v>
      </c>
      <c r="D259" s="2">
        <f t="shared" si="49"/>
        <v>0.71749361857336225</v>
      </c>
      <c r="E259" s="2">
        <f t="shared" si="49"/>
        <v>1</v>
      </c>
      <c r="F259" s="2">
        <f t="shared" si="49"/>
        <v>8.7621696860402221E-2</v>
      </c>
      <c r="G259" s="2">
        <f t="shared" si="49"/>
        <v>3.3414603489272977E-2</v>
      </c>
    </row>
    <row r="261" spans="1:7" x14ac:dyDescent="0.25">
      <c r="C261" s="10" t="s">
        <v>3</v>
      </c>
      <c r="D261" s="10" t="s">
        <v>43</v>
      </c>
      <c r="E261" s="10" t="s">
        <v>4</v>
      </c>
      <c r="F261" s="10" t="s">
        <v>5</v>
      </c>
      <c r="G261" s="10" t="s">
        <v>6</v>
      </c>
    </row>
    <row r="262" spans="1:7" x14ac:dyDescent="0.25">
      <c r="C262" s="3">
        <v>0.71749361857336225</v>
      </c>
      <c r="D262" s="2">
        <v>0.25</v>
      </c>
      <c r="E262" s="2">
        <v>1</v>
      </c>
      <c r="F262" s="2">
        <v>8.7621696860402221E-2</v>
      </c>
      <c r="G262" s="2">
        <v>3.3414603489272977E-2</v>
      </c>
    </row>
    <row r="263" spans="1:7" x14ac:dyDescent="0.25">
      <c r="C263" s="3">
        <v>0.74339840698029691</v>
      </c>
      <c r="D263" s="2">
        <v>0.5</v>
      </c>
      <c r="E263" s="2">
        <v>0.37919583070757845</v>
      </c>
      <c r="F263" s="2">
        <v>0.24604511227578876</v>
      </c>
      <c r="G263" s="2">
        <v>5.0333919862687079E-2</v>
      </c>
    </row>
    <row r="264" spans="1:7" x14ac:dyDescent="0.25">
      <c r="C264" s="3">
        <v>0.84942603960209995</v>
      </c>
      <c r="D264" s="2">
        <v>0.75</v>
      </c>
      <c r="E264" s="2">
        <v>0.69088738020157991</v>
      </c>
      <c r="F264" s="2">
        <v>1</v>
      </c>
      <c r="G264" s="2">
        <v>5.6818716744632944E-2</v>
      </c>
    </row>
    <row r="265" spans="1:7" x14ac:dyDescent="0.25">
      <c r="C265" s="3">
        <v>1</v>
      </c>
      <c r="D265" s="2">
        <v>1</v>
      </c>
      <c r="E265" s="2">
        <v>0.93878727817122176</v>
      </c>
      <c r="F265" s="2">
        <v>0.34445526276978805</v>
      </c>
      <c r="G265" s="2">
        <v>1</v>
      </c>
    </row>
    <row r="268" spans="1:7" x14ac:dyDescent="0.25">
      <c r="A268" s="1" t="s">
        <v>0</v>
      </c>
      <c r="B268" s="1" t="s">
        <v>1</v>
      </c>
      <c r="C268" s="1" t="s">
        <v>2</v>
      </c>
      <c r="D268" s="1" t="s">
        <v>3</v>
      </c>
      <c r="E268" s="1" t="s">
        <v>4</v>
      </c>
      <c r="F268" s="1" t="s">
        <v>5</v>
      </c>
      <c r="G268" s="1" t="s">
        <v>6</v>
      </c>
    </row>
    <row r="269" spans="1:7" x14ac:dyDescent="0.25">
      <c r="A269" s="2" t="s">
        <v>27</v>
      </c>
      <c r="B269" s="8" t="s">
        <v>28</v>
      </c>
      <c r="C269" s="2">
        <v>4</v>
      </c>
      <c r="D269" s="3">
        <v>702640.28510284843</v>
      </c>
      <c r="E269" s="3">
        <v>24692.815392</v>
      </c>
      <c r="F269" s="4">
        <v>1.2473785395074479E-2</v>
      </c>
      <c r="G269" s="4">
        <v>1.210844187888221E-3</v>
      </c>
    </row>
    <row r="270" spans="1:7" x14ac:dyDescent="0.25">
      <c r="A270" s="2" t="s">
        <v>27</v>
      </c>
      <c r="B270" s="8" t="s">
        <v>28</v>
      </c>
      <c r="C270" s="2">
        <v>3</v>
      </c>
      <c r="D270" s="3">
        <v>648523.59030139784</v>
      </c>
      <c r="E270" s="3">
        <v>20365.73930736</v>
      </c>
      <c r="F270" s="4">
        <v>2.3285205202868371E-2</v>
      </c>
      <c r="G270" s="4">
        <v>1.5783067550306741E-3</v>
      </c>
    </row>
    <row r="271" spans="1:7" x14ac:dyDescent="0.25">
      <c r="A271" s="2" t="s">
        <v>27</v>
      </c>
      <c r="B271" s="8" t="s">
        <v>28</v>
      </c>
      <c r="C271" s="2">
        <v>2</v>
      </c>
      <c r="D271" s="3">
        <v>525586.90611574077</v>
      </c>
      <c r="E271" s="3">
        <v>57596.7124071</v>
      </c>
      <c r="F271" s="4">
        <v>6.9328647193893768E-4</v>
      </c>
      <c r="G271" s="4">
        <v>1.2640594598421069E-2</v>
      </c>
    </row>
    <row r="272" spans="1:7" x14ac:dyDescent="0.25">
      <c r="A272" s="2" t="s">
        <v>27</v>
      </c>
      <c r="B272" s="8" t="s">
        <v>28</v>
      </c>
      <c r="C272" s="2">
        <v>1</v>
      </c>
      <c r="D272" s="3">
        <v>489831.22166003252</v>
      </c>
      <c r="E272" s="3">
        <v>28233.8392518</v>
      </c>
      <c r="F272" s="4">
        <v>1.7629362658082969E-3</v>
      </c>
      <c r="G272" s="4">
        <v>1.091290811894655E-3</v>
      </c>
    </row>
    <row r="274" spans="2:7" x14ac:dyDescent="0.25">
      <c r="B274" s="7" t="s">
        <v>40</v>
      </c>
      <c r="D274" s="3">
        <f>AVERAGE(D269:D270)</f>
        <v>675581.93770212308</v>
      </c>
      <c r="E274" s="3">
        <f t="shared" ref="E274:G274" si="50">AVERAGE(E269:E270)</f>
        <v>22529.27734968</v>
      </c>
      <c r="F274" s="4">
        <f t="shared" si="50"/>
        <v>1.7879495298971426E-2</v>
      </c>
      <c r="G274" s="4">
        <f t="shared" si="50"/>
        <v>1.3945754714594475E-3</v>
      </c>
    </row>
    <row r="275" spans="2:7" x14ac:dyDescent="0.25">
      <c r="B275" s="7" t="s">
        <v>41</v>
      </c>
      <c r="D275" s="3">
        <f>AVERAGE(D271:D272)</f>
        <v>507709.06388788664</v>
      </c>
      <c r="E275" s="3">
        <f t="shared" ref="E275:G275" si="51">AVERAGE(E271:E272)</f>
        <v>42915.275829450002</v>
      </c>
      <c r="F275" s="4">
        <f t="shared" si="51"/>
        <v>1.2281113688736172E-3</v>
      </c>
      <c r="G275" s="4">
        <f t="shared" si="51"/>
        <v>6.8659427051578625E-3</v>
      </c>
    </row>
    <row r="277" spans="2:7" x14ac:dyDescent="0.25">
      <c r="C277" s="7" t="s">
        <v>42</v>
      </c>
      <c r="D277" s="3">
        <f>D274/D275</f>
        <v>1.3306477779394272</v>
      </c>
      <c r="E277" s="3">
        <f t="shared" ref="E277:G277" si="52">E274/E275</f>
        <v>0.52497104851926879</v>
      </c>
      <c r="F277" s="3">
        <f t="shared" si="52"/>
        <v>14.558529260558757</v>
      </c>
      <c r="G277" s="3">
        <f t="shared" si="52"/>
        <v>0.20311492992969613</v>
      </c>
    </row>
    <row r="279" spans="2:7" x14ac:dyDescent="0.25">
      <c r="C279" s="2">
        <f>MAX(C269:C272)</f>
        <v>4</v>
      </c>
      <c r="D279" s="2">
        <f t="shared" ref="D279:G279" si="53">MAX(D269:D272)</f>
        <v>702640.28510284843</v>
      </c>
      <c r="E279" s="2">
        <f t="shared" si="53"/>
        <v>57596.7124071</v>
      </c>
      <c r="F279" s="2">
        <f t="shared" si="53"/>
        <v>2.3285205202868371E-2</v>
      </c>
      <c r="G279" s="2">
        <f t="shared" si="53"/>
        <v>1.2640594598421069E-2</v>
      </c>
    </row>
    <row r="280" spans="2:7" x14ac:dyDescent="0.25">
      <c r="C280" s="10" t="s">
        <v>43</v>
      </c>
      <c r="D280" s="10" t="s">
        <v>3</v>
      </c>
      <c r="E280" s="1" t="s">
        <v>4</v>
      </c>
      <c r="F280" s="1" t="s">
        <v>5</v>
      </c>
      <c r="G280" s="1" t="s">
        <v>6</v>
      </c>
    </row>
    <row r="281" spans="2:7" x14ac:dyDescent="0.25">
      <c r="C281" s="2">
        <f>C269/C$279</f>
        <v>1</v>
      </c>
      <c r="D281" s="2">
        <f t="shared" ref="D281:G281" si="54">D269/D$279</f>
        <v>1</v>
      </c>
      <c r="E281" s="2">
        <f t="shared" si="54"/>
        <v>0.4287191813565403</v>
      </c>
      <c r="F281" s="2">
        <f t="shared" si="54"/>
        <v>0.53569574699465849</v>
      </c>
      <c r="G281" s="2">
        <f t="shared" si="54"/>
        <v>9.5790129052906028E-2</v>
      </c>
    </row>
    <row r="282" spans="2:7" x14ac:dyDescent="0.25">
      <c r="C282" s="2">
        <f t="shared" ref="C282:G284" si="55">C270/C$279</f>
        <v>0.75</v>
      </c>
      <c r="D282" s="2">
        <f t="shared" si="55"/>
        <v>0.9229809392532492</v>
      </c>
      <c r="E282" s="2">
        <f t="shared" si="55"/>
        <v>0.3535920446884655</v>
      </c>
      <c r="F282" s="2">
        <f t="shared" si="55"/>
        <v>1</v>
      </c>
      <c r="G282" s="2">
        <f t="shared" si="55"/>
        <v>0.12486016719718387</v>
      </c>
    </row>
    <row r="283" spans="2:7" x14ac:dyDescent="0.25">
      <c r="C283" s="2">
        <f t="shared" si="55"/>
        <v>0.5</v>
      </c>
      <c r="D283" s="2">
        <f t="shared" si="55"/>
        <v>0.74801703981263812</v>
      </c>
      <c r="E283" s="2">
        <f t="shared" si="55"/>
        <v>1</v>
      </c>
      <c r="F283" s="2">
        <f t="shared" si="55"/>
        <v>2.9773689598128844E-2</v>
      </c>
      <c r="G283" s="2">
        <f t="shared" si="55"/>
        <v>1</v>
      </c>
    </row>
    <row r="284" spans="2:7" x14ac:dyDescent="0.25">
      <c r="C284" s="2">
        <f t="shared" si="55"/>
        <v>0.25</v>
      </c>
      <c r="D284" s="2">
        <f t="shared" si="55"/>
        <v>0.69712943030064645</v>
      </c>
      <c r="E284" s="2">
        <f t="shared" si="55"/>
        <v>0.49019879906061425</v>
      </c>
      <c r="F284" s="2">
        <f t="shared" si="55"/>
        <v>7.571057460945764E-2</v>
      </c>
      <c r="G284" s="2">
        <f t="shared" si="55"/>
        <v>8.6332237253377908E-2</v>
      </c>
    </row>
    <row r="286" spans="2:7" x14ac:dyDescent="0.25">
      <c r="C286" s="10" t="s">
        <v>3</v>
      </c>
      <c r="D286" s="10" t="s">
        <v>43</v>
      </c>
      <c r="E286" s="10" t="s">
        <v>4</v>
      </c>
      <c r="F286" s="10" t="s">
        <v>5</v>
      </c>
      <c r="G286" s="10" t="s">
        <v>6</v>
      </c>
    </row>
    <row r="287" spans="2:7" x14ac:dyDescent="0.25">
      <c r="C287" s="3">
        <v>0.69712943030064645</v>
      </c>
      <c r="D287" s="2">
        <v>0.25</v>
      </c>
      <c r="E287" s="2">
        <v>0.49019879906061425</v>
      </c>
      <c r="F287" s="2">
        <v>7.571057460945764E-2</v>
      </c>
      <c r="G287" s="2">
        <v>8.6332237253377908E-2</v>
      </c>
    </row>
    <row r="288" spans="2:7" x14ac:dyDescent="0.25">
      <c r="C288" s="3">
        <v>0.74801703981263812</v>
      </c>
      <c r="D288" s="2">
        <v>0.5</v>
      </c>
      <c r="E288" s="2">
        <v>1</v>
      </c>
      <c r="F288" s="2">
        <v>2.9773689598128844E-2</v>
      </c>
      <c r="G288" s="2">
        <v>1</v>
      </c>
    </row>
    <row r="289" spans="1:7" x14ac:dyDescent="0.25">
      <c r="C289" s="3">
        <v>0.9229809392532492</v>
      </c>
      <c r="D289" s="2">
        <v>0.75</v>
      </c>
      <c r="E289" s="2">
        <v>0.3535920446884655</v>
      </c>
      <c r="F289" s="2">
        <v>1</v>
      </c>
      <c r="G289" s="2">
        <v>0.12486016719718387</v>
      </c>
    </row>
    <row r="290" spans="1:7" x14ac:dyDescent="0.25">
      <c r="C290" s="3">
        <v>1</v>
      </c>
      <c r="D290" s="2">
        <v>1</v>
      </c>
      <c r="E290" s="2">
        <v>0.4287191813565403</v>
      </c>
      <c r="F290" s="2">
        <v>0.53569574699465849</v>
      </c>
      <c r="G290" s="2">
        <v>9.5790129052906028E-2</v>
      </c>
    </row>
    <row r="292" spans="1:7" x14ac:dyDescent="0.25">
      <c r="A292" s="1" t="s">
        <v>0</v>
      </c>
      <c r="B292" s="1" t="s">
        <v>1</v>
      </c>
      <c r="C292" s="1" t="s">
        <v>2</v>
      </c>
      <c r="D292" s="1" t="s">
        <v>3</v>
      </c>
      <c r="E292" s="1" t="s">
        <v>4</v>
      </c>
      <c r="F292" s="1" t="s">
        <v>5</v>
      </c>
      <c r="G292" s="1" t="s">
        <v>6</v>
      </c>
    </row>
    <row r="293" spans="1:7" x14ac:dyDescent="0.25">
      <c r="A293" s="2" t="s">
        <v>29</v>
      </c>
      <c r="B293" s="8" t="s">
        <v>30</v>
      </c>
      <c r="C293" s="2">
        <v>4</v>
      </c>
      <c r="D293" s="3">
        <v>333902.21266145178</v>
      </c>
      <c r="E293" s="3">
        <v>6590.0541599999997</v>
      </c>
      <c r="F293" s="4">
        <v>3.968817154607421E-3</v>
      </c>
      <c r="G293" s="4">
        <v>1.4273582237145071E-3</v>
      </c>
    </row>
    <row r="294" spans="1:7" x14ac:dyDescent="0.25">
      <c r="A294" s="2" t="s">
        <v>29</v>
      </c>
      <c r="B294" s="8" t="s">
        <v>30</v>
      </c>
      <c r="C294" s="2">
        <v>3</v>
      </c>
      <c r="D294" s="3">
        <v>289865.32010952412</v>
      </c>
      <c r="E294" s="3">
        <v>5130.8202951200001</v>
      </c>
      <c r="F294" s="4">
        <v>7.1409024001186736E-3</v>
      </c>
      <c r="G294" s="4">
        <v>1.6292149323472839E-3</v>
      </c>
    </row>
    <row r="295" spans="1:7" x14ac:dyDescent="0.25">
      <c r="A295" s="2" t="s">
        <v>29</v>
      </c>
      <c r="B295" s="8" t="s">
        <v>30</v>
      </c>
      <c r="C295" s="2">
        <v>2</v>
      </c>
      <c r="D295" s="3">
        <v>259818.50988372459</v>
      </c>
      <c r="E295" s="3">
        <v>45922.658233419999</v>
      </c>
      <c r="F295" s="4">
        <v>4.0433840100499702E-5</v>
      </c>
      <c r="G295" s="4">
        <v>1.5232724169502069E-4</v>
      </c>
    </row>
    <row r="296" spans="1:7" x14ac:dyDescent="0.25">
      <c r="A296" s="2" t="s">
        <v>29</v>
      </c>
      <c r="B296" s="8" t="s">
        <v>30</v>
      </c>
      <c r="C296" s="2">
        <v>1</v>
      </c>
      <c r="D296" s="3">
        <v>234189.89306239539</v>
      </c>
      <c r="E296" s="3">
        <v>4733.3383234200001</v>
      </c>
      <c r="F296" s="4">
        <v>6.6356632156617178E-4</v>
      </c>
      <c r="G296" s="4">
        <v>3.1476572520248271E-3</v>
      </c>
    </row>
    <row r="298" spans="1:7" x14ac:dyDescent="0.25">
      <c r="B298" s="7" t="s">
        <v>40</v>
      </c>
      <c r="D298" s="3">
        <f>AVERAGE(D293:D294)</f>
        <v>311883.76638548798</v>
      </c>
      <c r="E298" s="3">
        <f t="shared" ref="E298:G298" si="56">AVERAGE(E293:E294)</f>
        <v>5860.4372275599999</v>
      </c>
      <c r="F298" s="4">
        <f t="shared" si="56"/>
        <v>5.5548597773630477E-3</v>
      </c>
      <c r="G298" s="4">
        <f t="shared" si="56"/>
        <v>1.5282865780308955E-3</v>
      </c>
    </row>
    <row r="299" spans="1:7" x14ac:dyDescent="0.25">
      <c r="B299" s="7" t="s">
        <v>41</v>
      </c>
      <c r="D299" s="3">
        <f>AVERAGE(D295:D296)</f>
        <v>247004.20147306001</v>
      </c>
      <c r="E299" s="3">
        <f t="shared" ref="E299:G299" si="57">AVERAGE(E295:E296)</f>
        <v>25327.99827842</v>
      </c>
      <c r="F299" s="4">
        <f t="shared" si="57"/>
        <v>3.5200008083333573E-4</v>
      </c>
      <c r="G299" s="4">
        <f t="shared" si="57"/>
        <v>1.6499922468599239E-3</v>
      </c>
    </row>
    <row r="301" spans="1:7" x14ac:dyDescent="0.25">
      <c r="C301" s="7" t="s">
        <v>42</v>
      </c>
      <c r="D301" s="3">
        <f>D298/D299</f>
        <v>1.2626658353400688</v>
      </c>
      <c r="E301" s="3">
        <f t="shared" ref="E301:G301" si="58">E298/E299</f>
        <v>0.23138177613322164</v>
      </c>
      <c r="F301" s="3">
        <f t="shared" si="58"/>
        <v>15.780848016319494</v>
      </c>
      <c r="G301" s="3">
        <f t="shared" si="58"/>
        <v>0.9262386419932308</v>
      </c>
    </row>
    <row r="303" spans="1:7" x14ac:dyDescent="0.25">
      <c r="C303" s="2">
        <f>MAX(C293:C296)</f>
        <v>4</v>
      </c>
      <c r="D303" s="2">
        <f t="shared" ref="D303:G303" si="59">MAX(D293:D296)</f>
        <v>333902.21266145178</v>
      </c>
      <c r="E303" s="2">
        <f t="shared" si="59"/>
        <v>45922.658233419999</v>
      </c>
      <c r="F303" s="2">
        <f t="shared" si="59"/>
        <v>7.1409024001186736E-3</v>
      </c>
      <c r="G303" s="2">
        <f t="shared" si="59"/>
        <v>3.1476572520248271E-3</v>
      </c>
    </row>
    <row r="304" spans="1:7" x14ac:dyDescent="0.25">
      <c r="C304" s="10" t="s">
        <v>43</v>
      </c>
      <c r="D304" s="10" t="s">
        <v>3</v>
      </c>
      <c r="E304" s="1" t="s">
        <v>4</v>
      </c>
      <c r="F304" s="1" t="s">
        <v>5</v>
      </c>
      <c r="G304" s="1" t="s">
        <v>6</v>
      </c>
    </row>
    <row r="305" spans="1:7" x14ac:dyDescent="0.25">
      <c r="C305" s="2">
        <f>C293/C$303</f>
        <v>1</v>
      </c>
      <c r="D305" s="2">
        <f t="shared" ref="D305:G305" si="60">D293/D$303</f>
        <v>1</v>
      </c>
      <c r="E305" s="2">
        <f t="shared" si="60"/>
        <v>0.14350332523225146</v>
      </c>
      <c r="F305" s="2">
        <f t="shared" si="60"/>
        <v>0.55578650039264843</v>
      </c>
      <c r="G305" s="2">
        <f t="shared" si="60"/>
        <v>0.45346685151196658</v>
      </c>
    </row>
    <row r="306" spans="1:7" x14ac:dyDescent="0.25">
      <c r="C306" s="2">
        <f t="shared" ref="C306:G308" si="61">C294/C$303</f>
        <v>0.75</v>
      </c>
      <c r="D306" s="2">
        <f t="shared" si="61"/>
        <v>0.86811440331311229</v>
      </c>
      <c r="E306" s="2">
        <f t="shared" si="61"/>
        <v>0.11172742372709753</v>
      </c>
      <c r="F306" s="2">
        <f t="shared" si="61"/>
        <v>1</v>
      </c>
      <c r="G306" s="2">
        <f t="shared" si="61"/>
        <v>0.5175960410871423</v>
      </c>
    </row>
    <row r="307" spans="1:7" x14ac:dyDescent="0.25">
      <c r="C307" s="2">
        <f t="shared" si="61"/>
        <v>0.5</v>
      </c>
      <c r="D307" s="2">
        <f t="shared" si="61"/>
        <v>0.77812754762172931</v>
      </c>
      <c r="E307" s="2">
        <f t="shared" si="61"/>
        <v>1</v>
      </c>
      <c r="F307" s="2">
        <f t="shared" si="61"/>
        <v>5.6622871781342003E-3</v>
      </c>
      <c r="G307" s="2">
        <f t="shared" si="61"/>
        <v>4.8393846438341249E-2</v>
      </c>
    </row>
    <row r="308" spans="1:7" x14ac:dyDescent="0.25">
      <c r="C308" s="2">
        <f t="shared" si="61"/>
        <v>0.25</v>
      </c>
      <c r="D308" s="2">
        <f t="shared" si="61"/>
        <v>0.70137268991339052</v>
      </c>
      <c r="E308" s="2">
        <f t="shared" si="61"/>
        <v>0.10307195849510592</v>
      </c>
      <c r="F308" s="2">
        <f t="shared" si="61"/>
        <v>9.2924715166971622E-2</v>
      </c>
      <c r="G308" s="2">
        <f t="shared" si="61"/>
        <v>1</v>
      </c>
    </row>
    <row r="310" spans="1:7" x14ac:dyDescent="0.25">
      <c r="C310" s="10" t="s">
        <v>3</v>
      </c>
      <c r="D310" s="10" t="s">
        <v>43</v>
      </c>
      <c r="E310" s="10" t="s">
        <v>4</v>
      </c>
      <c r="F310" s="10" t="s">
        <v>5</v>
      </c>
      <c r="G310" s="10" t="s">
        <v>6</v>
      </c>
    </row>
    <row r="311" spans="1:7" x14ac:dyDescent="0.25">
      <c r="C311" s="3">
        <v>0.70137268991339052</v>
      </c>
      <c r="D311" s="2">
        <v>0.25</v>
      </c>
      <c r="E311" s="2">
        <v>0.10307195849510592</v>
      </c>
      <c r="F311" s="2">
        <v>9.2924715166971622E-2</v>
      </c>
      <c r="G311" s="2">
        <v>1</v>
      </c>
    </row>
    <row r="312" spans="1:7" x14ac:dyDescent="0.25">
      <c r="C312" s="3">
        <v>0.77812754762172931</v>
      </c>
      <c r="D312" s="2">
        <v>0.5</v>
      </c>
      <c r="E312" s="2">
        <v>1</v>
      </c>
      <c r="F312" s="2">
        <v>5.6622871781342003E-3</v>
      </c>
      <c r="G312" s="2">
        <v>4.8393846438341249E-2</v>
      </c>
    </row>
    <row r="313" spans="1:7" x14ac:dyDescent="0.25">
      <c r="C313" s="3">
        <v>0.86811440331311229</v>
      </c>
      <c r="D313" s="2">
        <v>0.75</v>
      </c>
      <c r="E313" s="2">
        <v>0.11172742372709753</v>
      </c>
      <c r="F313" s="2">
        <v>1</v>
      </c>
      <c r="G313" s="2">
        <v>0.5175960410871423</v>
      </c>
    </row>
    <row r="314" spans="1:7" x14ac:dyDescent="0.25">
      <c r="C314" s="3">
        <v>1</v>
      </c>
      <c r="D314" s="2">
        <v>1</v>
      </c>
      <c r="E314" s="2">
        <v>0.14350332523225146</v>
      </c>
      <c r="F314" s="2">
        <v>0.55578650039264843</v>
      </c>
      <c r="G314" s="2">
        <v>0.45346685151196658</v>
      </c>
    </row>
    <row r="317" spans="1:7" x14ac:dyDescent="0.25">
      <c r="A317" s="1" t="s">
        <v>0</v>
      </c>
      <c r="B317" s="1" t="s">
        <v>1</v>
      </c>
      <c r="C317" s="1" t="s">
        <v>2</v>
      </c>
      <c r="D317" s="1" t="s">
        <v>3</v>
      </c>
      <c r="E317" s="1" t="s">
        <v>4</v>
      </c>
      <c r="F317" s="1" t="s">
        <v>5</v>
      </c>
      <c r="G317" s="1" t="s">
        <v>6</v>
      </c>
    </row>
    <row r="318" spans="1:7" x14ac:dyDescent="0.25">
      <c r="A318" s="2" t="s">
        <v>31</v>
      </c>
      <c r="B318" s="8" t="s">
        <v>32</v>
      </c>
      <c r="C318" s="2">
        <v>4</v>
      </c>
      <c r="D318" s="3">
        <v>615324.90182869229</v>
      </c>
      <c r="E318" s="3">
        <v>12188.037840000001</v>
      </c>
      <c r="F318" s="4">
        <v>3.5563801629943082E-3</v>
      </c>
      <c r="G318" s="4">
        <v>2.3262126662383252E-3</v>
      </c>
    </row>
    <row r="319" spans="1:7" x14ac:dyDescent="0.25">
      <c r="A319" s="2" t="s">
        <v>31</v>
      </c>
      <c r="B319" s="8" t="s">
        <v>32</v>
      </c>
      <c r="C319" s="2">
        <v>3</v>
      </c>
      <c r="D319" s="3">
        <v>463470.71898289572</v>
      </c>
      <c r="E319" s="3">
        <v>9380.3853557600014</v>
      </c>
      <c r="F319" s="4">
        <v>2.4821681068467739E-3</v>
      </c>
      <c r="G319" s="4">
        <v>1.7821392198706289E-3</v>
      </c>
    </row>
    <row r="320" spans="1:7" x14ac:dyDescent="0.25">
      <c r="A320" s="2" t="s">
        <v>31</v>
      </c>
      <c r="B320" s="8" t="s">
        <v>32</v>
      </c>
      <c r="C320" s="2">
        <v>2</v>
      </c>
      <c r="D320" s="3">
        <v>441905.15975913568</v>
      </c>
      <c r="E320" s="3">
        <v>8680.9984719799995</v>
      </c>
      <c r="F320" s="4">
        <v>5.3628300774693723E-2</v>
      </c>
      <c r="G320" s="4">
        <v>1.9809359137092151E-3</v>
      </c>
    </row>
    <row r="321" spans="1:7" x14ac:dyDescent="0.25">
      <c r="A321" s="2" t="s">
        <v>31</v>
      </c>
      <c r="B321" s="8" t="s">
        <v>32</v>
      </c>
      <c r="C321" s="2">
        <v>1</v>
      </c>
      <c r="D321" s="3">
        <v>396416.47748978873</v>
      </c>
      <c r="E321" s="3">
        <v>10615.43888874</v>
      </c>
      <c r="F321" s="4">
        <v>5.7122249315871114E-3</v>
      </c>
      <c r="G321" s="4">
        <v>1.223257961926933E-3</v>
      </c>
    </row>
    <row r="323" spans="1:7" x14ac:dyDescent="0.25">
      <c r="B323" s="7" t="s">
        <v>40</v>
      </c>
      <c r="D323" s="3">
        <f>AVERAGE(D318:D319)</f>
        <v>539397.81040579407</v>
      </c>
      <c r="E323" s="3">
        <f t="shared" ref="E323:G323" si="62">AVERAGE(E318:E319)</f>
        <v>10784.211597880001</v>
      </c>
      <c r="F323" s="4">
        <f t="shared" si="62"/>
        <v>3.0192741349205411E-3</v>
      </c>
      <c r="G323" s="4">
        <f t="shared" si="62"/>
        <v>2.0541759430544771E-3</v>
      </c>
    </row>
    <row r="324" spans="1:7" x14ac:dyDescent="0.25">
      <c r="B324" s="7" t="s">
        <v>41</v>
      </c>
      <c r="D324" s="3">
        <f>AVERAGE(D320:D321)</f>
        <v>419160.81862446223</v>
      </c>
      <c r="E324" s="3">
        <f t="shared" ref="E324:G324" si="63">AVERAGE(E320:E321)</f>
        <v>9648.2186803599998</v>
      </c>
      <c r="F324" s="4">
        <f t="shared" si="63"/>
        <v>2.9670262853140415E-2</v>
      </c>
      <c r="G324" s="4">
        <f t="shared" si="63"/>
        <v>1.602096937818074E-3</v>
      </c>
    </row>
    <row r="326" spans="1:7" x14ac:dyDescent="0.25">
      <c r="C326" s="7" t="s">
        <v>42</v>
      </c>
      <c r="D326" s="3">
        <f>D323/D324</f>
        <v>1.2868516961482879</v>
      </c>
      <c r="E326" s="3">
        <f t="shared" ref="E326:G326" si="64">E323/E324</f>
        <v>1.1177412074865631</v>
      </c>
      <c r="F326" s="3">
        <f t="shared" si="64"/>
        <v>0.10176095000792922</v>
      </c>
      <c r="G326" s="3">
        <f t="shared" si="64"/>
        <v>1.2821795576565411</v>
      </c>
    </row>
    <row r="328" spans="1:7" x14ac:dyDescent="0.25">
      <c r="C328" s="2">
        <f>MAX(C318:C321)</f>
        <v>4</v>
      </c>
      <c r="D328" s="2">
        <f t="shared" ref="D328:G328" si="65">MAX(D318:D321)</f>
        <v>615324.90182869229</v>
      </c>
      <c r="E328" s="2">
        <f t="shared" si="65"/>
        <v>12188.037840000001</v>
      </c>
      <c r="F328" s="2">
        <f t="shared" si="65"/>
        <v>5.3628300774693723E-2</v>
      </c>
      <c r="G328" s="2">
        <f t="shared" si="65"/>
        <v>2.3262126662383252E-3</v>
      </c>
    </row>
    <row r="329" spans="1:7" x14ac:dyDescent="0.25">
      <c r="C329" s="10" t="s">
        <v>43</v>
      </c>
      <c r="D329" s="10" t="s">
        <v>3</v>
      </c>
      <c r="E329" s="1" t="s">
        <v>4</v>
      </c>
      <c r="F329" s="1" t="s">
        <v>5</v>
      </c>
      <c r="G329" s="1" t="s">
        <v>6</v>
      </c>
    </row>
    <row r="330" spans="1:7" x14ac:dyDescent="0.25">
      <c r="C330" s="2">
        <f>C318/C$328</f>
        <v>1</v>
      </c>
      <c r="D330" s="2">
        <f t="shared" ref="D330:G330" si="66">D318/D$328</f>
        <v>1</v>
      </c>
      <c r="E330" s="2">
        <f t="shared" si="66"/>
        <v>1</v>
      </c>
      <c r="F330" s="2">
        <f t="shared" si="66"/>
        <v>6.6315361695601274E-2</v>
      </c>
      <c r="G330" s="2">
        <f t="shared" si="66"/>
        <v>1</v>
      </c>
    </row>
    <row r="331" spans="1:7" x14ac:dyDescent="0.25">
      <c r="C331" s="2">
        <f t="shared" ref="C331:G333" si="67">C319/C$328</f>
        <v>0.75</v>
      </c>
      <c r="D331" s="2">
        <f t="shared" si="67"/>
        <v>0.75321300601601027</v>
      </c>
      <c r="E331" s="2">
        <f t="shared" si="67"/>
        <v>0.76963868006501046</v>
      </c>
      <c r="F331" s="2">
        <f t="shared" si="67"/>
        <v>4.6284668188071074E-2</v>
      </c>
      <c r="G331" s="2">
        <f t="shared" si="67"/>
        <v>0.76611190616225677</v>
      </c>
    </row>
    <row r="332" spans="1:7" x14ac:dyDescent="0.25">
      <c r="C332" s="2">
        <f t="shared" si="67"/>
        <v>0.5</v>
      </c>
      <c r="D332" s="2">
        <f t="shared" si="67"/>
        <v>0.71816557146611792</v>
      </c>
      <c r="E332" s="2">
        <f t="shared" si="67"/>
        <v>0.71225562194184977</v>
      </c>
      <c r="F332" s="2">
        <f t="shared" si="67"/>
        <v>1</v>
      </c>
      <c r="G332" s="2">
        <f t="shared" si="67"/>
        <v>0.85157128686456229</v>
      </c>
    </row>
    <row r="333" spans="1:7" x14ac:dyDescent="0.25">
      <c r="C333" s="2">
        <f t="shared" si="67"/>
        <v>0.25</v>
      </c>
      <c r="D333" s="2">
        <f t="shared" si="67"/>
        <v>0.64423928937651198</v>
      </c>
      <c r="E333" s="2">
        <f t="shared" si="67"/>
        <v>0.87097193396472083</v>
      </c>
      <c r="F333" s="2">
        <f t="shared" si="67"/>
        <v>0.10651512073048215</v>
      </c>
      <c r="G333" s="2">
        <f t="shared" si="67"/>
        <v>0.52585818127499084</v>
      </c>
    </row>
    <row r="335" spans="1:7" x14ac:dyDescent="0.25">
      <c r="C335" s="10" t="s">
        <v>3</v>
      </c>
      <c r="D335" s="10" t="s">
        <v>43</v>
      </c>
      <c r="E335" s="10" t="s">
        <v>4</v>
      </c>
      <c r="F335" s="10" t="s">
        <v>5</v>
      </c>
      <c r="G335" s="10" t="s">
        <v>6</v>
      </c>
    </row>
    <row r="336" spans="1:7" x14ac:dyDescent="0.25">
      <c r="C336" s="3">
        <v>0.64423928937651198</v>
      </c>
      <c r="D336" s="2">
        <v>0.25</v>
      </c>
      <c r="E336" s="2">
        <v>0.87097193396472083</v>
      </c>
      <c r="F336" s="2">
        <v>0.10651512073048215</v>
      </c>
      <c r="G336" s="2">
        <v>0.52585818127499084</v>
      </c>
    </row>
    <row r="337" spans="1:7" x14ac:dyDescent="0.25">
      <c r="C337" s="3">
        <v>0.71816557146611792</v>
      </c>
      <c r="D337" s="2">
        <v>0.5</v>
      </c>
      <c r="E337" s="2">
        <v>0.71225562194184977</v>
      </c>
      <c r="F337" s="2">
        <v>1</v>
      </c>
      <c r="G337" s="2">
        <v>0.85157128686456229</v>
      </c>
    </row>
    <row r="338" spans="1:7" x14ac:dyDescent="0.25">
      <c r="C338" s="3">
        <v>0.75321300601601027</v>
      </c>
      <c r="D338" s="2">
        <v>0.75</v>
      </c>
      <c r="E338" s="2">
        <v>0.76963868006501046</v>
      </c>
      <c r="F338" s="2">
        <v>4.6284668188071074E-2</v>
      </c>
      <c r="G338" s="2">
        <v>0.76611190616225677</v>
      </c>
    </row>
    <row r="339" spans="1:7" x14ac:dyDescent="0.25">
      <c r="C339" s="3">
        <v>1</v>
      </c>
      <c r="D339" s="2">
        <v>1</v>
      </c>
      <c r="E339" s="2">
        <v>1</v>
      </c>
      <c r="F339" s="2">
        <v>6.6315361695601274E-2</v>
      </c>
      <c r="G339" s="2">
        <v>1</v>
      </c>
    </row>
    <row r="342" spans="1:7" x14ac:dyDescent="0.25">
      <c r="A342" s="1" t="s">
        <v>0</v>
      </c>
      <c r="B342" s="1" t="s">
        <v>1</v>
      </c>
      <c r="C342" s="1" t="s">
        <v>2</v>
      </c>
      <c r="D342" s="1" t="s">
        <v>3</v>
      </c>
      <c r="E342" s="1" t="s">
        <v>4</v>
      </c>
      <c r="F342" s="1" t="s">
        <v>5</v>
      </c>
      <c r="G342" s="1" t="s">
        <v>6</v>
      </c>
    </row>
    <row r="343" spans="1:7" x14ac:dyDescent="0.25">
      <c r="A343" s="2" t="s">
        <v>33</v>
      </c>
      <c r="B343" s="8" t="s">
        <v>34</v>
      </c>
      <c r="C343" s="2">
        <v>1</v>
      </c>
      <c r="D343" s="3">
        <v>480752.63075950177</v>
      </c>
      <c r="E343" s="3">
        <v>13713.99982974</v>
      </c>
      <c r="F343" s="4">
        <v>1.8909555433829729E-4</v>
      </c>
      <c r="G343" s="4">
        <v>1.421912259449817E-2</v>
      </c>
    </row>
    <row r="344" spans="1:7" x14ac:dyDescent="0.25">
      <c r="A344" s="2" t="s">
        <v>33</v>
      </c>
      <c r="B344" s="8" t="s">
        <v>34</v>
      </c>
      <c r="C344" s="2">
        <v>4</v>
      </c>
      <c r="D344" s="3">
        <v>430680.74778667098</v>
      </c>
      <c r="E344" s="3">
        <v>9650.7308639999992</v>
      </c>
      <c r="F344" s="4">
        <v>3.2382873836611008E-4</v>
      </c>
      <c r="G344" s="4">
        <v>1.307147425181787E-3</v>
      </c>
    </row>
    <row r="345" spans="1:7" x14ac:dyDescent="0.25">
      <c r="A345" s="2" t="s">
        <v>33</v>
      </c>
      <c r="B345" s="8" t="s">
        <v>34</v>
      </c>
      <c r="C345" s="2">
        <v>3</v>
      </c>
      <c r="D345" s="3">
        <v>344818.33344279532</v>
      </c>
      <c r="E345" s="3">
        <v>7766.5175531200011</v>
      </c>
      <c r="F345" s="4">
        <v>5.6879237956854514E-4</v>
      </c>
      <c r="G345" s="4">
        <v>9.2862762115340628E-4</v>
      </c>
    </row>
    <row r="346" spans="1:7" x14ac:dyDescent="0.25">
      <c r="A346" s="2" t="s">
        <v>33</v>
      </c>
      <c r="B346" s="8" t="s">
        <v>34</v>
      </c>
      <c r="C346" s="2">
        <v>2</v>
      </c>
      <c r="D346" s="3">
        <v>310794.74797233898</v>
      </c>
      <c r="E346" s="3">
        <v>8210.8821614400003</v>
      </c>
      <c r="F346" s="4">
        <v>1.515288413031857E-4</v>
      </c>
      <c r="G346" s="4">
        <v>1.134724744407487E-2</v>
      </c>
    </row>
    <row r="348" spans="1:7" x14ac:dyDescent="0.25">
      <c r="B348" s="7" t="s">
        <v>40</v>
      </c>
      <c r="D348" s="3">
        <f>AVERAGE(D343:D344)</f>
        <v>455716.68927308638</v>
      </c>
      <c r="E348" s="3">
        <f t="shared" ref="E348:G348" si="68">AVERAGE(E343:E344)</f>
        <v>11682.365346869999</v>
      </c>
      <c r="F348" s="4">
        <f t="shared" si="68"/>
        <v>2.5646214635220368E-4</v>
      </c>
      <c r="G348" s="4">
        <f t="shared" si="68"/>
        <v>7.7631350098399787E-3</v>
      </c>
    </row>
    <row r="349" spans="1:7" x14ac:dyDescent="0.25">
      <c r="B349" s="7" t="s">
        <v>41</v>
      </c>
      <c r="D349" s="3">
        <f>AVERAGE(D345:D346)</f>
        <v>327806.54070756712</v>
      </c>
      <c r="E349" s="3">
        <f t="shared" ref="E349:G349" si="69">AVERAGE(E345:E346)</f>
        <v>7988.6998572800003</v>
      </c>
      <c r="F349" s="4">
        <f t="shared" si="69"/>
        <v>3.6016061043586542E-4</v>
      </c>
      <c r="G349" s="4">
        <f t="shared" si="69"/>
        <v>6.1379375326141381E-3</v>
      </c>
    </row>
    <row r="351" spans="1:7" x14ac:dyDescent="0.25">
      <c r="C351" s="7" t="s">
        <v>42</v>
      </c>
      <c r="D351" s="3">
        <f>D348/D349</f>
        <v>1.3902001109844437</v>
      </c>
      <c r="E351" s="3">
        <f t="shared" ref="E351:G351" si="70">E348/E349</f>
        <v>1.462361279754929</v>
      </c>
      <c r="F351" s="3">
        <f t="shared" si="70"/>
        <v>0.71207716480109773</v>
      </c>
      <c r="G351" s="3">
        <f t="shared" si="70"/>
        <v>1.2647790839496653</v>
      </c>
    </row>
    <row r="353" spans="1:7" x14ac:dyDescent="0.25">
      <c r="C353" s="2">
        <f>MAX(C343:C346)</f>
        <v>4</v>
      </c>
      <c r="D353" s="2">
        <f t="shared" ref="D353:G353" si="71">MAX(D343:D346)</f>
        <v>480752.63075950177</v>
      </c>
      <c r="E353" s="2">
        <f t="shared" si="71"/>
        <v>13713.99982974</v>
      </c>
      <c r="F353" s="2">
        <f t="shared" si="71"/>
        <v>5.6879237956854514E-4</v>
      </c>
      <c r="G353" s="2">
        <f t="shared" si="71"/>
        <v>1.421912259449817E-2</v>
      </c>
    </row>
    <row r="354" spans="1:7" x14ac:dyDescent="0.25">
      <c r="C354" s="10" t="s">
        <v>43</v>
      </c>
      <c r="D354" s="10" t="s">
        <v>3</v>
      </c>
      <c r="E354" s="1" t="s">
        <v>4</v>
      </c>
      <c r="F354" s="1" t="s">
        <v>5</v>
      </c>
      <c r="G354" s="1" t="s">
        <v>6</v>
      </c>
    </row>
    <row r="355" spans="1:7" x14ac:dyDescent="0.25">
      <c r="C355" s="2">
        <f>C343/C$353</f>
        <v>0.25</v>
      </c>
      <c r="D355" s="2">
        <f t="shared" ref="D355:G355" si="72">D343/D$353</f>
        <v>1</v>
      </c>
      <c r="E355" s="2">
        <f t="shared" si="72"/>
        <v>1</v>
      </c>
      <c r="F355" s="2">
        <f t="shared" si="72"/>
        <v>0.33245092784424229</v>
      </c>
      <c r="G355" s="2">
        <f t="shared" si="72"/>
        <v>1</v>
      </c>
    </row>
    <row r="356" spans="1:7" x14ac:dyDescent="0.25">
      <c r="C356" s="2">
        <f t="shared" ref="C356:G358" si="73">C344/C$353</f>
        <v>1</v>
      </c>
      <c r="D356" s="2">
        <f t="shared" si="73"/>
        <v>0.89584688721572603</v>
      </c>
      <c r="E356" s="2">
        <f t="shared" si="73"/>
        <v>0.70371379494052133</v>
      </c>
      <c r="F356" s="2">
        <f t="shared" si="73"/>
        <v>0.56932678776700363</v>
      </c>
      <c r="G356" s="2">
        <f t="shared" si="73"/>
        <v>9.1928838540822747E-2</v>
      </c>
    </row>
    <row r="357" spans="1:7" x14ac:dyDescent="0.25">
      <c r="C357" s="2">
        <f t="shared" si="73"/>
        <v>0.75</v>
      </c>
      <c r="D357" s="2">
        <f t="shared" si="73"/>
        <v>0.7172468986764462</v>
      </c>
      <c r="E357" s="2">
        <f t="shared" si="73"/>
        <v>0.56632037695360282</v>
      </c>
      <c r="F357" s="2">
        <f t="shared" si="73"/>
        <v>1</v>
      </c>
      <c r="G357" s="2">
        <f t="shared" si="73"/>
        <v>6.5308363085126067E-2</v>
      </c>
    </row>
    <row r="358" spans="1:7" x14ac:dyDescent="0.25">
      <c r="C358" s="2">
        <f t="shared" si="73"/>
        <v>0.5</v>
      </c>
      <c r="D358" s="2">
        <f t="shared" si="73"/>
        <v>0.64647539729806525</v>
      </c>
      <c r="E358" s="2">
        <f t="shared" si="73"/>
        <v>0.59872263842631746</v>
      </c>
      <c r="F358" s="2">
        <f t="shared" si="73"/>
        <v>0.26640448561938757</v>
      </c>
      <c r="G358" s="2">
        <f t="shared" si="73"/>
        <v>0.798027260026964</v>
      </c>
    </row>
    <row r="360" spans="1:7" x14ac:dyDescent="0.25">
      <c r="C360" s="10" t="s">
        <v>3</v>
      </c>
      <c r="D360" s="10" t="s">
        <v>43</v>
      </c>
      <c r="E360" s="10" t="s">
        <v>4</v>
      </c>
      <c r="F360" s="10" t="s">
        <v>5</v>
      </c>
      <c r="G360" s="10" t="s">
        <v>6</v>
      </c>
    </row>
    <row r="361" spans="1:7" x14ac:dyDescent="0.25">
      <c r="C361" s="3">
        <v>0.64647539729806525</v>
      </c>
      <c r="D361" s="2">
        <v>0.5</v>
      </c>
      <c r="E361" s="2">
        <v>0.59872263842631746</v>
      </c>
      <c r="F361" s="2">
        <v>0.26640448561938757</v>
      </c>
      <c r="G361" s="2">
        <v>0.798027260026964</v>
      </c>
    </row>
    <row r="362" spans="1:7" x14ac:dyDescent="0.25">
      <c r="C362" s="3">
        <v>0.7172468986764462</v>
      </c>
      <c r="D362" s="2">
        <v>0.75</v>
      </c>
      <c r="E362" s="2">
        <v>0.56632037695360282</v>
      </c>
      <c r="F362" s="2">
        <v>1</v>
      </c>
      <c r="G362" s="2">
        <v>6.5308363085126067E-2</v>
      </c>
    </row>
    <row r="363" spans="1:7" x14ac:dyDescent="0.25">
      <c r="C363" s="3">
        <v>0.89584688721572603</v>
      </c>
      <c r="D363" s="2">
        <v>1</v>
      </c>
      <c r="E363" s="2">
        <v>0.70371379494052133</v>
      </c>
      <c r="F363" s="2">
        <v>0.56932678776700363</v>
      </c>
      <c r="G363" s="2">
        <v>9.1928838540822747E-2</v>
      </c>
    </row>
    <row r="364" spans="1:7" x14ac:dyDescent="0.25">
      <c r="C364" s="3">
        <v>1</v>
      </c>
      <c r="D364" s="2">
        <v>0.25</v>
      </c>
      <c r="E364" s="2">
        <v>1</v>
      </c>
      <c r="F364" s="2">
        <v>0.33245092784424229</v>
      </c>
      <c r="G364" s="2">
        <v>1</v>
      </c>
    </row>
    <row r="367" spans="1:7" x14ac:dyDescent="0.25">
      <c r="A367" s="1" t="s">
        <v>0</v>
      </c>
      <c r="B367" s="1" t="s">
        <v>1</v>
      </c>
      <c r="C367" s="1" t="s">
        <v>2</v>
      </c>
      <c r="D367" s="1" t="s">
        <v>3</v>
      </c>
      <c r="E367" s="1" t="s">
        <v>4</v>
      </c>
      <c r="F367" s="1" t="s">
        <v>5</v>
      </c>
      <c r="G367" s="1" t="s">
        <v>6</v>
      </c>
    </row>
    <row r="368" spans="1:7" x14ac:dyDescent="0.25">
      <c r="A368" s="2" t="s">
        <v>35</v>
      </c>
      <c r="B368" s="8" t="s">
        <v>36</v>
      </c>
      <c r="C368" s="2">
        <v>4</v>
      </c>
      <c r="D368" s="3">
        <v>624490.81179662514</v>
      </c>
      <c r="E368" s="3">
        <v>23490.718752000001</v>
      </c>
      <c r="F368" s="4">
        <v>1.927088927244758E-3</v>
      </c>
      <c r="G368" s="4">
        <v>1.8760825696850091E-3</v>
      </c>
    </row>
    <row r="369" spans="1:7" x14ac:dyDescent="0.25">
      <c r="A369" s="2" t="s">
        <v>35</v>
      </c>
      <c r="B369" s="8" t="s">
        <v>36</v>
      </c>
      <c r="C369" s="2">
        <v>3</v>
      </c>
      <c r="D369" s="3">
        <v>615005.46689121344</v>
      </c>
      <c r="E369" s="3">
        <v>18304.5266156</v>
      </c>
      <c r="F369" s="4">
        <v>2.0544865338363899E-3</v>
      </c>
      <c r="G369" s="4">
        <v>2.397692315221963E-3</v>
      </c>
    </row>
    <row r="370" spans="1:7" x14ac:dyDescent="0.25">
      <c r="A370" s="2" t="s">
        <v>35</v>
      </c>
      <c r="B370" s="8" t="s">
        <v>36</v>
      </c>
      <c r="C370" s="2">
        <v>1</v>
      </c>
      <c r="D370" s="3">
        <v>557880.96074185451</v>
      </c>
      <c r="E370" s="3">
        <v>17673.58753398</v>
      </c>
      <c r="F370" s="4">
        <v>1.2639185721094849E-3</v>
      </c>
      <c r="G370" s="4">
        <v>7.224852054202324E-4</v>
      </c>
    </row>
    <row r="371" spans="1:7" x14ac:dyDescent="0.25">
      <c r="A371" s="2" t="s">
        <v>35</v>
      </c>
      <c r="B371" s="8" t="s">
        <v>36</v>
      </c>
      <c r="C371" s="2">
        <v>2</v>
      </c>
      <c r="D371" s="3">
        <v>528936.59684355662</v>
      </c>
      <c r="E371" s="3">
        <v>14840.029964359999</v>
      </c>
      <c r="F371" s="4">
        <v>3.348617336982791E-3</v>
      </c>
      <c r="G371" s="4">
        <v>9.7700369843055682E-4</v>
      </c>
    </row>
    <row r="373" spans="1:7" x14ac:dyDescent="0.25">
      <c r="B373" s="7" t="s">
        <v>40</v>
      </c>
      <c r="D373" s="3">
        <f>AVERAGE(D368:D369)</f>
        <v>619748.13934391923</v>
      </c>
      <c r="E373" s="3">
        <f t="shared" ref="E373:G373" si="74">AVERAGE(E368:E369)</f>
        <v>20897.6226838</v>
      </c>
      <c r="F373" s="4">
        <f t="shared" si="74"/>
        <v>1.9907877305405742E-3</v>
      </c>
      <c r="G373" s="4">
        <f t="shared" si="74"/>
        <v>2.1368874424534858E-3</v>
      </c>
    </row>
    <row r="374" spans="1:7" x14ac:dyDescent="0.25">
      <c r="B374" s="7" t="s">
        <v>41</v>
      </c>
      <c r="D374" s="3">
        <f>AVERAGE(D370:D371)</f>
        <v>543408.77879270562</v>
      </c>
      <c r="E374" s="3">
        <f t="shared" ref="E374:G374" si="75">AVERAGE(E370:E371)</f>
        <v>16256.808749169999</v>
      </c>
      <c r="F374" s="4">
        <f t="shared" si="75"/>
        <v>2.3062679545461382E-3</v>
      </c>
      <c r="G374" s="4">
        <f t="shared" si="75"/>
        <v>8.4974445192539461E-4</v>
      </c>
    </row>
    <row r="376" spans="1:7" x14ac:dyDescent="0.25">
      <c r="C376" s="7" t="s">
        <v>42</v>
      </c>
      <c r="D376" s="3">
        <f>D373/D374</f>
        <v>1.1404823836685474</v>
      </c>
      <c r="E376" s="3">
        <f t="shared" ref="E376:G376" si="76">E373/E374</f>
        <v>1.2854689383527957</v>
      </c>
      <c r="F376" s="3">
        <f t="shared" si="76"/>
        <v>0.8632074718882139</v>
      </c>
      <c r="G376" s="3">
        <f t="shared" si="76"/>
        <v>2.5147412702861627</v>
      </c>
    </row>
    <row r="378" spans="1:7" x14ac:dyDescent="0.25">
      <c r="C378" s="2">
        <f>MAX(C368:C371)</f>
        <v>4</v>
      </c>
      <c r="D378" s="2">
        <f t="shared" ref="D378:G378" si="77">MAX(D368:D371)</f>
        <v>624490.81179662514</v>
      </c>
      <c r="E378" s="2">
        <f t="shared" si="77"/>
        <v>23490.718752000001</v>
      </c>
      <c r="F378" s="2">
        <f t="shared" si="77"/>
        <v>3.348617336982791E-3</v>
      </c>
      <c r="G378" s="2">
        <f t="shared" si="77"/>
        <v>2.397692315221963E-3</v>
      </c>
    </row>
    <row r="379" spans="1:7" x14ac:dyDescent="0.25">
      <c r="C379" s="10" t="s">
        <v>43</v>
      </c>
      <c r="D379" s="10" t="s">
        <v>3</v>
      </c>
      <c r="E379" s="1" t="s">
        <v>4</v>
      </c>
      <c r="F379" s="1" t="s">
        <v>5</v>
      </c>
      <c r="G379" s="1" t="s">
        <v>6</v>
      </c>
    </row>
    <row r="380" spans="1:7" x14ac:dyDescent="0.25">
      <c r="C380" s="2">
        <f>C368/C$378</f>
        <v>1</v>
      </c>
      <c r="D380" s="2">
        <f t="shared" ref="D380:G380" si="78">D368/D$378</f>
        <v>1</v>
      </c>
      <c r="E380" s="2">
        <f t="shared" si="78"/>
        <v>1</v>
      </c>
      <c r="F380" s="2">
        <f t="shared" si="78"/>
        <v>0.57548795019413157</v>
      </c>
      <c r="G380" s="2">
        <f t="shared" si="78"/>
        <v>0.78245342731197487</v>
      </c>
    </row>
    <row r="381" spans="1:7" x14ac:dyDescent="0.25">
      <c r="C381" s="2">
        <f t="shared" ref="C381:G383" si="79">C369/C$378</f>
        <v>0.75</v>
      </c>
      <c r="D381" s="2">
        <f t="shared" si="79"/>
        <v>0.98481107371600407</v>
      </c>
      <c r="E381" s="2">
        <f t="shared" si="79"/>
        <v>0.77922377807369358</v>
      </c>
      <c r="F381" s="2">
        <f t="shared" si="79"/>
        <v>0.61353278893537189</v>
      </c>
      <c r="G381" s="2">
        <f t="shared" si="79"/>
        <v>1</v>
      </c>
    </row>
    <row r="382" spans="1:7" x14ac:dyDescent="0.25">
      <c r="C382" s="2">
        <f t="shared" si="79"/>
        <v>0.25</v>
      </c>
      <c r="D382" s="2">
        <f t="shared" si="79"/>
        <v>0.89333734012332733</v>
      </c>
      <c r="E382" s="2">
        <f t="shared" si="79"/>
        <v>0.7523646986099678</v>
      </c>
      <c r="F382" s="2">
        <f t="shared" si="79"/>
        <v>0.3774449108145379</v>
      </c>
      <c r="G382" s="2">
        <f t="shared" si="79"/>
        <v>0.30132523711798664</v>
      </c>
    </row>
    <row r="383" spans="1:7" x14ac:dyDescent="0.25">
      <c r="C383" s="2">
        <f t="shared" si="79"/>
        <v>0.5</v>
      </c>
      <c r="D383" s="2">
        <f t="shared" si="79"/>
        <v>0.84698859751328548</v>
      </c>
      <c r="E383" s="2">
        <f t="shared" si="79"/>
        <v>0.63174014047980198</v>
      </c>
      <c r="F383" s="2">
        <f t="shared" si="79"/>
        <v>1</v>
      </c>
      <c r="G383" s="2">
        <f t="shared" si="79"/>
        <v>0.40747667756532474</v>
      </c>
    </row>
    <row r="385" spans="1:7" x14ac:dyDescent="0.25">
      <c r="C385" s="10" t="s">
        <v>3</v>
      </c>
      <c r="D385" s="10" t="s">
        <v>43</v>
      </c>
      <c r="E385" s="10" t="s">
        <v>4</v>
      </c>
      <c r="F385" s="10" t="s">
        <v>5</v>
      </c>
      <c r="G385" s="10" t="s">
        <v>6</v>
      </c>
    </row>
    <row r="386" spans="1:7" x14ac:dyDescent="0.25">
      <c r="C386" s="3">
        <v>0.84698859751328548</v>
      </c>
      <c r="D386" s="2">
        <v>0.5</v>
      </c>
      <c r="E386" s="2">
        <v>0.63174014047980198</v>
      </c>
      <c r="F386" s="2">
        <v>1</v>
      </c>
      <c r="G386" s="2">
        <v>0.40747667756532474</v>
      </c>
    </row>
    <row r="387" spans="1:7" x14ac:dyDescent="0.25">
      <c r="C387" s="3">
        <v>0.89333734012332733</v>
      </c>
      <c r="D387" s="2">
        <v>0.25</v>
      </c>
      <c r="E387" s="2">
        <v>0.7523646986099678</v>
      </c>
      <c r="F387" s="2">
        <v>0.3774449108145379</v>
      </c>
      <c r="G387" s="2">
        <v>0.30132523711798664</v>
      </c>
    </row>
    <row r="388" spans="1:7" x14ac:dyDescent="0.25">
      <c r="C388" s="3">
        <v>0.98481107371600407</v>
      </c>
      <c r="D388" s="2">
        <v>0.75</v>
      </c>
      <c r="E388" s="2">
        <v>0.77922377807369358</v>
      </c>
      <c r="F388" s="2">
        <v>0.61353278893537189</v>
      </c>
      <c r="G388" s="2">
        <v>1</v>
      </c>
    </row>
    <row r="389" spans="1:7" x14ac:dyDescent="0.25">
      <c r="C389" s="3">
        <v>1</v>
      </c>
      <c r="D389" s="2">
        <v>1</v>
      </c>
      <c r="E389" s="2">
        <v>1</v>
      </c>
      <c r="F389" s="2">
        <v>0.57548795019413157</v>
      </c>
      <c r="G389" s="2">
        <v>0.78245342731197487</v>
      </c>
    </row>
    <row r="392" spans="1:7" x14ac:dyDescent="0.25">
      <c r="A392" s="1" t="s">
        <v>0</v>
      </c>
      <c r="B392" s="1" t="s">
        <v>1</v>
      </c>
      <c r="C392" s="1" t="s">
        <v>2</v>
      </c>
      <c r="D392" s="1" t="s">
        <v>3</v>
      </c>
      <c r="E392" s="1" t="s">
        <v>4</v>
      </c>
      <c r="F392" s="1" t="s">
        <v>5</v>
      </c>
      <c r="G392" s="1" t="s">
        <v>6</v>
      </c>
    </row>
    <row r="393" spans="1:7" x14ac:dyDescent="0.25">
      <c r="A393" s="2" t="s">
        <v>37</v>
      </c>
      <c r="B393" s="8" t="s">
        <v>38</v>
      </c>
      <c r="C393" s="2">
        <v>1</v>
      </c>
      <c r="D393" s="3">
        <v>496312.33844584553</v>
      </c>
      <c r="E393" s="3">
        <v>6058.6276942799996</v>
      </c>
      <c r="F393" s="4">
        <v>1.149126975828702E-3</v>
      </c>
      <c r="G393" s="4">
        <v>4.3326889923906344E-3</v>
      </c>
    </row>
    <row r="394" spans="1:7" x14ac:dyDescent="0.25">
      <c r="A394" s="5" t="s">
        <v>37</v>
      </c>
      <c r="B394" s="9" t="s">
        <v>38</v>
      </c>
      <c r="C394" s="5">
        <v>3</v>
      </c>
      <c r="D394" s="3">
        <v>481190.63450056087</v>
      </c>
      <c r="E394" s="3">
        <v>5659.2905294400007</v>
      </c>
      <c r="F394" s="4">
        <v>2.7642536319032169E-4</v>
      </c>
      <c r="G394" s="4">
        <v>2.609783923120391E-3</v>
      </c>
    </row>
    <row r="395" spans="1:7" x14ac:dyDescent="0.25">
      <c r="A395" s="2" t="s">
        <v>37</v>
      </c>
      <c r="B395" s="8" t="s">
        <v>38</v>
      </c>
      <c r="C395" s="2">
        <v>2</v>
      </c>
      <c r="D395" s="3">
        <v>463554.2380744408</v>
      </c>
      <c r="E395" s="3">
        <v>6405.1162323599992</v>
      </c>
      <c r="F395" s="4">
        <v>1.36542870460566E-3</v>
      </c>
      <c r="G395" s="4">
        <v>1.06191448730258E-3</v>
      </c>
    </row>
    <row r="396" spans="1:7" x14ac:dyDescent="0.25">
      <c r="A396" s="2" t="s">
        <v>37</v>
      </c>
      <c r="B396" s="8" t="s">
        <v>38</v>
      </c>
      <c r="C396" s="2">
        <v>4</v>
      </c>
      <c r="D396" s="3">
        <v>463215.01884109463</v>
      </c>
      <c r="E396" s="3">
        <v>6600.4823040000001</v>
      </c>
      <c r="F396" s="4">
        <v>1.0184783005820781E-3</v>
      </c>
      <c r="G396" s="4">
        <v>1.1952508372333631E-3</v>
      </c>
    </row>
    <row r="398" spans="1:7" x14ac:dyDescent="0.25">
      <c r="B398" s="7" t="s">
        <v>40</v>
      </c>
      <c r="D398" s="3">
        <f>AVERAGE(D393:D394)</f>
        <v>488751.48647320317</v>
      </c>
      <c r="E398" s="3">
        <f t="shared" ref="E398:G398" si="80">AVERAGE(E393:E394)</f>
        <v>5858.9591118600001</v>
      </c>
      <c r="F398" s="4">
        <f t="shared" si="80"/>
        <v>7.1277616950951182E-4</v>
      </c>
      <c r="G398" s="4">
        <f t="shared" si="80"/>
        <v>3.4712364577555127E-3</v>
      </c>
    </row>
    <row r="399" spans="1:7" x14ac:dyDescent="0.25">
      <c r="B399" s="7" t="s">
        <v>41</v>
      </c>
      <c r="D399" s="3">
        <f>AVERAGE(D395:D396)</f>
        <v>463384.62845776771</v>
      </c>
      <c r="E399" s="3">
        <f t="shared" ref="E399:G399" si="81">AVERAGE(E395:E396)</f>
        <v>6502.7992681799997</v>
      </c>
      <c r="F399" s="4">
        <f t="shared" si="81"/>
        <v>1.191953502593869E-3</v>
      </c>
      <c r="G399" s="4">
        <f t="shared" si="81"/>
        <v>1.1285826622679715E-3</v>
      </c>
    </row>
    <row r="401" spans="3:7" x14ac:dyDescent="0.25">
      <c r="C401" s="7" t="s">
        <v>42</v>
      </c>
      <c r="D401" s="3">
        <f>D398/D399</f>
        <v>1.0547425539337831</v>
      </c>
      <c r="E401" s="3">
        <f t="shared" ref="E401:G401" si="82">E398/E399</f>
        <v>0.9009903074402914</v>
      </c>
      <c r="F401" s="3">
        <f t="shared" si="82"/>
        <v>0.59798991148430225</v>
      </c>
      <c r="G401" s="3">
        <f t="shared" si="82"/>
        <v>3.0757485240645135</v>
      </c>
    </row>
    <row r="403" spans="3:7" x14ac:dyDescent="0.25">
      <c r="C403" s="2">
        <f>MAX(C393:C396)</f>
        <v>4</v>
      </c>
      <c r="D403" s="2">
        <f t="shared" ref="D403:G403" si="83">MAX(D393:D396)</f>
        <v>496312.33844584553</v>
      </c>
      <c r="E403" s="2">
        <f t="shared" si="83"/>
        <v>6600.4823040000001</v>
      </c>
      <c r="F403" s="2">
        <f t="shared" si="83"/>
        <v>1.36542870460566E-3</v>
      </c>
      <c r="G403" s="2">
        <f t="shared" si="83"/>
        <v>4.3326889923906344E-3</v>
      </c>
    </row>
    <row r="404" spans="3:7" x14ac:dyDescent="0.25">
      <c r="C404" s="10" t="s">
        <v>43</v>
      </c>
      <c r="D404" s="10" t="s">
        <v>3</v>
      </c>
      <c r="E404" s="1" t="s">
        <v>4</v>
      </c>
      <c r="F404" s="1" t="s">
        <v>5</v>
      </c>
      <c r="G404" s="1" t="s">
        <v>6</v>
      </c>
    </row>
    <row r="405" spans="3:7" x14ac:dyDescent="0.25">
      <c r="C405" s="2">
        <f>C393/C$403</f>
        <v>0.25</v>
      </c>
      <c r="D405" s="2">
        <f t="shared" ref="D405:G405" si="84">D393/D$403</f>
        <v>1</v>
      </c>
      <c r="E405" s="2">
        <f t="shared" si="84"/>
        <v>0.91790681578047295</v>
      </c>
      <c r="F405" s="2">
        <f t="shared" si="84"/>
        <v>0.84158694771293341</v>
      </c>
      <c r="G405" s="2">
        <f t="shared" si="84"/>
        <v>1</v>
      </c>
    </row>
    <row r="406" spans="3:7" x14ac:dyDescent="0.25">
      <c r="C406" s="2">
        <f t="shared" ref="C406:G408" si="85">C394/C$403</f>
        <v>0.75</v>
      </c>
      <c r="D406" s="2">
        <f t="shared" si="85"/>
        <v>0.96953187987903577</v>
      </c>
      <c r="E406" s="2">
        <f t="shared" si="85"/>
        <v>0.85740560595251925</v>
      </c>
      <c r="F406" s="2">
        <f t="shared" si="85"/>
        <v>0.20244584155725229</v>
      </c>
      <c r="G406" s="2">
        <f t="shared" si="85"/>
        <v>0.60234739389415504</v>
      </c>
    </row>
    <row r="407" spans="3:7" x14ac:dyDescent="0.25">
      <c r="C407" s="2">
        <f t="shared" si="85"/>
        <v>0.5</v>
      </c>
      <c r="D407" s="2">
        <f t="shared" si="85"/>
        <v>0.93399700584921264</v>
      </c>
      <c r="E407" s="2">
        <f t="shared" si="85"/>
        <v>0.97040124302407327</v>
      </c>
      <c r="F407" s="2">
        <f t="shared" si="85"/>
        <v>1</v>
      </c>
      <c r="G407" s="2">
        <f t="shared" si="85"/>
        <v>0.24509363334584758</v>
      </c>
    </row>
    <row r="408" spans="3:7" x14ac:dyDescent="0.25">
      <c r="C408" s="2">
        <f t="shared" si="85"/>
        <v>1</v>
      </c>
      <c r="D408" s="2">
        <f t="shared" si="85"/>
        <v>0.93331352650149302</v>
      </c>
      <c r="E408" s="2">
        <f t="shared" si="85"/>
        <v>1</v>
      </c>
      <c r="F408" s="2">
        <f t="shared" si="85"/>
        <v>0.7459036836904771</v>
      </c>
      <c r="G408" s="2">
        <f t="shared" si="85"/>
        <v>0.27586813623884487</v>
      </c>
    </row>
    <row r="410" spans="3:7" x14ac:dyDescent="0.25">
      <c r="C410" s="10" t="s">
        <v>3</v>
      </c>
      <c r="D410" s="10" t="s">
        <v>43</v>
      </c>
      <c r="E410" s="10" t="s">
        <v>4</v>
      </c>
      <c r="F410" s="10" t="s">
        <v>5</v>
      </c>
      <c r="G410" s="10" t="s">
        <v>6</v>
      </c>
    </row>
    <row r="411" spans="3:7" x14ac:dyDescent="0.25">
      <c r="C411" s="3">
        <v>0.93331352650149302</v>
      </c>
      <c r="D411" s="2">
        <v>1</v>
      </c>
      <c r="E411" s="2">
        <v>1</v>
      </c>
      <c r="F411" s="2">
        <v>0.7459036836904771</v>
      </c>
      <c r="G411" s="2">
        <v>0.27586813623884487</v>
      </c>
    </row>
    <row r="412" spans="3:7" x14ac:dyDescent="0.25">
      <c r="C412" s="3">
        <v>0.93399700584921264</v>
      </c>
      <c r="D412" s="2">
        <v>0.5</v>
      </c>
      <c r="E412" s="2">
        <v>0.97040124302407327</v>
      </c>
      <c r="F412" s="2">
        <v>1</v>
      </c>
      <c r="G412" s="2">
        <v>0.24509363334584758</v>
      </c>
    </row>
    <row r="413" spans="3:7" x14ac:dyDescent="0.25">
      <c r="C413" s="3">
        <v>0.96953187987903577</v>
      </c>
      <c r="D413" s="2">
        <v>0.75</v>
      </c>
      <c r="E413" s="2">
        <v>0.85740560595251925</v>
      </c>
      <c r="F413" s="2">
        <v>0.20244584155725229</v>
      </c>
      <c r="G413" s="2">
        <v>0.60234739389415504</v>
      </c>
    </row>
    <row r="414" spans="3:7" x14ac:dyDescent="0.25">
      <c r="C414" s="3">
        <v>1</v>
      </c>
      <c r="D414" s="2">
        <v>0.25</v>
      </c>
      <c r="E414" s="2">
        <v>0.91790681578047295</v>
      </c>
      <c r="F414" s="2">
        <v>0.84158694771293341</v>
      </c>
      <c r="G414" s="2">
        <v>1</v>
      </c>
    </row>
    <row r="415" spans="3:7" x14ac:dyDescent="0.25">
      <c r="C415" s="2"/>
      <c r="D415" s="2"/>
      <c r="E415" s="2"/>
      <c r="F415" s="2"/>
      <c r="G415" s="2"/>
    </row>
  </sheetData>
  <conditionalFormatting sqref="D2:D62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9:D172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9:E172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9:F172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9:G172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4:D175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4:E17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4:F17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4:G175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4:D197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4:E197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4:F197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4:G197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9:D200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9:E200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9:F20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9:G200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9:D222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9:E222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9:F222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9:G222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4:D225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4:E22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4:F225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4:G225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4:D247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4:E247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4:F247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4:G247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D250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9:E250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250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250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2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2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2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4:D275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4:E275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4:F275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4:G275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6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6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6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6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8:D299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8:E299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8:F299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8:G299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8:D321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8:E321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8:F321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8:G321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3:D32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23:E32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23:F32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23:G32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3:D34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3:E34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3:F34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3:G34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8:D3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8:E34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8:F34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8:G34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8:D37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8:E371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8:F37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8:G37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3:D37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3:E374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3:F37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3:G37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3:D39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3:E39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3:F39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3:G39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8:D39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8:E39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8:F39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8:G39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Original</vt:lpstr>
      <vt:lpstr>Only best</vt:lpstr>
      <vt:lpstr>Best|Worst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2026-05-14T07:10:32Z</dcterms:created>
  <dcterms:modified xsi:type="dcterms:W3CDTF">2026-05-26T11:30:18Z</dcterms:modified>
</cp:coreProperties>
</file>