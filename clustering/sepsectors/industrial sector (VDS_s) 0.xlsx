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minimized="1" xWindow="0" yWindow="0" windowWidth="28800" windowHeight="12885" activeTab="2"/>
  </bookViews>
  <sheets>
    <sheet name="Original" sheetId="1" r:id="rId1"/>
    <sheet name="Only best" sheetId="3" r:id="rId2"/>
    <sheet name="Best|Worst" sheetId="4" r:id="rId3"/>
  </sheets>
  <definedNames>
    <definedName name="_xlnm._FilterDatabase" localSheetId="2" hidden="1">'Best|Worst'!$C$305:$G$309</definedName>
    <definedName name="_xlnm._FilterDatabase" localSheetId="1" hidden="1">'Only best'!$C$310:$G$314</definedName>
    <definedName name="_xlnm._FilterDatabase" localSheetId="0" hidden="1">Original!$C$310:$G$314</definedName>
  </definedNames>
  <calcPr calcId="162913"/>
</workbook>
</file>

<file path=xl/calcChain.xml><?xml version="1.0" encoding="utf-8"?>
<calcChain xmlns="http://schemas.openxmlformats.org/spreadsheetml/2006/main">
  <c r="L123" i="4" l="1"/>
  <c r="K123" i="4"/>
  <c r="L420" i="4" l="1"/>
  <c r="K420" i="4"/>
  <c r="L396" i="4"/>
  <c r="K396" i="4"/>
  <c r="L372" i="4"/>
  <c r="K372" i="4"/>
  <c r="L348" i="4"/>
  <c r="K348" i="4"/>
  <c r="L324" i="4"/>
  <c r="K324" i="4"/>
  <c r="L300" i="4"/>
  <c r="K300" i="4"/>
  <c r="K252" i="4"/>
  <c r="L276" i="4"/>
  <c r="K276" i="4"/>
  <c r="L252" i="4"/>
  <c r="L228" i="4"/>
  <c r="K228" i="4"/>
  <c r="L204" i="4"/>
  <c r="K204" i="4"/>
  <c r="L180" i="4"/>
  <c r="K180" i="4"/>
  <c r="L156" i="4"/>
  <c r="K156" i="4"/>
  <c r="L132" i="4"/>
  <c r="K132" i="4"/>
  <c r="K108" i="4"/>
  <c r="L108" i="4"/>
  <c r="G394" i="4" l="1"/>
  <c r="G399" i="4" s="1"/>
  <c r="F394" i="4"/>
  <c r="F396" i="4" s="1"/>
  <c r="E394" i="4"/>
  <c r="E396" i="4" s="1"/>
  <c r="D394" i="4"/>
  <c r="D398" i="4" s="1"/>
  <c r="C394" i="4"/>
  <c r="C398" i="4" s="1"/>
  <c r="G390" i="4"/>
  <c r="F390" i="4"/>
  <c r="E390" i="4"/>
  <c r="D390" i="4"/>
  <c r="G389" i="4"/>
  <c r="F389" i="4"/>
  <c r="F392" i="4" s="1"/>
  <c r="E389" i="4"/>
  <c r="E392" i="4" s="1"/>
  <c r="D389" i="4"/>
  <c r="D392" i="4" s="1"/>
  <c r="G373" i="4"/>
  <c r="G372" i="4"/>
  <c r="E372" i="4"/>
  <c r="G370" i="4"/>
  <c r="G374" i="4" s="1"/>
  <c r="F370" i="4"/>
  <c r="F373" i="4" s="1"/>
  <c r="E370" i="4"/>
  <c r="E373" i="4" s="1"/>
  <c r="D370" i="4"/>
  <c r="D375" i="4" s="1"/>
  <c r="C370" i="4"/>
  <c r="C372" i="4" s="1"/>
  <c r="G366" i="4"/>
  <c r="F366" i="4"/>
  <c r="E366" i="4"/>
  <c r="D366" i="4"/>
  <c r="G365" i="4"/>
  <c r="G368" i="4" s="1"/>
  <c r="F365" i="4"/>
  <c r="F368" i="4" s="1"/>
  <c r="E365" i="4"/>
  <c r="E368" i="4" s="1"/>
  <c r="D365" i="4"/>
  <c r="D368" i="4" s="1"/>
  <c r="E351" i="4"/>
  <c r="G349" i="4"/>
  <c r="E349" i="4"/>
  <c r="G346" i="4"/>
  <c r="G348" i="4" s="1"/>
  <c r="F346" i="4"/>
  <c r="F350" i="4" s="1"/>
  <c r="E346" i="4"/>
  <c r="E350" i="4" s="1"/>
  <c r="D346" i="4"/>
  <c r="D350" i="4" s="1"/>
  <c r="C346" i="4"/>
  <c r="C349" i="4" s="1"/>
  <c r="G342" i="4"/>
  <c r="F342" i="4"/>
  <c r="E342" i="4"/>
  <c r="D342" i="4"/>
  <c r="G341" i="4"/>
  <c r="G344" i="4" s="1"/>
  <c r="F341" i="4"/>
  <c r="F344" i="4" s="1"/>
  <c r="E341" i="4"/>
  <c r="E344" i="4" s="1"/>
  <c r="D341" i="4"/>
  <c r="D344" i="4" s="1"/>
  <c r="G327" i="4"/>
  <c r="G326" i="4"/>
  <c r="G322" i="4"/>
  <c r="G325" i="4" s="1"/>
  <c r="F322" i="4"/>
  <c r="F327" i="4" s="1"/>
  <c r="E322" i="4"/>
  <c r="E324" i="4" s="1"/>
  <c r="D322" i="4"/>
  <c r="D324" i="4" s="1"/>
  <c r="C322" i="4"/>
  <c r="C326" i="4" s="1"/>
  <c r="G318" i="4"/>
  <c r="F318" i="4"/>
  <c r="E318" i="4"/>
  <c r="D318" i="4"/>
  <c r="G317" i="4"/>
  <c r="G320" i="4" s="1"/>
  <c r="F317" i="4"/>
  <c r="F320" i="4" s="1"/>
  <c r="E317" i="4"/>
  <c r="E320" i="4" s="1"/>
  <c r="D317" i="4"/>
  <c r="D320" i="4" s="1"/>
  <c r="G303" i="4"/>
  <c r="D302" i="4"/>
  <c r="G298" i="4"/>
  <c r="G302" i="4" s="1"/>
  <c r="F298" i="4"/>
  <c r="F302" i="4" s="1"/>
  <c r="E298" i="4"/>
  <c r="E301" i="4" s="1"/>
  <c r="D298" i="4"/>
  <c r="D301" i="4" s="1"/>
  <c r="C298" i="4"/>
  <c r="C303" i="4" s="1"/>
  <c r="G294" i="4"/>
  <c r="F294" i="4"/>
  <c r="E294" i="4"/>
  <c r="D294" i="4"/>
  <c r="G293" i="4"/>
  <c r="G296" i="4" s="1"/>
  <c r="F293" i="4"/>
  <c r="F296" i="4" s="1"/>
  <c r="E293" i="4"/>
  <c r="E296" i="4" s="1"/>
  <c r="D293" i="4"/>
  <c r="D296" i="4" s="1"/>
  <c r="D279" i="4"/>
  <c r="D277" i="4"/>
  <c r="C276" i="4"/>
  <c r="G274" i="4"/>
  <c r="G276" i="4" s="1"/>
  <c r="F274" i="4"/>
  <c r="F276" i="4" s="1"/>
  <c r="E274" i="4"/>
  <c r="E278" i="4" s="1"/>
  <c r="D274" i="4"/>
  <c r="D278" i="4" s="1"/>
  <c r="C274" i="4"/>
  <c r="C278" i="4" s="1"/>
  <c r="G270" i="4"/>
  <c r="F270" i="4"/>
  <c r="E270" i="4"/>
  <c r="D270" i="4"/>
  <c r="G269" i="4"/>
  <c r="G272" i="4" s="1"/>
  <c r="F269" i="4"/>
  <c r="F272" i="4" s="1"/>
  <c r="E269" i="4"/>
  <c r="D269" i="4"/>
  <c r="D272" i="4" s="1"/>
  <c r="F254" i="4"/>
  <c r="C253" i="4"/>
  <c r="F252" i="4"/>
  <c r="G250" i="4"/>
  <c r="G253" i="4" s="1"/>
  <c r="F250" i="4"/>
  <c r="F253" i="4" s="1"/>
  <c r="E250" i="4"/>
  <c r="E255" i="4" s="1"/>
  <c r="D250" i="4"/>
  <c r="D252" i="4" s="1"/>
  <c r="C250" i="4"/>
  <c r="C252" i="4" s="1"/>
  <c r="G246" i="4"/>
  <c r="F246" i="4"/>
  <c r="E246" i="4"/>
  <c r="D246" i="4"/>
  <c r="G245" i="4"/>
  <c r="F245" i="4"/>
  <c r="F248" i="4" s="1"/>
  <c r="E245" i="4"/>
  <c r="E248" i="4" s="1"/>
  <c r="D245" i="4"/>
  <c r="D231" i="4"/>
  <c r="C230" i="4"/>
  <c r="E228" i="4"/>
  <c r="D228" i="4"/>
  <c r="C228" i="4"/>
  <c r="G226" i="4"/>
  <c r="G230" i="4" s="1"/>
  <c r="F226" i="4"/>
  <c r="F230" i="4" s="1"/>
  <c r="E226" i="4"/>
  <c r="E230" i="4" s="1"/>
  <c r="D226" i="4"/>
  <c r="D229" i="4" s="1"/>
  <c r="C226" i="4"/>
  <c r="C229" i="4" s="1"/>
  <c r="G222" i="4"/>
  <c r="F222" i="4"/>
  <c r="E222" i="4"/>
  <c r="D222" i="4"/>
  <c r="G221" i="4"/>
  <c r="F221" i="4"/>
  <c r="F224" i="4" s="1"/>
  <c r="E221" i="4"/>
  <c r="D221" i="4"/>
  <c r="D224" i="4" s="1"/>
  <c r="D205" i="4"/>
  <c r="G202" i="4"/>
  <c r="G207" i="4" s="1"/>
  <c r="F202" i="4"/>
  <c r="F204" i="4" s="1"/>
  <c r="E202" i="4"/>
  <c r="E204" i="4" s="1"/>
  <c r="D202" i="4"/>
  <c r="D206" i="4" s="1"/>
  <c r="C202" i="4"/>
  <c r="C206" i="4" s="1"/>
  <c r="G198" i="4"/>
  <c r="F198" i="4"/>
  <c r="E198" i="4"/>
  <c r="D198" i="4"/>
  <c r="G197" i="4"/>
  <c r="G200" i="4" s="1"/>
  <c r="F197" i="4"/>
  <c r="E197" i="4"/>
  <c r="E200" i="4" s="1"/>
  <c r="D197" i="4"/>
  <c r="D200" i="4" s="1"/>
  <c r="G183" i="4"/>
  <c r="G180" i="4"/>
  <c r="G178" i="4"/>
  <c r="G182" i="4" s="1"/>
  <c r="F178" i="4"/>
  <c r="F181" i="4" s="1"/>
  <c r="E178" i="4"/>
  <c r="E181" i="4" s="1"/>
  <c r="D178" i="4"/>
  <c r="D183" i="4" s="1"/>
  <c r="C178" i="4"/>
  <c r="C180" i="4" s="1"/>
  <c r="G174" i="4"/>
  <c r="F174" i="4"/>
  <c r="E174" i="4"/>
  <c r="D174" i="4"/>
  <c r="G173" i="4"/>
  <c r="G176" i="4" s="1"/>
  <c r="F173" i="4"/>
  <c r="F176" i="4" s="1"/>
  <c r="E173" i="4"/>
  <c r="E176" i="4" s="1"/>
  <c r="D173" i="4"/>
  <c r="D176" i="4" s="1"/>
  <c r="E159" i="4"/>
  <c r="D159" i="4"/>
  <c r="C159" i="4"/>
  <c r="G157" i="4"/>
  <c r="F157" i="4"/>
  <c r="E157" i="4"/>
  <c r="D156" i="4"/>
  <c r="C156" i="4"/>
  <c r="G154" i="4"/>
  <c r="G156" i="4" s="1"/>
  <c r="F154" i="4"/>
  <c r="F158" i="4" s="1"/>
  <c r="E154" i="4"/>
  <c r="E158" i="4" s="1"/>
  <c r="D154" i="4"/>
  <c r="D158" i="4" s="1"/>
  <c r="C154" i="4"/>
  <c r="C157" i="4" s="1"/>
  <c r="G150" i="4"/>
  <c r="F150" i="4"/>
  <c r="E150" i="4"/>
  <c r="D150" i="4"/>
  <c r="G149" i="4"/>
  <c r="G152" i="4" s="1"/>
  <c r="F149" i="4"/>
  <c r="F152" i="4" s="1"/>
  <c r="E149" i="4"/>
  <c r="E152" i="4" s="1"/>
  <c r="D149" i="4"/>
  <c r="D152" i="4" s="1"/>
  <c r="G134" i="4"/>
  <c r="D133" i="4"/>
  <c r="G132" i="4"/>
  <c r="G130" i="4"/>
  <c r="G133" i="4" s="1"/>
  <c r="F130" i="4"/>
  <c r="F135" i="4" s="1"/>
  <c r="E130" i="4"/>
  <c r="E132" i="4" s="1"/>
  <c r="D130" i="4"/>
  <c r="D132" i="4" s="1"/>
  <c r="C130" i="4"/>
  <c r="G126" i="4"/>
  <c r="F126" i="4"/>
  <c r="E126" i="4"/>
  <c r="D126" i="4"/>
  <c r="G125" i="4"/>
  <c r="G128" i="4" s="1"/>
  <c r="F125" i="4"/>
  <c r="F128" i="4" s="1"/>
  <c r="E125" i="4"/>
  <c r="E128" i="4" s="1"/>
  <c r="D125" i="4"/>
  <c r="D128" i="4" s="1"/>
  <c r="G106" i="4"/>
  <c r="G110" i="4" s="1"/>
  <c r="F106" i="4"/>
  <c r="F110" i="4" s="1"/>
  <c r="E106" i="4"/>
  <c r="E110" i="4" s="1"/>
  <c r="D106" i="4"/>
  <c r="D110" i="4" s="1"/>
  <c r="C106" i="4"/>
  <c r="G102" i="4"/>
  <c r="F102" i="4"/>
  <c r="E102" i="4"/>
  <c r="D102" i="4"/>
  <c r="G101" i="4"/>
  <c r="G104" i="4" s="1"/>
  <c r="F101" i="4"/>
  <c r="F104" i="4" s="1"/>
  <c r="E101" i="4"/>
  <c r="E104" i="4" s="1"/>
  <c r="D101" i="4"/>
  <c r="D104" i="4" s="1"/>
  <c r="G87" i="4"/>
  <c r="E86" i="4"/>
  <c r="G84" i="4"/>
  <c r="F84" i="4"/>
  <c r="G82" i="4"/>
  <c r="G86" i="4" s="1"/>
  <c r="F82" i="4"/>
  <c r="F85" i="4" s="1"/>
  <c r="E82" i="4"/>
  <c r="E85" i="4" s="1"/>
  <c r="D82" i="4"/>
  <c r="D87" i="4" s="1"/>
  <c r="C82" i="4"/>
  <c r="C134" i="4" s="1"/>
  <c r="G78" i="4"/>
  <c r="F78" i="4"/>
  <c r="E78" i="4"/>
  <c r="D78" i="4"/>
  <c r="G77" i="4"/>
  <c r="G80" i="4" s="1"/>
  <c r="F77" i="4"/>
  <c r="F80" i="4" s="1"/>
  <c r="E77" i="4"/>
  <c r="E80" i="4" s="1"/>
  <c r="D77" i="4"/>
  <c r="D80" i="4" s="1"/>
  <c r="G67" i="4"/>
  <c r="F67" i="4"/>
  <c r="E67" i="4"/>
  <c r="D67" i="4"/>
  <c r="G66" i="4"/>
  <c r="G69" i="4" s="1"/>
  <c r="F66" i="4"/>
  <c r="F69" i="4" s="1"/>
  <c r="E66" i="4"/>
  <c r="E69" i="4" s="1"/>
  <c r="D66" i="4"/>
  <c r="D69" i="4" s="1"/>
  <c r="D64" i="4"/>
  <c r="G408" i="3"/>
  <c r="F408" i="3"/>
  <c r="F407" i="3"/>
  <c r="D407" i="3"/>
  <c r="F406" i="3"/>
  <c r="F405" i="3"/>
  <c r="E405" i="3"/>
  <c r="D405" i="3"/>
  <c r="G403" i="3"/>
  <c r="G406" i="3" s="1"/>
  <c r="F403" i="3"/>
  <c r="E403" i="3"/>
  <c r="E408" i="3" s="1"/>
  <c r="D403" i="3"/>
  <c r="D408" i="3" s="1"/>
  <c r="C403" i="3"/>
  <c r="C407" i="3" s="1"/>
  <c r="G399" i="3"/>
  <c r="F399" i="3"/>
  <c r="E399" i="3"/>
  <c r="D399" i="3"/>
  <c r="G398" i="3"/>
  <c r="G401" i="3" s="1"/>
  <c r="F398" i="3"/>
  <c r="F401" i="3" s="1"/>
  <c r="E398" i="3"/>
  <c r="E401" i="3" s="1"/>
  <c r="D398" i="3"/>
  <c r="D401" i="3" s="1"/>
  <c r="F383" i="3"/>
  <c r="D383" i="3"/>
  <c r="C383" i="3"/>
  <c r="E382" i="3"/>
  <c r="C382" i="3"/>
  <c r="F381" i="3"/>
  <c r="E381" i="3"/>
  <c r="E380" i="3"/>
  <c r="C380" i="3"/>
  <c r="G378" i="3"/>
  <c r="G382" i="3" s="1"/>
  <c r="F378" i="3"/>
  <c r="F382" i="3" s="1"/>
  <c r="E378" i="3"/>
  <c r="E383" i="3" s="1"/>
  <c r="D378" i="3"/>
  <c r="D381" i="3" s="1"/>
  <c r="C378" i="3"/>
  <c r="C381" i="3" s="1"/>
  <c r="G374" i="3"/>
  <c r="F374" i="3"/>
  <c r="E374" i="3"/>
  <c r="D374" i="3"/>
  <c r="G373" i="3"/>
  <c r="G376" i="3" s="1"/>
  <c r="F373" i="3"/>
  <c r="F376" i="3" s="1"/>
  <c r="E373" i="3"/>
  <c r="E376" i="3" s="1"/>
  <c r="D373" i="3"/>
  <c r="D376" i="3" s="1"/>
  <c r="C358" i="3"/>
  <c r="F357" i="3"/>
  <c r="C356" i="3"/>
  <c r="G355" i="3"/>
  <c r="F355" i="3"/>
  <c r="G353" i="3"/>
  <c r="G358" i="3" s="1"/>
  <c r="F353" i="3"/>
  <c r="F358" i="3" s="1"/>
  <c r="E353" i="3"/>
  <c r="E357" i="3" s="1"/>
  <c r="D353" i="3"/>
  <c r="D357" i="3" s="1"/>
  <c r="C353" i="3"/>
  <c r="C357" i="3" s="1"/>
  <c r="G349" i="3"/>
  <c r="F349" i="3"/>
  <c r="E349" i="3"/>
  <c r="D349" i="3"/>
  <c r="G348" i="3"/>
  <c r="G351" i="3" s="1"/>
  <c r="F348" i="3"/>
  <c r="F351" i="3" s="1"/>
  <c r="E348" i="3"/>
  <c r="E351" i="3" s="1"/>
  <c r="D348" i="3"/>
  <c r="D351" i="3" s="1"/>
  <c r="F333" i="3"/>
  <c r="E333" i="3"/>
  <c r="G332" i="3"/>
  <c r="E332" i="3"/>
  <c r="C332" i="3"/>
  <c r="G331" i="3"/>
  <c r="G330" i="3"/>
  <c r="E330" i="3"/>
  <c r="D330" i="3"/>
  <c r="C330" i="3"/>
  <c r="G328" i="3"/>
  <c r="G333" i="3" s="1"/>
  <c r="F328" i="3"/>
  <c r="F331" i="3" s="1"/>
  <c r="E328" i="3"/>
  <c r="E331" i="3" s="1"/>
  <c r="D328" i="3"/>
  <c r="D333" i="3" s="1"/>
  <c r="C328" i="3"/>
  <c r="C333" i="3" s="1"/>
  <c r="G324" i="3"/>
  <c r="F324" i="3"/>
  <c r="E324" i="3"/>
  <c r="D324" i="3"/>
  <c r="G323" i="3"/>
  <c r="G326" i="3" s="1"/>
  <c r="F323" i="3"/>
  <c r="F326" i="3" s="1"/>
  <c r="E323" i="3"/>
  <c r="E326" i="3" s="1"/>
  <c r="D323" i="3"/>
  <c r="D326" i="3" s="1"/>
  <c r="E308" i="3"/>
  <c r="C308" i="3"/>
  <c r="D307" i="3"/>
  <c r="E306" i="3"/>
  <c r="D306" i="3"/>
  <c r="D305" i="3"/>
  <c r="G303" i="3"/>
  <c r="G307" i="3" s="1"/>
  <c r="F303" i="3"/>
  <c r="F307" i="3" s="1"/>
  <c r="E303" i="3"/>
  <c r="E307" i="3" s="1"/>
  <c r="D303" i="3"/>
  <c r="D308" i="3" s="1"/>
  <c r="C303" i="3"/>
  <c r="C306" i="3" s="1"/>
  <c r="G299" i="3"/>
  <c r="F299" i="3"/>
  <c r="E299" i="3"/>
  <c r="D299" i="3"/>
  <c r="G298" i="3"/>
  <c r="G301" i="3" s="1"/>
  <c r="F298" i="3"/>
  <c r="F301" i="3" s="1"/>
  <c r="E298" i="3"/>
  <c r="E301" i="3" s="1"/>
  <c r="D298" i="3"/>
  <c r="D301" i="3" s="1"/>
  <c r="G284" i="3"/>
  <c r="G283" i="3"/>
  <c r="E283" i="3"/>
  <c r="G281" i="3"/>
  <c r="F281" i="3"/>
  <c r="E281" i="3"/>
  <c r="G279" i="3"/>
  <c r="G282" i="3" s="1"/>
  <c r="F279" i="3"/>
  <c r="F284" i="3" s="1"/>
  <c r="E279" i="3"/>
  <c r="E284" i="3" s="1"/>
  <c r="D279" i="3"/>
  <c r="D283" i="3" s="1"/>
  <c r="C279" i="3"/>
  <c r="C283" i="3" s="1"/>
  <c r="G275" i="3"/>
  <c r="F275" i="3"/>
  <c r="E275" i="3"/>
  <c r="D275" i="3"/>
  <c r="G274" i="3"/>
  <c r="G277" i="3" s="1"/>
  <c r="F274" i="3"/>
  <c r="F277" i="3" s="1"/>
  <c r="E274" i="3"/>
  <c r="E277" i="3" s="1"/>
  <c r="D274" i="3"/>
  <c r="D277" i="3" s="1"/>
  <c r="G259" i="3"/>
  <c r="E259" i="3"/>
  <c r="D259" i="3"/>
  <c r="F258" i="3"/>
  <c r="D258" i="3"/>
  <c r="G257" i="3"/>
  <c r="F257" i="3"/>
  <c r="F256" i="3"/>
  <c r="D256" i="3"/>
  <c r="C256" i="3"/>
  <c r="G254" i="3"/>
  <c r="G258" i="3" s="1"/>
  <c r="F254" i="3"/>
  <c r="F259" i="3" s="1"/>
  <c r="E254" i="3"/>
  <c r="E257" i="3" s="1"/>
  <c r="D254" i="3"/>
  <c r="D257" i="3" s="1"/>
  <c r="C254" i="3"/>
  <c r="C259" i="3" s="1"/>
  <c r="G250" i="3"/>
  <c r="F250" i="3"/>
  <c r="E250" i="3"/>
  <c r="D250" i="3"/>
  <c r="G249" i="3"/>
  <c r="G252" i="3" s="1"/>
  <c r="F249" i="3"/>
  <c r="F252" i="3" s="1"/>
  <c r="E249" i="3"/>
  <c r="E252" i="3" s="1"/>
  <c r="D249" i="3"/>
  <c r="D252" i="3" s="1"/>
  <c r="D234" i="3"/>
  <c r="G233" i="3"/>
  <c r="C233" i="3"/>
  <c r="D232" i="3"/>
  <c r="C232" i="3"/>
  <c r="G231" i="3"/>
  <c r="C231" i="3"/>
  <c r="G229" i="3"/>
  <c r="G234" i="3" s="1"/>
  <c r="F229" i="3"/>
  <c r="F233" i="3" s="1"/>
  <c r="E229" i="3"/>
  <c r="E233" i="3" s="1"/>
  <c r="D229" i="3"/>
  <c r="D233" i="3" s="1"/>
  <c r="C229" i="3"/>
  <c r="C234" i="3" s="1"/>
  <c r="G225" i="3"/>
  <c r="F225" i="3"/>
  <c r="E225" i="3"/>
  <c r="D225" i="3"/>
  <c r="G224" i="3"/>
  <c r="G227" i="3" s="1"/>
  <c r="F224" i="3"/>
  <c r="F227" i="3" s="1"/>
  <c r="E224" i="3"/>
  <c r="E227" i="3" s="1"/>
  <c r="D224" i="3"/>
  <c r="D227" i="3" s="1"/>
  <c r="G209" i="3"/>
  <c r="F209" i="3"/>
  <c r="F208" i="3"/>
  <c r="D208" i="3"/>
  <c r="F206" i="3"/>
  <c r="E206" i="3"/>
  <c r="D206" i="3"/>
  <c r="G204" i="3"/>
  <c r="G207" i="3" s="1"/>
  <c r="F204" i="3"/>
  <c r="F207" i="3" s="1"/>
  <c r="E204" i="3"/>
  <c r="E209" i="3" s="1"/>
  <c r="D204" i="3"/>
  <c r="D209" i="3" s="1"/>
  <c r="C204" i="3"/>
  <c r="C208" i="3" s="1"/>
  <c r="G200" i="3"/>
  <c r="F200" i="3"/>
  <c r="E200" i="3"/>
  <c r="D200" i="3"/>
  <c r="G199" i="3"/>
  <c r="G202" i="3" s="1"/>
  <c r="F199" i="3"/>
  <c r="F202" i="3" s="1"/>
  <c r="E199" i="3"/>
  <c r="E202" i="3" s="1"/>
  <c r="D199" i="3"/>
  <c r="D202" i="3" s="1"/>
  <c r="F184" i="3"/>
  <c r="D184" i="3"/>
  <c r="C184" i="3"/>
  <c r="E183" i="3"/>
  <c r="C183" i="3"/>
  <c r="F182" i="3"/>
  <c r="E182" i="3"/>
  <c r="E181" i="3"/>
  <c r="C181" i="3"/>
  <c r="G179" i="3"/>
  <c r="G183" i="3" s="1"/>
  <c r="F179" i="3"/>
  <c r="F183" i="3" s="1"/>
  <c r="E179" i="3"/>
  <c r="E184" i="3" s="1"/>
  <c r="D179" i="3"/>
  <c r="D182" i="3" s="1"/>
  <c r="C179" i="3"/>
  <c r="C182" i="3" s="1"/>
  <c r="G175" i="3"/>
  <c r="F175" i="3"/>
  <c r="E175" i="3"/>
  <c r="D175" i="3"/>
  <c r="G174" i="3"/>
  <c r="G177" i="3" s="1"/>
  <c r="F174" i="3"/>
  <c r="F177" i="3" s="1"/>
  <c r="E174" i="3"/>
  <c r="E177" i="3" s="1"/>
  <c r="D174" i="3"/>
  <c r="D177" i="3" s="1"/>
  <c r="C159" i="3"/>
  <c r="F158" i="3"/>
  <c r="C157" i="3"/>
  <c r="G156" i="3"/>
  <c r="F156" i="3"/>
  <c r="G154" i="3"/>
  <c r="G159" i="3" s="1"/>
  <c r="F154" i="3"/>
  <c r="F159" i="3" s="1"/>
  <c r="E154" i="3"/>
  <c r="E158" i="3" s="1"/>
  <c r="D154" i="3"/>
  <c r="D158" i="3" s="1"/>
  <c r="C154" i="3"/>
  <c r="C158" i="3" s="1"/>
  <c r="G150" i="3"/>
  <c r="F150" i="3"/>
  <c r="E150" i="3"/>
  <c r="D150" i="3"/>
  <c r="G149" i="3"/>
  <c r="G152" i="3" s="1"/>
  <c r="F149" i="3"/>
  <c r="F152" i="3" s="1"/>
  <c r="E149" i="3"/>
  <c r="E152" i="3" s="1"/>
  <c r="D149" i="3"/>
  <c r="D152" i="3" s="1"/>
  <c r="F135" i="3"/>
  <c r="E135" i="3"/>
  <c r="G134" i="3"/>
  <c r="E134" i="3"/>
  <c r="C134" i="3"/>
  <c r="G133" i="3"/>
  <c r="G132" i="3"/>
  <c r="E132" i="3"/>
  <c r="D132" i="3"/>
  <c r="G130" i="3"/>
  <c r="G135" i="3" s="1"/>
  <c r="F130" i="3"/>
  <c r="F133" i="3" s="1"/>
  <c r="E130" i="3"/>
  <c r="E133" i="3" s="1"/>
  <c r="D130" i="3"/>
  <c r="D135" i="3" s="1"/>
  <c r="C130" i="3"/>
  <c r="G126" i="3"/>
  <c r="F126" i="3"/>
  <c r="E126" i="3"/>
  <c r="D126" i="3"/>
  <c r="G125" i="3"/>
  <c r="G128" i="3" s="1"/>
  <c r="F125" i="3"/>
  <c r="F128" i="3" s="1"/>
  <c r="E125" i="3"/>
  <c r="E128" i="3" s="1"/>
  <c r="D125" i="3"/>
  <c r="D128" i="3" s="1"/>
  <c r="G110" i="3"/>
  <c r="F110" i="3"/>
  <c r="G108" i="3"/>
  <c r="F108" i="3"/>
  <c r="G106" i="3"/>
  <c r="G111" i="3" s="1"/>
  <c r="F106" i="3"/>
  <c r="F111" i="3" s="1"/>
  <c r="E106" i="3"/>
  <c r="E110" i="3" s="1"/>
  <c r="D106" i="3"/>
  <c r="D110" i="3" s="1"/>
  <c r="C106" i="3"/>
  <c r="G102" i="3"/>
  <c r="F102" i="3"/>
  <c r="E102" i="3"/>
  <c r="D102" i="3"/>
  <c r="G101" i="3"/>
  <c r="G104" i="3" s="1"/>
  <c r="F101" i="3"/>
  <c r="F104" i="3" s="1"/>
  <c r="E101" i="3"/>
  <c r="E104" i="3" s="1"/>
  <c r="D101" i="3"/>
  <c r="D104" i="3" s="1"/>
  <c r="F87" i="3"/>
  <c r="D87" i="3"/>
  <c r="C87" i="3"/>
  <c r="E86" i="3"/>
  <c r="C86" i="3"/>
  <c r="F85" i="3"/>
  <c r="E85" i="3"/>
  <c r="E84" i="3"/>
  <c r="C84" i="3"/>
  <c r="G82" i="3"/>
  <c r="G86" i="3" s="1"/>
  <c r="F82" i="3"/>
  <c r="F86" i="3" s="1"/>
  <c r="E82" i="3"/>
  <c r="E87" i="3" s="1"/>
  <c r="D82" i="3"/>
  <c r="D85" i="3" s="1"/>
  <c r="C82" i="3"/>
  <c r="C132" i="3" s="1"/>
  <c r="E80" i="3"/>
  <c r="G78" i="3"/>
  <c r="F78" i="3"/>
  <c r="E78" i="3"/>
  <c r="D78" i="3"/>
  <c r="G77" i="3"/>
  <c r="G80" i="3" s="1"/>
  <c r="F77" i="3"/>
  <c r="F80" i="3" s="1"/>
  <c r="E77" i="3"/>
  <c r="D77" i="3"/>
  <c r="D80" i="3" s="1"/>
  <c r="G67" i="3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392" i="4" l="1"/>
  <c r="C397" i="4"/>
  <c r="D397" i="4"/>
  <c r="E397" i="4"/>
  <c r="C399" i="4"/>
  <c r="E374" i="4"/>
  <c r="F374" i="4"/>
  <c r="E375" i="4"/>
  <c r="F375" i="4"/>
  <c r="F372" i="4"/>
  <c r="G375" i="4"/>
  <c r="F349" i="4"/>
  <c r="C350" i="4"/>
  <c r="C348" i="4"/>
  <c r="C351" i="4"/>
  <c r="D348" i="4"/>
  <c r="D351" i="4"/>
  <c r="D349" i="4"/>
  <c r="G324" i="4"/>
  <c r="C325" i="4"/>
  <c r="D325" i="4"/>
  <c r="E302" i="4"/>
  <c r="D300" i="4"/>
  <c r="E303" i="4"/>
  <c r="E300" i="4"/>
  <c r="F303" i="4"/>
  <c r="F300" i="4"/>
  <c r="F301" i="4"/>
  <c r="G301" i="4"/>
  <c r="E277" i="4"/>
  <c r="E272" i="4"/>
  <c r="F277" i="4"/>
  <c r="C279" i="4"/>
  <c r="C277" i="4"/>
  <c r="G255" i="4"/>
  <c r="G248" i="4"/>
  <c r="G252" i="4"/>
  <c r="D248" i="4"/>
  <c r="F229" i="4"/>
  <c r="E224" i="4"/>
  <c r="G229" i="4"/>
  <c r="G224" i="4"/>
  <c r="E231" i="4"/>
  <c r="F231" i="4"/>
  <c r="C207" i="4"/>
  <c r="F200" i="4"/>
  <c r="C205" i="4"/>
  <c r="E205" i="4"/>
  <c r="E180" i="4"/>
  <c r="F180" i="4"/>
  <c r="E182" i="4"/>
  <c r="F183" i="4"/>
  <c r="D84" i="4"/>
  <c r="G85" i="4"/>
  <c r="E87" i="4"/>
  <c r="D109" i="4"/>
  <c r="D111" i="4"/>
  <c r="F132" i="4"/>
  <c r="D134" i="4"/>
  <c r="G135" i="4"/>
  <c r="D157" i="4"/>
  <c r="G158" i="4"/>
  <c r="D180" i="4"/>
  <c r="G181" i="4"/>
  <c r="E183" i="4"/>
  <c r="G204" i="4"/>
  <c r="E206" i="4"/>
  <c r="E229" i="4"/>
  <c r="C231" i="4"/>
  <c r="E252" i="4"/>
  <c r="C254" i="4"/>
  <c r="F255" i="4"/>
  <c r="F278" i="4"/>
  <c r="C300" i="4"/>
  <c r="D303" i="4"/>
  <c r="F324" i="4"/>
  <c r="D326" i="4"/>
  <c r="G350" i="4"/>
  <c r="D372" i="4"/>
  <c r="G396" i="4"/>
  <c r="E398" i="4"/>
  <c r="E84" i="4"/>
  <c r="C86" i="4"/>
  <c r="F87" i="4"/>
  <c r="E109" i="4"/>
  <c r="E111" i="4"/>
  <c r="E134" i="4"/>
  <c r="C182" i="4"/>
  <c r="F206" i="4"/>
  <c r="D254" i="4"/>
  <c r="G278" i="4"/>
  <c r="E326" i="4"/>
  <c r="C374" i="4"/>
  <c r="F398" i="4"/>
  <c r="G109" i="4"/>
  <c r="D86" i="4"/>
  <c r="F109" i="4"/>
  <c r="F111" i="4"/>
  <c r="C133" i="4"/>
  <c r="F134" i="4"/>
  <c r="D182" i="4"/>
  <c r="G206" i="4"/>
  <c r="E254" i="4"/>
  <c r="C302" i="4"/>
  <c r="F326" i="4"/>
  <c r="D374" i="4"/>
  <c r="G398" i="4"/>
  <c r="G111" i="4"/>
  <c r="C85" i="4"/>
  <c r="F86" i="4"/>
  <c r="D108" i="4"/>
  <c r="E133" i="4"/>
  <c r="C135" i="4"/>
  <c r="E156" i="4"/>
  <c r="C158" i="4"/>
  <c r="F159" i="4"/>
  <c r="C181" i="4"/>
  <c r="F182" i="4"/>
  <c r="C204" i="4"/>
  <c r="F205" i="4"/>
  <c r="D207" i="4"/>
  <c r="F228" i="4"/>
  <c r="D230" i="4"/>
  <c r="G231" i="4"/>
  <c r="D253" i="4"/>
  <c r="G254" i="4"/>
  <c r="D276" i="4"/>
  <c r="G277" i="4"/>
  <c r="E279" i="4"/>
  <c r="G300" i="4"/>
  <c r="E325" i="4"/>
  <c r="C327" i="4"/>
  <c r="E348" i="4"/>
  <c r="F351" i="4"/>
  <c r="C373" i="4"/>
  <c r="C396" i="4"/>
  <c r="F397" i="4"/>
  <c r="D399" i="4"/>
  <c r="D85" i="4"/>
  <c r="E108" i="4"/>
  <c r="C132" i="4"/>
  <c r="F133" i="4"/>
  <c r="D135" i="4"/>
  <c r="F156" i="4"/>
  <c r="G159" i="4"/>
  <c r="D181" i="4"/>
  <c r="D204" i="4"/>
  <c r="G205" i="4"/>
  <c r="E207" i="4"/>
  <c r="G228" i="4"/>
  <c r="E253" i="4"/>
  <c r="C255" i="4"/>
  <c r="E276" i="4"/>
  <c r="F279" i="4"/>
  <c r="C301" i="4"/>
  <c r="C324" i="4"/>
  <c r="F325" i="4"/>
  <c r="D327" i="4"/>
  <c r="F348" i="4"/>
  <c r="G351" i="4"/>
  <c r="D373" i="4"/>
  <c r="D396" i="4"/>
  <c r="G397" i="4"/>
  <c r="E399" i="4"/>
  <c r="C87" i="4"/>
  <c r="F108" i="4"/>
  <c r="E135" i="4"/>
  <c r="C183" i="4"/>
  <c r="F207" i="4"/>
  <c r="D255" i="4"/>
  <c r="G279" i="4"/>
  <c r="E327" i="4"/>
  <c r="C375" i="4"/>
  <c r="F399" i="4"/>
  <c r="C84" i="4"/>
  <c r="G108" i="4"/>
  <c r="D84" i="3"/>
  <c r="G85" i="3"/>
  <c r="D109" i="3"/>
  <c r="D111" i="3"/>
  <c r="F132" i="3"/>
  <c r="D134" i="3"/>
  <c r="D157" i="3"/>
  <c r="G158" i="3"/>
  <c r="D181" i="3"/>
  <c r="G182" i="3"/>
  <c r="G206" i="3"/>
  <c r="E208" i="3"/>
  <c r="E232" i="3"/>
  <c r="E256" i="3"/>
  <c r="C258" i="3"/>
  <c r="C282" i="3"/>
  <c r="F283" i="3"/>
  <c r="C305" i="3"/>
  <c r="F306" i="3"/>
  <c r="F330" i="3"/>
  <c r="D332" i="3"/>
  <c r="D356" i="3"/>
  <c r="G357" i="3"/>
  <c r="D380" i="3"/>
  <c r="G381" i="3"/>
  <c r="G405" i="3"/>
  <c r="E407" i="3"/>
  <c r="E109" i="3"/>
  <c r="E111" i="3"/>
  <c r="E157" i="3"/>
  <c r="C207" i="3"/>
  <c r="F232" i="3"/>
  <c r="D282" i="3"/>
  <c r="G306" i="3"/>
  <c r="E356" i="3"/>
  <c r="C406" i="3"/>
  <c r="F84" i="3"/>
  <c r="D86" i="3"/>
  <c r="G87" i="3"/>
  <c r="F109" i="3"/>
  <c r="C133" i="3"/>
  <c r="F134" i="3"/>
  <c r="C156" i="3"/>
  <c r="F157" i="3"/>
  <c r="D159" i="3"/>
  <c r="F181" i="3"/>
  <c r="D183" i="3"/>
  <c r="G184" i="3"/>
  <c r="D207" i="3"/>
  <c r="G208" i="3"/>
  <c r="D231" i="3"/>
  <c r="G232" i="3"/>
  <c r="E234" i="3"/>
  <c r="G256" i="3"/>
  <c r="E258" i="3"/>
  <c r="E282" i="3"/>
  <c r="C284" i="3"/>
  <c r="E305" i="3"/>
  <c r="C307" i="3"/>
  <c r="F308" i="3"/>
  <c r="C331" i="3"/>
  <c r="F332" i="3"/>
  <c r="C355" i="3"/>
  <c r="F356" i="3"/>
  <c r="D358" i="3"/>
  <c r="F380" i="3"/>
  <c r="D382" i="3"/>
  <c r="G383" i="3"/>
  <c r="D406" i="3"/>
  <c r="G407" i="3"/>
  <c r="G109" i="3"/>
  <c r="D133" i="3"/>
  <c r="D156" i="3"/>
  <c r="G157" i="3"/>
  <c r="E159" i="3"/>
  <c r="G181" i="3"/>
  <c r="E207" i="3"/>
  <c r="C209" i="3"/>
  <c r="E231" i="3"/>
  <c r="F234" i="3"/>
  <c r="C257" i="3"/>
  <c r="C281" i="3"/>
  <c r="F282" i="3"/>
  <c r="D284" i="3"/>
  <c r="F305" i="3"/>
  <c r="G308" i="3"/>
  <c r="D331" i="3"/>
  <c r="D355" i="3"/>
  <c r="G356" i="3"/>
  <c r="E358" i="3"/>
  <c r="G380" i="3"/>
  <c r="E406" i="3"/>
  <c r="C408" i="3"/>
  <c r="G84" i="3"/>
  <c r="C85" i="3"/>
  <c r="D108" i="3"/>
  <c r="C135" i="3"/>
  <c r="E156" i="3"/>
  <c r="C206" i="3"/>
  <c r="F231" i="3"/>
  <c r="D281" i="3"/>
  <c r="G305" i="3"/>
  <c r="E355" i="3"/>
  <c r="C405" i="3"/>
  <c r="E108" i="3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D405" i="1"/>
  <c r="E405" i="1"/>
  <c r="F405" i="1"/>
  <c r="G405" i="1"/>
  <c r="C405" i="1"/>
  <c r="G403" i="1"/>
  <c r="F403" i="1"/>
  <c r="E403" i="1"/>
  <c r="D403" i="1"/>
  <c r="C403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0" i="1"/>
  <c r="E380" i="1"/>
  <c r="F380" i="1"/>
  <c r="G380" i="1"/>
  <c r="C381" i="1"/>
  <c r="C382" i="1"/>
  <c r="C383" i="1"/>
  <c r="C380" i="1"/>
  <c r="G378" i="1"/>
  <c r="F378" i="1"/>
  <c r="E378" i="1"/>
  <c r="D378" i="1"/>
  <c r="C378" i="1"/>
  <c r="E356" i="1"/>
  <c r="F356" i="1"/>
  <c r="G356" i="1"/>
  <c r="E357" i="1"/>
  <c r="F357" i="1"/>
  <c r="G357" i="1"/>
  <c r="E358" i="1"/>
  <c r="F358" i="1"/>
  <c r="G358" i="1"/>
  <c r="D356" i="1"/>
  <c r="D357" i="1"/>
  <c r="D358" i="1"/>
  <c r="D355" i="1"/>
  <c r="E355" i="1"/>
  <c r="F355" i="1"/>
  <c r="G355" i="1"/>
  <c r="C356" i="1"/>
  <c r="C357" i="1"/>
  <c r="C358" i="1"/>
  <c r="C355" i="1"/>
  <c r="G353" i="1"/>
  <c r="F353" i="1"/>
  <c r="E353" i="1"/>
  <c r="D353" i="1"/>
  <c r="C353" i="1"/>
  <c r="D331" i="1"/>
  <c r="E331" i="1"/>
  <c r="F331" i="1"/>
  <c r="G331" i="1"/>
  <c r="D332" i="1"/>
  <c r="E332" i="1"/>
  <c r="F332" i="1"/>
  <c r="G332" i="1"/>
  <c r="D333" i="1"/>
  <c r="E333" i="1"/>
  <c r="F333" i="1"/>
  <c r="G333" i="1"/>
  <c r="D330" i="1"/>
  <c r="E330" i="1"/>
  <c r="F330" i="1"/>
  <c r="G330" i="1"/>
  <c r="C331" i="1"/>
  <c r="C332" i="1"/>
  <c r="C333" i="1"/>
  <c r="C330" i="1"/>
  <c r="G328" i="1"/>
  <c r="F328" i="1"/>
  <c r="E328" i="1"/>
  <c r="D328" i="1"/>
  <c r="C328" i="1"/>
  <c r="E306" i="1"/>
  <c r="F306" i="1"/>
  <c r="G306" i="1"/>
  <c r="E307" i="1"/>
  <c r="F307" i="1"/>
  <c r="G307" i="1"/>
  <c r="E308" i="1"/>
  <c r="F308" i="1"/>
  <c r="G308" i="1"/>
  <c r="D306" i="1"/>
  <c r="D307" i="1"/>
  <c r="D308" i="1"/>
  <c r="D305" i="1"/>
  <c r="E305" i="1"/>
  <c r="F305" i="1"/>
  <c r="G305" i="1"/>
  <c r="C306" i="1"/>
  <c r="C307" i="1"/>
  <c r="C308" i="1"/>
  <c r="C305" i="1"/>
  <c r="G303" i="1"/>
  <c r="F303" i="1"/>
  <c r="E303" i="1"/>
  <c r="D303" i="1"/>
  <c r="C303" i="1"/>
  <c r="G282" i="1"/>
  <c r="G283" i="1"/>
  <c r="G284" i="1"/>
  <c r="F282" i="1"/>
  <c r="F283" i="1"/>
  <c r="F284" i="1"/>
  <c r="E282" i="1"/>
  <c r="E283" i="1"/>
  <c r="E284" i="1"/>
  <c r="D282" i="1"/>
  <c r="D283" i="1"/>
  <c r="D284" i="1"/>
  <c r="D281" i="1"/>
  <c r="E281" i="1"/>
  <c r="F281" i="1"/>
  <c r="G281" i="1"/>
  <c r="C282" i="1"/>
  <c r="C283" i="1"/>
  <c r="C284" i="1"/>
  <c r="C281" i="1"/>
  <c r="G279" i="1"/>
  <c r="F279" i="1"/>
  <c r="E279" i="1"/>
  <c r="D279" i="1"/>
  <c r="C279" i="1"/>
  <c r="G257" i="1"/>
  <c r="G258" i="1"/>
  <c r="G259" i="1"/>
  <c r="F257" i="1"/>
  <c r="F258" i="1"/>
  <c r="F259" i="1"/>
  <c r="E257" i="1"/>
  <c r="E258" i="1"/>
  <c r="E259" i="1"/>
  <c r="D257" i="1"/>
  <c r="D258" i="1"/>
  <c r="D259" i="1"/>
  <c r="D256" i="1"/>
  <c r="E256" i="1"/>
  <c r="F256" i="1"/>
  <c r="G256" i="1"/>
  <c r="C257" i="1"/>
  <c r="C258" i="1"/>
  <c r="C259" i="1"/>
  <c r="C256" i="1"/>
  <c r="G254" i="1"/>
  <c r="F254" i="1"/>
  <c r="E254" i="1"/>
  <c r="D254" i="1"/>
  <c r="C254" i="1"/>
  <c r="D232" i="1"/>
  <c r="E232" i="1"/>
  <c r="F232" i="1"/>
  <c r="G232" i="1"/>
  <c r="D233" i="1"/>
  <c r="E233" i="1"/>
  <c r="F233" i="1"/>
  <c r="G233" i="1"/>
  <c r="D234" i="1"/>
  <c r="E234" i="1"/>
  <c r="F234" i="1"/>
  <c r="G234" i="1"/>
  <c r="D231" i="1"/>
  <c r="E231" i="1"/>
  <c r="F231" i="1"/>
  <c r="G231" i="1"/>
  <c r="C232" i="1"/>
  <c r="C233" i="1"/>
  <c r="C234" i="1"/>
  <c r="C231" i="1"/>
  <c r="G229" i="1"/>
  <c r="F229" i="1"/>
  <c r="E229" i="1"/>
  <c r="D229" i="1"/>
  <c r="C229" i="1"/>
  <c r="D207" i="1"/>
  <c r="G207" i="1"/>
  <c r="E208" i="1"/>
  <c r="G208" i="1"/>
  <c r="G209" i="1"/>
  <c r="E206" i="1"/>
  <c r="G206" i="1"/>
  <c r="G204" i="1"/>
  <c r="F204" i="1"/>
  <c r="F207" i="1" s="1"/>
  <c r="E204" i="1"/>
  <c r="E207" i="1" s="1"/>
  <c r="D204" i="1"/>
  <c r="D209" i="1" s="1"/>
  <c r="C204" i="1"/>
  <c r="C207" i="1" s="1"/>
  <c r="G184" i="1"/>
  <c r="C183" i="1"/>
  <c r="C181" i="1"/>
  <c r="G179" i="1"/>
  <c r="G182" i="1" s="1"/>
  <c r="F179" i="1"/>
  <c r="F182" i="1" s="1"/>
  <c r="E179" i="1"/>
  <c r="E183" i="1" s="1"/>
  <c r="D179" i="1"/>
  <c r="D182" i="1" s="1"/>
  <c r="C179" i="1"/>
  <c r="C182" i="1" s="1"/>
  <c r="F156" i="1"/>
  <c r="G154" i="1"/>
  <c r="G157" i="1" s="1"/>
  <c r="F154" i="1"/>
  <c r="F157" i="1" s="1"/>
  <c r="E154" i="1"/>
  <c r="E159" i="1" s="1"/>
  <c r="D154" i="1"/>
  <c r="D159" i="1" s="1"/>
  <c r="C154" i="1"/>
  <c r="C156" i="1" s="1"/>
  <c r="F206" i="1" l="1"/>
  <c r="F208" i="1"/>
  <c r="D206" i="1"/>
  <c r="D208" i="1"/>
  <c r="E184" i="1"/>
  <c r="C208" i="1"/>
  <c r="F209" i="1"/>
  <c r="C206" i="1"/>
  <c r="C209" i="1"/>
  <c r="E182" i="1"/>
  <c r="E209" i="1"/>
  <c r="G181" i="1"/>
  <c r="G183" i="1"/>
  <c r="G159" i="1"/>
  <c r="F181" i="1"/>
  <c r="F183" i="1"/>
  <c r="G156" i="1"/>
  <c r="C159" i="1"/>
  <c r="E181" i="1"/>
  <c r="G158" i="1"/>
  <c r="D181" i="1"/>
  <c r="D183" i="1"/>
  <c r="D158" i="1"/>
  <c r="E157" i="1"/>
  <c r="C184" i="1"/>
  <c r="F184" i="1"/>
  <c r="D157" i="1"/>
  <c r="D184" i="1"/>
  <c r="E156" i="1"/>
  <c r="F158" i="1"/>
  <c r="C157" i="1"/>
  <c r="D156" i="1"/>
  <c r="E158" i="1"/>
  <c r="F159" i="1"/>
  <c r="C158" i="1"/>
  <c r="C134" i="1"/>
  <c r="G135" i="1"/>
  <c r="D132" i="1"/>
  <c r="G130" i="1"/>
  <c r="G133" i="1" s="1"/>
  <c r="F130" i="1"/>
  <c r="F133" i="1" s="1"/>
  <c r="E130" i="1"/>
  <c r="E132" i="1" s="1"/>
  <c r="D130" i="1"/>
  <c r="D133" i="1" s="1"/>
  <c r="C130" i="1"/>
  <c r="E109" i="1"/>
  <c r="G106" i="1"/>
  <c r="G109" i="1" s="1"/>
  <c r="F106" i="1"/>
  <c r="F109" i="1" s="1"/>
  <c r="E106" i="1"/>
  <c r="E108" i="1" s="1"/>
  <c r="D106" i="1"/>
  <c r="D111" i="1" s="1"/>
  <c r="C106" i="1"/>
  <c r="C86" i="1"/>
  <c r="C87" i="1"/>
  <c r="C84" i="1"/>
  <c r="G82" i="1"/>
  <c r="G85" i="1" s="1"/>
  <c r="F82" i="1"/>
  <c r="F87" i="1" s="1"/>
  <c r="E82" i="1"/>
  <c r="E87" i="1" s="1"/>
  <c r="D82" i="1"/>
  <c r="D86" i="1" s="1"/>
  <c r="C82" i="1"/>
  <c r="C133" i="1" s="1"/>
  <c r="E133" i="1" l="1"/>
  <c r="C135" i="1"/>
  <c r="F135" i="1"/>
  <c r="F84" i="1"/>
  <c r="E135" i="1"/>
  <c r="D135" i="1"/>
  <c r="D85" i="1"/>
  <c r="D134" i="1"/>
  <c r="G134" i="1"/>
  <c r="E86" i="1"/>
  <c r="D110" i="1"/>
  <c r="G132" i="1"/>
  <c r="E134" i="1"/>
  <c r="F86" i="1"/>
  <c r="D109" i="1"/>
  <c r="C132" i="1"/>
  <c r="F132" i="1"/>
  <c r="F134" i="1"/>
  <c r="F85" i="1"/>
  <c r="E110" i="1"/>
  <c r="D84" i="1"/>
  <c r="D87" i="1"/>
  <c r="E85" i="1"/>
  <c r="D108" i="1"/>
  <c r="F111" i="1"/>
  <c r="G84" i="1"/>
  <c r="G111" i="1"/>
  <c r="E111" i="1"/>
  <c r="G110" i="1"/>
  <c r="F110" i="1"/>
  <c r="G87" i="1"/>
  <c r="G108" i="1"/>
  <c r="E84" i="1"/>
  <c r="G86" i="1"/>
  <c r="F108" i="1"/>
  <c r="C85" i="1"/>
  <c r="G399" i="1" l="1"/>
  <c r="F399" i="1"/>
  <c r="E399" i="1"/>
  <c r="D399" i="1"/>
  <c r="G398" i="1"/>
  <c r="F398" i="1"/>
  <c r="E398" i="1"/>
  <c r="E401" i="1" s="1"/>
  <c r="D398" i="1"/>
  <c r="G374" i="1"/>
  <c r="F374" i="1"/>
  <c r="E374" i="1"/>
  <c r="D374" i="1"/>
  <c r="G373" i="1"/>
  <c r="F373" i="1"/>
  <c r="E373" i="1"/>
  <c r="D373" i="1"/>
  <c r="G349" i="1"/>
  <c r="F349" i="1"/>
  <c r="E349" i="1"/>
  <c r="D349" i="1"/>
  <c r="G348" i="1"/>
  <c r="F348" i="1"/>
  <c r="E348" i="1"/>
  <c r="D348" i="1"/>
  <c r="D351" i="1" s="1"/>
  <c r="G324" i="1"/>
  <c r="F324" i="1"/>
  <c r="E324" i="1"/>
  <c r="D324" i="1"/>
  <c r="G323" i="1"/>
  <c r="F323" i="1"/>
  <c r="E323" i="1"/>
  <c r="D323" i="1"/>
  <c r="G299" i="1"/>
  <c r="F299" i="1"/>
  <c r="E299" i="1"/>
  <c r="D299" i="1"/>
  <c r="G298" i="1"/>
  <c r="F298" i="1"/>
  <c r="E298" i="1"/>
  <c r="E301" i="1" s="1"/>
  <c r="D298" i="1"/>
  <c r="G275" i="1"/>
  <c r="F275" i="1"/>
  <c r="E275" i="1"/>
  <c r="D275" i="1"/>
  <c r="G274" i="1"/>
  <c r="F274" i="1"/>
  <c r="E274" i="1"/>
  <c r="D274" i="1"/>
  <c r="G250" i="1"/>
  <c r="F250" i="1"/>
  <c r="E250" i="1"/>
  <c r="D250" i="1"/>
  <c r="G249" i="1"/>
  <c r="F249" i="1"/>
  <c r="E249" i="1"/>
  <c r="D249" i="1"/>
  <c r="G225" i="1"/>
  <c r="F225" i="1"/>
  <c r="E225" i="1"/>
  <c r="D225" i="1"/>
  <c r="G224" i="1"/>
  <c r="F224" i="1"/>
  <c r="E224" i="1"/>
  <c r="E227" i="1" s="1"/>
  <c r="D224" i="1"/>
  <c r="G200" i="1"/>
  <c r="F200" i="1"/>
  <c r="E200" i="1"/>
  <c r="D200" i="1"/>
  <c r="G199" i="1"/>
  <c r="F199" i="1"/>
  <c r="E199" i="1"/>
  <c r="E202" i="1" s="1"/>
  <c r="D199" i="1"/>
  <c r="G175" i="1"/>
  <c r="F175" i="1"/>
  <c r="E175" i="1"/>
  <c r="D175" i="1"/>
  <c r="G174" i="1"/>
  <c r="G177" i="1" s="1"/>
  <c r="F174" i="1"/>
  <c r="E174" i="1"/>
  <c r="E177" i="1" s="1"/>
  <c r="D174" i="1"/>
  <c r="G150" i="1"/>
  <c r="F150" i="1"/>
  <c r="E150" i="1"/>
  <c r="D150" i="1"/>
  <c r="G149" i="1"/>
  <c r="G152" i="1" s="1"/>
  <c r="F149" i="1"/>
  <c r="E149" i="1"/>
  <c r="E152" i="1" s="1"/>
  <c r="D149" i="1"/>
  <c r="G126" i="1"/>
  <c r="F126" i="1"/>
  <c r="E126" i="1"/>
  <c r="D126" i="1"/>
  <c r="G125" i="1"/>
  <c r="F125" i="1"/>
  <c r="E125" i="1"/>
  <c r="E128" i="1" s="1"/>
  <c r="D125" i="1"/>
  <c r="G102" i="1"/>
  <c r="F102" i="1"/>
  <c r="E102" i="1"/>
  <c r="D102" i="1"/>
  <c r="G101" i="1"/>
  <c r="G104" i="1" s="1"/>
  <c r="F101" i="1"/>
  <c r="E101" i="1"/>
  <c r="E104" i="1" s="1"/>
  <c r="D101" i="1"/>
  <c r="E78" i="1"/>
  <c r="F78" i="1"/>
  <c r="G78" i="1"/>
  <c r="D78" i="1"/>
  <c r="E77" i="1"/>
  <c r="F77" i="1"/>
  <c r="G77" i="1"/>
  <c r="G80" i="1" s="1"/>
  <c r="D77" i="1"/>
  <c r="D376" i="1" l="1"/>
  <c r="E252" i="1"/>
  <c r="E326" i="1"/>
  <c r="E277" i="1"/>
  <c r="E376" i="1"/>
  <c r="E351" i="1"/>
  <c r="G128" i="1"/>
  <c r="F104" i="1"/>
  <c r="F128" i="1"/>
  <c r="F152" i="1"/>
  <c r="F177" i="1"/>
  <c r="F202" i="1"/>
  <c r="F227" i="1"/>
  <c r="F252" i="1"/>
  <c r="F277" i="1"/>
  <c r="F301" i="1"/>
  <c r="F326" i="1"/>
  <c r="F351" i="1"/>
  <c r="F376" i="1"/>
  <c r="F401" i="1"/>
  <c r="F80" i="1"/>
  <c r="G202" i="1"/>
  <c r="G227" i="1"/>
  <c r="G252" i="1"/>
  <c r="G277" i="1"/>
  <c r="G301" i="1"/>
  <c r="G326" i="1"/>
  <c r="G351" i="1"/>
  <c r="G376" i="1"/>
  <c r="G401" i="1"/>
  <c r="D80" i="1"/>
  <c r="D401" i="1"/>
  <c r="D104" i="1"/>
  <c r="D128" i="1"/>
  <c r="D152" i="1"/>
  <c r="D177" i="1"/>
  <c r="D202" i="1"/>
  <c r="D227" i="1"/>
  <c r="D252" i="1"/>
  <c r="D277" i="1"/>
  <c r="D301" i="1"/>
  <c r="D326" i="1"/>
  <c r="E80" i="1"/>
  <c r="E67" i="1"/>
  <c r="F67" i="1"/>
  <c r="G67" i="1"/>
  <c r="D67" i="1"/>
  <c r="E66" i="1"/>
  <c r="F66" i="1"/>
  <c r="G66" i="1"/>
  <c r="D66" i="1"/>
  <c r="D64" i="1"/>
  <c r="D69" i="1" l="1"/>
  <c r="G69" i="1"/>
  <c r="F69" i="1"/>
  <c r="E69" i="1"/>
</calcChain>
</file>

<file path=xl/sharedStrings.xml><?xml version="1.0" encoding="utf-8"?>
<sst xmlns="http://schemas.openxmlformats.org/spreadsheetml/2006/main" count="1604" uniqueCount="47">
  <si>
    <t>sector</t>
  </si>
  <si>
    <t>okved2</t>
  </si>
  <si>
    <t>year</t>
  </si>
  <si>
    <t>VDS_s</t>
  </si>
  <si>
    <t>ITcosts_s</t>
  </si>
  <si>
    <t>skvozcosts_s</t>
  </si>
  <si>
    <t>trainingcosts_s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</si>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</sst>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5-4E9B-8E97-537E0DDE442D}"/>
            </c:ext>
          </c:extLst>
        </c:ser>
        <c:ser>
          <c:idx val="1"/>
          <c:order val="1"/>
          <c:tx>
            <c:strRef>
              <c:f>Original!$C$115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Original!$D$115:$G$115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0.69349389168532172</c:v>
                </c:pt>
                <c:pt idx="3">
                  <c:v>0.69264368962158107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5-4E9B-8E97-537E0DDE442D}"/>
            </c:ext>
          </c:extLst>
        </c:ser>
        <c:ser>
          <c:idx val="2"/>
          <c:order val="2"/>
          <c:tx>
            <c:strRef>
              <c:f>Original!$C$116</c:f>
              <c:strCache>
                <c:ptCount val="1"/>
                <c:pt idx="0">
                  <c:v>0,95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Original!$D$116:$G$116</c:f>
              <c:numCache>
                <c:formatCode>General</c:formatCode>
                <c:ptCount val="4"/>
                <c:pt idx="0">
                  <c:v>0.25</c:v>
                </c:pt>
                <c:pt idx="1">
                  <c:v>0.89946875449908048</c:v>
                </c:pt>
                <c:pt idx="2">
                  <c:v>6.8808076937736939E-3</c:v>
                </c:pt>
                <c:pt idx="3">
                  <c:v>0.57193601331565147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5-4E9B-8E97-537E0DDE442D}"/>
            </c:ext>
          </c:extLst>
        </c:ser>
        <c:ser>
          <c:idx val="3"/>
          <c:order val="3"/>
          <c:tx>
            <c:strRef>
              <c:f>Original!$C$117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5-4E9B-8E97-537E0DDE4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3-4778-9FE4-27A25304FFCB}"/>
            </c:ext>
          </c:extLst>
        </c:ser>
        <c:ser>
          <c:idx val="1"/>
          <c:order val="1"/>
          <c:tx>
            <c:strRef>
              <c:f>Original!$C$139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Original!$D$139:$G$139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9.8380185016176708E-2</c:v>
                </c:pt>
                <c:pt idx="3">
                  <c:v>0.12267657460088674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63-4778-9FE4-27A25304FFCB}"/>
            </c:ext>
          </c:extLst>
        </c:ser>
        <c:ser>
          <c:idx val="2"/>
          <c:order val="2"/>
          <c:tx>
            <c:strRef>
              <c:f>Original!$C$140</c:f>
              <c:strCache>
                <c:ptCount val="1"/>
                <c:pt idx="0">
                  <c:v>0,86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Original!$D$140:$G$140</c:f>
              <c:numCache>
                <c:formatCode>General</c:formatCode>
                <c:ptCount val="4"/>
                <c:pt idx="0">
                  <c:v>0.25</c:v>
                </c:pt>
                <c:pt idx="1">
                  <c:v>0.6990904820453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63-4778-9FE4-27A25304FFCB}"/>
            </c:ext>
          </c:extLst>
        </c:ser>
        <c:ser>
          <c:idx val="3"/>
          <c:order val="3"/>
          <c:tx>
            <c:strRef>
              <c:f>Original!$C$141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63-4778-9FE4-27A25304F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71-415F-8913-10F086746BF9}"/>
            </c:ext>
          </c:extLst>
        </c:ser>
        <c:ser>
          <c:idx val="1"/>
          <c:order val="1"/>
          <c:tx>
            <c:strRef>
              <c:f>Original!$C$91</c:f>
              <c:strCache>
                <c:ptCount val="1"/>
                <c:pt idx="0">
                  <c:v>0,63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Original!$D$91:$G$91</c:f>
              <c:numCache>
                <c:formatCode>General</c:formatCode>
                <c:ptCount val="4"/>
                <c:pt idx="0">
                  <c:v>1</c:v>
                </c:pt>
                <c:pt idx="1">
                  <c:v>0.7323973572762863</c:v>
                </c:pt>
                <c:pt idx="2">
                  <c:v>0.9611546957323327</c:v>
                </c:pt>
                <c:pt idx="3">
                  <c:v>0.83771179639168136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1-415F-8913-10F086746BF9}"/>
            </c:ext>
          </c:extLst>
        </c:ser>
        <c:ser>
          <c:idx val="2"/>
          <c:order val="2"/>
          <c:tx>
            <c:strRef>
              <c:f>Original!$C$92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Original!$D$92:$G$92</c:f>
              <c:numCache>
                <c:formatCode>General</c:formatCode>
                <c:ptCount val="4"/>
                <c:pt idx="0">
                  <c:v>0.5</c:v>
                </c:pt>
                <c:pt idx="1">
                  <c:v>0.90624842311195075</c:v>
                </c:pt>
                <c:pt idx="2">
                  <c:v>1</c:v>
                </c:pt>
                <c:pt idx="3">
                  <c:v>0.67809276193519175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71-415F-8913-10F086746BF9}"/>
            </c:ext>
          </c:extLst>
        </c:ser>
        <c:ser>
          <c:idx val="3"/>
          <c:order val="3"/>
          <c:tx>
            <c:strRef>
              <c:f>Original!$C$93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71-415F-8913-10F08674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F-4F8D-AC05-3D09D7670AA8}"/>
            </c:ext>
          </c:extLst>
        </c:ser>
        <c:ser>
          <c:idx val="1"/>
          <c:order val="1"/>
          <c:tx>
            <c:strRef>
              <c:f>Original!$C$163</c:f>
              <c:strCache>
                <c:ptCount val="1"/>
                <c:pt idx="0">
                  <c:v>0,81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Original!$D$163:$G$163</c:f>
              <c:numCache>
                <c:formatCode>General</c:formatCode>
                <c:ptCount val="4"/>
                <c:pt idx="0">
                  <c:v>1</c:v>
                </c:pt>
                <c:pt idx="1">
                  <c:v>0.41206046529013679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F-4F8D-AC05-3D09D7670AA8}"/>
            </c:ext>
          </c:extLst>
        </c:ser>
        <c:ser>
          <c:idx val="2"/>
          <c:order val="2"/>
          <c:tx>
            <c:strRef>
              <c:f>Original!$C$164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Original!$D$164:$G$164</c:f>
              <c:numCache>
                <c:formatCode>General</c:formatCode>
                <c:ptCount val="4"/>
                <c:pt idx="0">
                  <c:v>0.5</c:v>
                </c:pt>
                <c:pt idx="1">
                  <c:v>0.81775074479663545</c:v>
                </c:pt>
                <c:pt idx="2">
                  <c:v>0.16841816116249414</c:v>
                </c:pt>
                <c:pt idx="3">
                  <c:v>0.2231587693238945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0F-4F8D-AC05-3D09D7670AA8}"/>
            </c:ext>
          </c:extLst>
        </c:ser>
        <c:ser>
          <c:idx val="3"/>
          <c:order val="3"/>
          <c:tx>
            <c:strRef>
              <c:f>Original!$C$165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0F-4F8D-AC05-3D09D7670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F-4858-8BA9-3C15FA8DE333}"/>
            </c:ext>
          </c:extLst>
        </c:ser>
        <c:ser>
          <c:idx val="1"/>
          <c:order val="1"/>
          <c:tx>
            <c:strRef>
              <c:f>Original!$C$188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Original!$D$188:$G$188</c:f>
              <c:numCache>
                <c:formatCode>General</c:formatCode>
                <c:ptCount val="4"/>
                <c:pt idx="0">
                  <c:v>1</c:v>
                </c:pt>
                <c:pt idx="1">
                  <c:v>0.85797673286669429</c:v>
                </c:pt>
                <c:pt idx="2">
                  <c:v>0.47087156881956077</c:v>
                </c:pt>
                <c:pt idx="3">
                  <c:v>0.23502662946404326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9F-4858-8BA9-3C15FA8DE333}"/>
            </c:ext>
          </c:extLst>
        </c:ser>
        <c:ser>
          <c:idx val="2"/>
          <c:order val="2"/>
          <c:tx>
            <c:strRef>
              <c:f>Original!$C$189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Original!$D$189:$G$189</c:f>
              <c:numCache>
                <c:formatCode>General</c:formatCode>
                <c:ptCount val="4"/>
                <c:pt idx="0">
                  <c:v>0.75</c:v>
                </c:pt>
                <c:pt idx="1">
                  <c:v>0.796663690136446</c:v>
                </c:pt>
                <c:pt idx="2">
                  <c:v>0.67318011860480464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F-4858-8BA9-3C15FA8DE333}"/>
            </c:ext>
          </c:extLst>
        </c:ser>
        <c:ser>
          <c:idx val="3"/>
          <c:order val="3"/>
          <c:tx>
            <c:strRef>
              <c:f>Original!$C$190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9F-4858-8BA9-3C15FA8DE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4-44A8-8AF2-ED328A8EDF5D}"/>
            </c:ext>
          </c:extLst>
        </c:ser>
        <c:ser>
          <c:idx val="1"/>
          <c:order val="1"/>
          <c:tx>
            <c:strRef>
              <c:f>Original!$C$213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Original!$D$213:$G$213</c:f>
              <c:numCache>
                <c:formatCode>General</c:formatCode>
                <c:ptCount val="4"/>
                <c:pt idx="0">
                  <c:v>0.75</c:v>
                </c:pt>
                <c:pt idx="1">
                  <c:v>0.79597731535177796</c:v>
                </c:pt>
                <c:pt idx="2">
                  <c:v>8.5628869020468137E-2</c:v>
                </c:pt>
                <c:pt idx="3">
                  <c:v>0.57331026854314004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4-44A8-8AF2-ED328A8EDF5D}"/>
            </c:ext>
          </c:extLst>
        </c:ser>
        <c:ser>
          <c:idx val="2"/>
          <c:order val="2"/>
          <c:tx>
            <c:strRef>
              <c:f>Original!$C$214</c:f>
              <c:strCache>
                <c:ptCount val="1"/>
                <c:pt idx="0">
                  <c:v>0,99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Original!$D$214:$G$214</c:f>
              <c:numCache>
                <c:formatCode>General</c:formatCode>
                <c:ptCount val="4"/>
                <c:pt idx="0">
                  <c:v>0.5</c:v>
                </c:pt>
                <c:pt idx="1">
                  <c:v>0.80926420797553855</c:v>
                </c:pt>
                <c:pt idx="2">
                  <c:v>0.11207082497893665</c:v>
                </c:pt>
                <c:pt idx="3">
                  <c:v>0.9038990327846067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54-44A8-8AF2-ED328A8EDF5D}"/>
            </c:ext>
          </c:extLst>
        </c:ser>
        <c:ser>
          <c:idx val="3"/>
          <c:order val="3"/>
          <c:tx>
            <c:strRef>
              <c:f>Original!$C$215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54-44A8-8AF2-ED328A8ED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E3-45BE-A17F-60DCD1D0305A}"/>
            </c:ext>
          </c:extLst>
        </c:ser>
        <c:ser>
          <c:idx val="1"/>
          <c:order val="1"/>
          <c:tx>
            <c:strRef>
              <c:f>Original!$C$238</c:f>
              <c:strCache>
                <c:ptCount val="1"/>
                <c:pt idx="0">
                  <c:v>0,79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Original!$D$238:$G$238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0.67725490625943618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E3-45BE-A17F-60DCD1D0305A}"/>
            </c:ext>
          </c:extLst>
        </c:ser>
        <c:ser>
          <c:idx val="2"/>
          <c:order val="2"/>
          <c:tx>
            <c:strRef>
              <c:f>Original!$C$239</c:f>
              <c:strCache>
                <c:ptCount val="1"/>
                <c:pt idx="0">
                  <c:v>0,82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Original!$D$239:$G$239</c:f>
              <c:numCache>
                <c:formatCode>General</c:formatCode>
                <c:ptCount val="4"/>
                <c:pt idx="0">
                  <c:v>0.5</c:v>
                </c:pt>
                <c:pt idx="1">
                  <c:v>0.73835805970790658</c:v>
                </c:pt>
                <c:pt idx="2">
                  <c:v>0.84927446007410101</c:v>
                </c:pt>
                <c:pt idx="3">
                  <c:v>0.78959028422057287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E3-45BE-A17F-60DCD1D0305A}"/>
            </c:ext>
          </c:extLst>
        </c:ser>
        <c:ser>
          <c:idx val="3"/>
          <c:order val="3"/>
          <c:tx>
            <c:strRef>
              <c:f>Original!$C$240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E3-45BE-A17F-60DCD1D03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8-4CAA-8C9D-00FC92E99E95}"/>
            </c:ext>
          </c:extLst>
        </c:ser>
        <c:ser>
          <c:idx val="1"/>
          <c:order val="1"/>
          <c:tx>
            <c:strRef>
              <c:f>Original!$C$263</c:f>
              <c:strCache>
                <c:ptCount val="1"/>
                <c:pt idx="0">
                  <c:v>0,74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Original!$D$263:$G$263</c:f>
              <c:numCache>
                <c:formatCode>General</c:formatCode>
                <c:ptCount val="4"/>
                <c:pt idx="0">
                  <c:v>0.5</c:v>
                </c:pt>
                <c:pt idx="1">
                  <c:v>0.37919583070757845</c:v>
                </c:pt>
                <c:pt idx="2">
                  <c:v>0.24604511227578876</c:v>
                </c:pt>
                <c:pt idx="3">
                  <c:v>5.0333919862687079E-2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78-4CAA-8C9D-00FC92E99E95}"/>
            </c:ext>
          </c:extLst>
        </c:ser>
        <c:ser>
          <c:idx val="2"/>
          <c:order val="2"/>
          <c:tx>
            <c:strRef>
              <c:f>Original!$C$264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Original!$D$264:$G$264</c:f>
              <c:numCache>
                <c:formatCode>General</c:formatCode>
                <c:ptCount val="4"/>
                <c:pt idx="0">
                  <c:v>0.75</c:v>
                </c:pt>
                <c:pt idx="1">
                  <c:v>0.69088738020157991</c:v>
                </c:pt>
                <c:pt idx="2">
                  <c:v>1</c:v>
                </c:pt>
                <c:pt idx="3">
                  <c:v>5.6818716744632944E-2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78-4CAA-8C9D-00FC92E99E95}"/>
            </c:ext>
          </c:extLst>
        </c:ser>
        <c:ser>
          <c:idx val="3"/>
          <c:order val="3"/>
          <c:tx>
            <c:strRef>
              <c:f>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78-4CAA-8C9D-00FC92E99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D-4097-A841-166F110E4769}"/>
            </c:ext>
          </c:extLst>
        </c:ser>
        <c:ser>
          <c:idx val="1"/>
          <c:order val="1"/>
          <c:tx>
            <c:strRef>
              <c:f>Original!$C$288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Original!$D$288:$G$288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2.9773689598128844E-2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D-4097-A841-166F110E4769}"/>
            </c:ext>
          </c:extLst>
        </c:ser>
        <c:ser>
          <c:idx val="2"/>
          <c:order val="2"/>
          <c:tx>
            <c:strRef>
              <c:f>Original!$C$289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Original!$D$289:$G$289</c:f>
              <c:numCache>
                <c:formatCode>General</c:formatCode>
                <c:ptCount val="4"/>
                <c:pt idx="0">
                  <c:v>0.75</c:v>
                </c:pt>
                <c:pt idx="1">
                  <c:v>0.3535920446884655</c:v>
                </c:pt>
                <c:pt idx="2">
                  <c:v>1</c:v>
                </c:pt>
                <c:pt idx="3">
                  <c:v>0.12486016719718387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D-4097-A841-166F110E4769}"/>
            </c:ext>
          </c:extLst>
        </c:ser>
        <c:ser>
          <c:idx val="3"/>
          <c:order val="3"/>
          <c:tx>
            <c:strRef>
              <c:f>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8D-4097-A841-166F110E4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3-4249-8E82-1F2D0A530EBD}"/>
            </c:ext>
          </c:extLst>
        </c:ser>
        <c:ser>
          <c:idx val="1"/>
          <c:order val="1"/>
          <c:tx>
            <c:strRef>
              <c:f>Original!$C$312</c:f>
              <c:strCache>
                <c:ptCount val="1"/>
                <c:pt idx="0">
                  <c:v>0,78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Original!$D$312:$G$312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5.6622871781342003E-3</c:v>
                </c:pt>
                <c:pt idx="3">
                  <c:v>4.8393846438341249E-2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249-8E82-1F2D0A530EBD}"/>
            </c:ext>
          </c:extLst>
        </c:ser>
        <c:ser>
          <c:idx val="2"/>
          <c:order val="2"/>
          <c:tx>
            <c:strRef>
              <c:f>Original!$C$313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Original!$D$313:$G$313</c:f>
              <c:numCache>
                <c:formatCode>General</c:formatCode>
                <c:ptCount val="4"/>
                <c:pt idx="0">
                  <c:v>0.75</c:v>
                </c:pt>
                <c:pt idx="1">
                  <c:v>0.11172742372709753</c:v>
                </c:pt>
                <c:pt idx="2">
                  <c:v>1</c:v>
                </c:pt>
                <c:pt idx="3">
                  <c:v>0.5175960410871423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249-8E82-1F2D0A530EBD}"/>
            </c:ext>
          </c:extLst>
        </c:ser>
        <c:ser>
          <c:idx val="3"/>
          <c:order val="3"/>
          <c:tx>
            <c:strRef>
              <c:f>Original!$C$314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C3-4249-8E82-1F2D0A5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D-4083-ADAE-7D16E33DB0FD}"/>
            </c:ext>
          </c:extLst>
        </c:ser>
        <c:ser>
          <c:idx val="1"/>
          <c:order val="1"/>
          <c:tx>
            <c:strRef>
              <c:f>Original!$C$337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Original!$D$337:$G$337</c:f>
              <c:numCache>
                <c:formatCode>General</c:formatCode>
                <c:ptCount val="4"/>
                <c:pt idx="0">
                  <c:v>0.5</c:v>
                </c:pt>
                <c:pt idx="1">
                  <c:v>0.71225562194184977</c:v>
                </c:pt>
                <c:pt idx="2">
                  <c:v>1</c:v>
                </c:pt>
                <c:pt idx="3">
                  <c:v>0.85157128686456229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FD-4083-ADAE-7D16E33DB0FD}"/>
            </c:ext>
          </c:extLst>
        </c:ser>
        <c:ser>
          <c:idx val="2"/>
          <c:order val="2"/>
          <c:tx>
            <c:strRef>
              <c:f>Original!$C$338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Original!$D$338:$G$338</c:f>
              <c:numCache>
                <c:formatCode>General</c:formatCode>
                <c:ptCount val="4"/>
                <c:pt idx="0">
                  <c:v>0.75</c:v>
                </c:pt>
                <c:pt idx="1">
                  <c:v>0.76963868006501046</c:v>
                </c:pt>
                <c:pt idx="2">
                  <c:v>4.6284668188071074E-2</c:v>
                </c:pt>
                <c:pt idx="3">
                  <c:v>0.76611190616225677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FD-4083-ADAE-7D16E33DB0FD}"/>
            </c:ext>
          </c:extLst>
        </c:ser>
        <c:ser>
          <c:idx val="3"/>
          <c:order val="3"/>
          <c:tx>
            <c:strRef>
              <c:f>Original!$C$339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FD-4083-ADAE-7D16E33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B-4B24-BE88-09C62F9BCA5C}"/>
            </c:ext>
          </c:extLst>
        </c:ser>
        <c:ser>
          <c:idx val="1"/>
          <c:order val="1"/>
          <c:tx>
            <c:strRef>
              <c:f>Original!$C$362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Original!$D$362:$G$362</c:f>
              <c:numCache>
                <c:formatCode>General</c:formatCode>
                <c:ptCount val="4"/>
                <c:pt idx="0">
                  <c:v>0.75</c:v>
                </c:pt>
                <c:pt idx="1">
                  <c:v>0.56632037695360282</c:v>
                </c:pt>
                <c:pt idx="2">
                  <c:v>1</c:v>
                </c:pt>
                <c:pt idx="3">
                  <c:v>6.5308363085126067E-2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FB-4B24-BE88-09C62F9BCA5C}"/>
            </c:ext>
          </c:extLst>
        </c:ser>
        <c:ser>
          <c:idx val="2"/>
          <c:order val="2"/>
          <c:tx>
            <c:strRef>
              <c:f>Original!$C$363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Original!$D$363:$G$363</c:f>
              <c:numCache>
                <c:formatCode>General</c:formatCode>
                <c:ptCount val="4"/>
                <c:pt idx="0">
                  <c:v>1</c:v>
                </c:pt>
                <c:pt idx="1">
                  <c:v>0.70371379494052133</c:v>
                </c:pt>
                <c:pt idx="2">
                  <c:v>0.56932678776700363</c:v>
                </c:pt>
                <c:pt idx="3">
                  <c:v>9.1928838540822747E-2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FB-4B24-BE88-09C62F9BCA5C}"/>
            </c:ext>
          </c:extLst>
        </c:ser>
        <c:ser>
          <c:idx val="3"/>
          <c:order val="3"/>
          <c:tx>
            <c:strRef>
              <c:f>Original!$C$364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FB-4B24-BE88-09C62F9BC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7-4C7C-835D-103550E1DE2C}"/>
            </c:ext>
          </c:extLst>
        </c:ser>
        <c:ser>
          <c:idx val="1"/>
          <c:order val="1"/>
          <c:tx>
            <c:strRef>
              <c:f>Original!$C$387</c:f>
              <c:strCache>
                <c:ptCount val="1"/>
                <c:pt idx="0">
                  <c:v>0,89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Original!$D$387:$G$387</c:f>
              <c:numCache>
                <c:formatCode>General</c:formatCode>
                <c:ptCount val="4"/>
                <c:pt idx="0">
                  <c:v>0.25</c:v>
                </c:pt>
                <c:pt idx="1">
                  <c:v>0.7523646986099678</c:v>
                </c:pt>
                <c:pt idx="2">
                  <c:v>0.3774449108145379</c:v>
                </c:pt>
                <c:pt idx="3">
                  <c:v>0.30132523711798664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7-4C7C-835D-103550E1DE2C}"/>
            </c:ext>
          </c:extLst>
        </c:ser>
        <c:ser>
          <c:idx val="2"/>
          <c:order val="2"/>
          <c:tx>
            <c:strRef>
              <c:f>Original!$C$388</c:f>
              <c:strCache>
                <c:ptCount val="1"/>
                <c:pt idx="0">
                  <c:v>0,98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Original!$D$388:$G$388</c:f>
              <c:numCache>
                <c:formatCode>General</c:formatCode>
                <c:ptCount val="4"/>
                <c:pt idx="0">
                  <c:v>0.75</c:v>
                </c:pt>
                <c:pt idx="1">
                  <c:v>0.77922377807369358</c:v>
                </c:pt>
                <c:pt idx="2">
                  <c:v>0.61353278893537189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7-4C7C-835D-103550E1DE2C}"/>
            </c:ext>
          </c:extLst>
        </c:ser>
        <c:ser>
          <c:idx val="3"/>
          <c:order val="3"/>
          <c:tx>
            <c:strRef>
              <c:f>Original!$C$389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37-4C7C-835D-103550E1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Original!$C$411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E7-4395-826B-1310EB1B4BE1}"/>
            </c:ext>
          </c:extLst>
        </c:ser>
        <c:ser>
          <c:idx val="1"/>
          <c:order val="1"/>
          <c:tx>
            <c:strRef>
              <c:f>Original!$C$412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Original!$D$412:$G$412</c:f>
              <c:numCache>
                <c:formatCode>General</c:formatCode>
                <c:ptCount val="4"/>
                <c:pt idx="0">
                  <c:v>0.5</c:v>
                </c:pt>
                <c:pt idx="1">
                  <c:v>0.97040124302407327</c:v>
                </c:pt>
                <c:pt idx="2">
                  <c:v>1</c:v>
                </c:pt>
                <c:pt idx="3">
                  <c:v>0.24509363334584758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E7-4395-826B-1310EB1B4BE1}"/>
            </c:ext>
          </c:extLst>
        </c:ser>
        <c:ser>
          <c:idx val="2"/>
          <c:order val="2"/>
          <c:tx>
            <c:strRef>
              <c:f>Original!$C$413</c:f>
              <c:strCache>
                <c:ptCount val="1"/>
                <c:pt idx="0">
                  <c:v>0,97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Original!$D$413:$G$413</c:f>
              <c:numCache>
                <c:formatCode>General</c:formatCode>
                <c:ptCount val="4"/>
                <c:pt idx="0">
                  <c:v>0.75</c:v>
                </c:pt>
                <c:pt idx="1">
                  <c:v>0.85740560595251925</c:v>
                </c:pt>
                <c:pt idx="2">
                  <c:v>0.20244584155725229</c:v>
                </c:pt>
                <c:pt idx="3">
                  <c:v>0.60234739389415504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E7-4395-826B-1310EB1B4BE1}"/>
            </c:ext>
          </c:extLst>
        </c:ser>
        <c:ser>
          <c:idx val="3"/>
          <c:order val="3"/>
          <c:tx>
            <c:strRef>
              <c:f>Original!$C$414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Original!$D$414:$G$414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E7-4395-826B-1310EB1B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F7D-B89E-F819E8ECC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F3-4B0A-B88E-EC4A9DB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4-45B4-BD24-0B2701E5C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9-421F-A0F7-0AEAB9BB9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F-42C1-BD41-4881695A0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C-432C-8384-9B8CCED70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046-A9AA-F13CCC4AF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F6-4729-9AA5-A2E99CC9A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6-41E4-84BA-662F138F4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6E-49BD-A3AD-FC1DA1504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8-4D56-9C2E-C3B03896C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C-420C-A126-FB543A54F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1-4882-8674-8009A93E2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5-48B8-919C-C1BB8B12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D-4F4F-82E8-215325EDF92C}"/>
            </c:ext>
          </c:extLst>
        </c:ser>
        <c:ser>
          <c:idx val="3"/>
          <c:order val="1"/>
          <c:tx>
            <c:strRef>
              <c:f>'Best|Worst'!$C$117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FD-4F4F-82E8-215325EDF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5FE-BEAA-2DCB467166B1}"/>
            </c:ext>
          </c:extLst>
        </c:ser>
        <c:ser>
          <c:idx val="3"/>
          <c:order val="1"/>
          <c:tx>
            <c:strRef>
              <c:f>'Best|Worst'!$C$141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0E-45FE-BEAA-2DCB467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A-4B72-8582-7664587BDE33}"/>
            </c:ext>
          </c:extLst>
        </c:ser>
        <c:ser>
          <c:idx val="3"/>
          <c:order val="1"/>
          <c:tx>
            <c:strRef>
              <c:f>'Best|Worst'!$C$93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A-4B72-8582-7664587B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F80-9753-2D6CA03E5C2B}"/>
            </c:ext>
          </c:extLst>
        </c:ser>
        <c:ser>
          <c:idx val="3"/>
          <c:order val="1"/>
          <c:tx>
            <c:strRef>
              <c:f>'Best|Worst'!$C$165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D5-4F80-9753-2D6CA03E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7-4981-BA11-3056307C98C4}"/>
            </c:ext>
          </c:extLst>
        </c:ser>
        <c:ser>
          <c:idx val="3"/>
          <c:order val="1"/>
          <c:tx>
            <c:strRef>
              <c:f>'Best|Worst'!$C$189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'Best|Worst'!$D$189:$G$189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C7-4981-BA11-3056307C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E-456F-B145-481E786ED7F0}"/>
            </c:ext>
          </c:extLst>
        </c:ser>
        <c:ser>
          <c:idx val="3"/>
          <c:order val="1"/>
          <c:tx>
            <c:strRef>
              <c:f>'Best|Worst'!$C$213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'Best|Worst'!$D$213:$G$213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DE-456F-B145-481E786E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'Best|Worst'!$C$234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'Best|Worst'!$D$234:$G$234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F-4EFF-B9D5-327AF19CDB08}"/>
            </c:ext>
          </c:extLst>
        </c:ser>
        <c:ser>
          <c:idx val="3"/>
          <c:order val="1"/>
          <c:tx>
            <c:strRef>
              <c:f>'Best|Worst'!$C$237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'Best|Worst'!$D$237:$G$237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7F-4EFF-B9D5-327AF19CD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'Best|Worst'!$C$258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'Best|Worst'!$D$258:$G$258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3-4701-8E2D-FFC92414139A}"/>
            </c:ext>
          </c:extLst>
        </c:ser>
        <c:ser>
          <c:idx val="3"/>
          <c:order val="1"/>
          <c:tx>
            <c:strRef>
              <c:f>'Best|Worst'!$C$261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'Best|Worst'!$D$261:$G$261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83-4701-8E2D-FFC924141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'Best|Worst'!$C$282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'Best|Worst'!$D$282:$G$282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F-4455-AC7E-2F071C4C58A4}"/>
            </c:ext>
          </c:extLst>
        </c:ser>
        <c:ser>
          <c:idx val="3"/>
          <c:order val="1"/>
          <c:tx>
            <c:strRef>
              <c:f>'Best|Worst'!$C$285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'Best|Worst'!$D$285:$G$285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F-4455-AC7E-2F071C4C5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1-4760-AF8F-E6A42698D9E2}"/>
            </c:ext>
          </c:extLst>
        </c:ser>
        <c:ser>
          <c:idx val="3"/>
          <c:order val="1"/>
          <c:tx>
            <c:strRef>
              <c:f>'Best|Worst'!$C$309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'Best|Worst'!$D$309:$G$309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71-4760-AF8F-E6A42698D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E-4297-9051-84ACECCDBB3E}"/>
            </c:ext>
          </c:extLst>
        </c:ser>
        <c:ser>
          <c:idx val="3"/>
          <c:order val="1"/>
          <c:tx>
            <c:strRef>
              <c:f>'Best|Worst'!$C$333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'Best|Worst'!$D$333:$G$333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3E-4297-9051-84ACECCD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8-4A5A-B751-D4DD29C015EA}"/>
            </c:ext>
          </c:extLst>
        </c:ser>
        <c:ser>
          <c:idx val="3"/>
          <c:order val="1"/>
          <c:tx>
            <c:strRef>
              <c:f>'Best|Worst'!$C$357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'Best|Worst'!$D$357:$G$357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C8-4A5A-B751-D4DD29C015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'Best|Worst'!$C$378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'Best|Worst'!$D$378:$G$378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5-4B69-8427-152EC08E0CBE}"/>
            </c:ext>
          </c:extLst>
        </c:ser>
        <c:ser>
          <c:idx val="3"/>
          <c:order val="1"/>
          <c:tx>
            <c:strRef>
              <c:f>'Best|Worst'!$C$381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'Best|Worst'!$D$381:$G$381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95-4B69-8427-152EC08E0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'Best|Worst'!$C$402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'Best|Worst'!$D$402:$G$402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B-4395-8B83-C162D20FE09F}"/>
            </c:ext>
          </c:extLst>
        </c:ser>
        <c:ser>
          <c:idx val="3"/>
          <c:order val="1"/>
          <c:tx>
            <c:strRef>
              <c:f>'Best|Worst'!$C$405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'Best|Worst'!$D$405:$G$405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AB-4395-8B83-C162D20FE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253588</xdr:colOff>
      <xdr:row>49</xdr:row>
      <xdr:rowOff>184314</xdr:rowOff>
    </xdr:from>
    <xdr:to>
      <xdr:col>29</xdr:col>
      <xdr:colOff>245147</xdr:colOff>
      <xdr:row>72</xdr:row>
      <xdr:rowOff>129593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439139</xdr:colOff>
      <xdr:row>49</xdr:row>
      <xdr:rowOff>189262</xdr:rowOff>
    </xdr:from>
    <xdr:to>
      <xdr:col>38</xdr:col>
      <xdr:colOff>430698</xdr:colOff>
      <xdr:row>72</xdr:row>
      <xdr:rowOff>134541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51954</xdr:colOff>
      <xdr:row>49</xdr:row>
      <xdr:rowOff>173182</xdr:rowOff>
    </xdr:from>
    <xdr:to>
      <xdr:col>20</xdr:col>
      <xdr:colOff>43513</xdr:colOff>
      <xdr:row>72</xdr:row>
      <xdr:rowOff>118461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575397</xdr:colOff>
      <xdr:row>49</xdr:row>
      <xdr:rowOff>182707</xdr:rowOff>
    </xdr:from>
    <xdr:to>
      <xdr:col>47</xdr:col>
      <xdr:colOff>566957</xdr:colOff>
      <xdr:row>72</xdr:row>
      <xdr:rowOff>127986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616959</xdr:colOff>
      <xdr:row>73</xdr:row>
      <xdr:rowOff>62779</xdr:rowOff>
    </xdr:from>
    <xdr:to>
      <xdr:col>19</xdr:col>
      <xdr:colOff>608519</xdr:colOff>
      <xdr:row>96</xdr:row>
      <xdr:rowOff>8058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381000</xdr:colOff>
      <xdr:row>73</xdr:row>
      <xdr:rowOff>23813</xdr:rowOff>
    </xdr:from>
    <xdr:to>
      <xdr:col>29</xdr:col>
      <xdr:colOff>372560</xdr:colOff>
      <xdr:row>95</xdr:row>
      <xdr:rowOff>159592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586652</xdr:colOff>
      <xdr:row>73</xdr:row>
      <xdr:rowOff>62778</xdr:rowOff>
    </xdr:from>
    <xdr:to>
      <xdr:col>38</xdr:col>
      <xdr:colOff>578213</xdr:colOff>
      <xdr:row>96</xdr:row>
      <xdr:rowOff>8057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60614</xdr:colOff>
      <xdr:row>73</xdr:row>
      <xdr:rowOff>25977</xdr:rowOff>
    </xdr:from>
    <xdr:to>
      <xdr:col>48</xdr:col>
      <xdr:colOff>52175</xdr:colOff>
      <xdr:row>95</xdr:row>
      <xdr:rowOff>161756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49789</xdr:colOff>
      <xdr:row>96</xdr:row>
      <xdr:rowOff>162357</xdr:rowOff>
    </xdr:from>
    <xdr:to>
      <xdr:col>20</xdr:col>
      <xdr:colOff>41349</xdr:colOff>
      <xdr:row>119</xdr:row>
      <xdr:rowOff>107636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363682</xdr:colOff>
      <xdr:row>96</xdr:row>
      <xdr:rowOff>173182</xdr:rowOff>
    </xdr:from>
    <xdr:to>
      <xdr:col>29</xdr:col>
      <xdr:colOff>355242</xdr:colOff>
      <xdr:row>119</xdr:row>
      <xdr:rowOff>118461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571501</xdr:colOff>
      <xdr:row>96</xdr:row>
      <xdr:rowOff>173182</xdr:rowOff>
    </xdr:from>
    <xdr:to>
      <xdr:col>38</xdr:col>
      <xdr:colOff>563060</xdr:colOff>
      <xdr:row>119</xdr:row>
      <xdr:rowOff>118461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163286</xdr:colOff>
      <xdr:row>97</xdr:row>
      <xdr:rowOff>0</xdr:rowOff>
    </xdr:from>
    <xdr:to>
      <xdr:col>48</xdr:col>
      <xdr:colOff>154845</xdr:colOff>
      <xdr:row>119</xdr:row>
      <xdr:rowOff>135779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34636</xdr:colOff>
      <xdr:row>120</xdr:row>
      <xdr:rowOff>173182</xdr:rowOff>
    </xdr:from>
    <xdr:to>
      <xdr:col>20</xdr:col>
      <xdr:colOff>26195</xdr:colOff>
      <xdr:row>143</xdr:row>
      <xdr:rowOff>118461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340179</xdr:colOff>
      <xdr:row>121</xdr:row>
      <xdr:rowOff>0</xdr:rowOff>
    </xdr:from>
    <xdr:to>
      <xdr:col>29</xdr:col>
      <xdr:colOff>331738</xdr:colOff>
      <xdr:row>143</xdr:row>
      <xdr:rowOff>135779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215488</xdr:colOff>
      <xdr:row>56</xdr:row>
      <xdr:rowOff>31914</xdr:rowOff>
    </xdr:from>
    <xdr:to>
      <xdr:col>29</xdr:col>
      <xdr:colOff>207047</xdr:colOff>
      <xdr:row>78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324839</xdr:colOff>
      <xdr:row>88</xdr:row>
      <xdr:rowOff>113062</xdr:rowOff>
    </xdr:from>
    <xdr:to>
      <xdr:col>20</xdr:col>
      <xdr:colOff>316398</xdr:colOff>
      <xdr:row>111</xdr:row>
      <xdr:rowOff>58341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599641</xdr:colOff>
      <xdr:row>22</xdr:row>
      <xdr:rowOff>125557</xdr:rowOff>
    </xdr:from>
    <xdr:to>
      <xdr:col>18</xdr:col>
      <xdr:colOff>591200</xdr:colOff>
      <xdr:row>45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422997</xdr:colOff>
      <xdr:row>55</xdr:row>
      <xdr:rowOff>106507</xdr:rowOff>
    </xdr:from>
    <xdr:to>
      <xdr:col>48</xdr:col>
      <xdr:colOff>414557</xdr:colOff>
      <xdr:row>78</xdr:row>
      <xdr:rowOff>51786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607434</xdr:colOff>
      <xdr:row>55</xdr:row>
      <xdr:rowOff>177079</xdr:rowOff>
    </xdr:from>
    <xdr:to>
      <xdr:col>38</xdr:col>
      <xdr:colOff>608519</xdr:colOff>
      <xdr:row>78</xdr:row>
      <xdr:rowOff>122358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381000</xdr:colOff>
      <xdr:row>88</xdr:row>
      <xdr:rowOff>100013</xdr:rowOff>
    </xdr:from>
    <xdr:to>
      <xdr:col>30</xdr:col>
      <xdr:colOff>372560</xdr:colOff>
      <xdr:row>111</xdr:row>
      <xdr:rowOff>45292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319952</xdr:colOff>
      <xdr:row>55</xdr:row>
      <xdr:rowOff>177078</xdr:rowOff>
    </xdr:from>
    <xdr:to>
      <xdr:col>19</xdr:col>
      <xdr:colOff>311513</xdr:colOff>
      <xdr:row>78</xdr:row>
      <xdr:rowOff>122357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251114</xdr:colOff>
      <xdr:row>22</xdr:row>
      <xdr:rowOff>64077</xdr:rowOff>
    </xdr:from>
    <xdr:to>
      <xdr:col>42</xdr:col>
      <xdr:colOff>242675</xdr:colOff>
      <xdr:row>45</xdr:row>
      <xdr:rowOff>9356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74</xdr:col>
      <xdr:colOff>49789</xdr:colOff>
      <xdr:row>22</xdr:row>
      <xdr:rowOff>124257</xdr:rowOff>
    </xdr:from>
    <xdr:to>
      <xdr:col>83</xdr:col>
      <xdr:colOff>41349</xdr:colOff>
      <xdr:row>45</xdr:row>
      <xdr:rowOff>69536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64</xdr:col>
      <xdr:colOff>287482</xdr:colOff>
      <xdr:row>22</xdr:row>
      <xdr:rowOff>96982</xdr:rowOff>
    </xdr:from>
    <xdr:to>
      <xdr:col>73</xdr:col>
      <xdr:colOff>279042</xdr:colOff>
      <xdr:row>45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571501</xdr:colOff>
      <xdr:row>22</xdr:row>
      <xdr:rowOff>58882</xdr:rowOff>
    </xdr:from>
    <xdr:to>
      <xdr:col>51</xdr:col>
      <xdr:colOff>563060</xdr:colOff>
      <xdr:row>45</xdr:row>
      <xdr:rowOff>4161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282349</xdr:colOff>
      <xdr:row>22</xdr:row>
      <xdr:rowOff>119063</xdr:rowOff>
    </xdr:from>
    <xdr:to>
      <xdr:col>28</xdr:col>
      <xdr:colOff>273908</xdr:colOff>
      <xdr:row>45</xdr:row>
      <xdr:rowOff>64342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52</xdr:col>
      <xdr:colOff>263236</xdr:colOff>
      <xdr:row>22</xdr:row>
      <xdr:rowOff>96982</xdr:rowOff>
    </xdr:from>
    <xdr:to>
      <xdr:col>61</xdr:col>
      <xdr:colOff>254795</xdr:colOff>
      <xdr:row>45</xdr:row>
      <xdr:rowOff>42261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50</xdr:col>
      <xdr:colOff>416379</xdr:colOff>
      <xdr:row>56</xdr:row>
      <xdr:rowOff>152400</xdr:rowOff>
    </xdr:from>
    <xdr:to>
      <xdr:col>59</xdr:col>
      <xdr:colOff>407938</xdr:colOff>
      <xdr:row>79</xdr:row>
      <xdr:rowOff>97679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24988</xdr:colOff>
      <xdr:row>46</xdr:row>
      <xdr:rowOff>31914</xdr:rowOff>
    </xdr:from>
    <xdr:to>
      <xdr:col>20</xdr:col>
      <xdr:colOff>16547</xdr:colOff>
      <xdr:row>68</xdr:row>
      <xdr:rowOff>167693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210539</xdr:colOff>
      <xdr:row>45</xdr:row>
      <xdr:rowOff>189262</xdr:rowOff>
    </xdr:from>
    <xdr:to>
      <xdr:col>30</xdr:col>
      <xdr:colOff>202098</xdr:colOff>
      <xdr:row>68</xdr:row>
      <xdr:rowOff>134541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528204</xdr:colOff>
      <xdr:row>75</xdr:row>
      <xdr:rowOff>125557</xdr:rowOff>
    </xdr:from>
    <xdr:to>
      <xdr:col>48</xdr:col>
      <xdr:colOff>519763</xdr:colOff>
      <xdr:row>98</xdr:row>
      <xdr:rowOff>70836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537297</xdr:colOff>
      <xdr:row>46</xdr:row>
      <xdr:rowOff>30307</xdr:rowOff>
    </xdr:from>
    <xdr:to>
      <xdr:col>39</xdr:col>
      <xdr:colOff>528857</xdr:colOff>
      <xdr:row>68</xdr:row>
      <xdr:rowOff>166086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264534</xdr:colOff>
      <xdr:row>46</xdr:row>
      <xdr:rowOff>24679</xdr:rowOff>
    </xdr:from>
    <xdr:to>
      <xdr:col>49</xdr:col>
      <xdr:colOff>265619</xdr:colOff>
      <xdr:row>68</xdr:row>
      <xdr:rowOff>160458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257175</xdr:colOff>
      <xdr:row>15</xdr:row>
      <xdr:rowOff>33338</xdr:rowOff>
    </xdr:from>
    <xdr:to>
      <xdr:col>69</xdr:col>
      <xdr:colOff>248735</xdr:colOff>
      <xdr:row>37</xdr:row>
      <xdr:rowOff>169117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143739</xdr:colOff>
      <xdr:row>75</xdr:row>
      <xdr:rowOff>105641</xdr:rowOff>
    </xdr:from>
    <xdr:to>
      <xdr:col>39</xdr:col>
      <xdr:colOff>135300</xdr:colOff>
      <xdr:row>98</xdr:row>
      <xdr:rowOff>50920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403514</xdr:colOff>
      <xdr:row>16</xdr:row>
      <xdr:rowOff>25977</xdr:rowOff>
    </xdr:from>
    <xdr:to>
      <xdr:col>19</xdr:col>
      <xdr:colOff>395075</xdr:colOff>
      <xdr:row>38</xdr:row>
      <xdr:rowOff>161756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392689</xdr:colOff>
      <xdr:row>16</xdr:row>
      <xdr:rowOff>9957</xdr:rowOff>
    </xdr:from>
    <xdr:to>
      <xdr:col>29</xdr:col>
      <xdr:colOff>384249</xdr:colOff>
      <xdr:row>38</xdr:row>
      <xdr:rowOff>145736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40</xdr:col>
      <xdr:colOff>516082</xdr:colOff>
      <xdr:row>15</xdr:row>
      <xdr:rowOff>96982</xdr:rowOff>
    </xdr:from>
    <xdr:to>
      <xdr:col>49</xdr:col>
      <xdr:colOff>507642</xdr:colOff>
      <xdr:row>38</xdr:row>
      <xdr:rowOff>42261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30</xdr:col>
      <xdr:colOff>342901</xdr:colOff>
      <xdr:row>15</xdr:row>
      <xdr:rowOff>173182</xdr:rowOff>
    </xdr:from>
    <xdr:to>
      <xdr:col>39</xdr:col>
      <xdr:colOff>334460</xdr:colOff>
      <xdr:row>38</xdr:row>
      <xdr:rowOff>118461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20</xdr:col>
      <xdr:colOff>396649</xdr:colOff>
      <xdr:row>76</xdr:row>
      <xdr:rowOff>9525</xdr:rowOff>
    </xdr:from>
    <xdr:to>
      <xdr:col>29</xdr:col>
      <xdr:colOff>388208</xdr:colOff>
      <xdr:row>98</xdr:row>
      <xdr:rowOff>145304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50</xdr:col>
      <xdr:colOff>568036</xdr:colOff>
      <xdr:row>15</xdr:row>
      <xdr:rowOff>58882</xdr:rowOff>
    </xdr:from>
    <xdr:to>
      <xdr:col>59</xdr:col>
      <xdr:colOff>559595</xdr:colOff>
      <xdr:row>38</xdr:row>
      <xdr:rowOff>4161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559254</xdr:colOff>
      <xdr:row>75</xdr:row>
      <xdr:rowOff>185737</xdr:rowOff>
    </xdr:from>
    <xdr:to>
      <xdr:col>19</xdr:col>
      <xdr:colOff>550813</xdr:colOff>
      <xdr:row>98</xdr:row>
      <xdr:rowOff>131016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topLeftCell="A22" zoomScale="55" zoomScaleNormal="55" workbookViewId="0">
      <selection activeCell="C82" sqref="C82:G87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7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ref="C158:G158" si="28">C146/C$154</f>
        <v>1</v>
      </c>
      <c r="D158" s="2">
        <f t="shared" si="28"/>
        <v>0.80543398635608399</v>
      </c>
      <c r="E158" s="2">
        <f t="shared" si="28"/>
        <v>0.41206046529013679</v>
      </c>
      <c r="F158" s="2">
        <f t="shared" si="28"/>
        <v>1</v>
      </c>
      <c r="G158" s="2">
        <f t="shared" si="28"/>
        <v>1</v>
      </c>
    </row>
    <row r="159" spans="1:7" x14ac:dyDescent="0.25">
      <c r="C159" s="2">
        <f t="shared" ref="C159:G159" si="29">C147/C$154</f>
        <v>0.75</v>
      </c>
      <c r="D159" s="2">
        <f t="shared" si="29"/>
        <v>0.7969945497761689</v>
      </c>
      <c r="E159" s="2">
        <f t="shared" si="29"/>
        <v>0.37098229286482309</v>
      </c>
      <c r="F159" s="2">
        <f t="shared" si="29"/>
        <v>7.5292635706825664E-2</v>
      </c>
      <c r="G159" s="2">
        <f t="shared" si="29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30">AVERAGE(E169:E170)</f>
        <v>2665.5021605000002</v>
      </c>
      <c r="F174" s="4">
        <f t="shared" si="30"/>
        <v>5.4859776933863561E-4</v>
      </c>
      <c r="G174" s="4">
        <f t="shared" si="30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31">AVERAGE(E171:E172)</f>
        <v>3025.1907961500001</v>
      </c>
      <c r="F175" s="4">
        <f t="shared" si="31"/>
        <v>3.4735028062601961E-4</v>
      </c>
      <c r="G175" s="4">
        <f t="shared" si="31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2">E174/E175</f>
        <v>0.88110216515673767</v>
      </c>
      <c r="F177" s="3">
        <f t="shared" si="32"/>
        <v>1.5793790877321685</v>
      </c>
      <c r="G177" s="3">
        <f t="shared" si="32"/>
        <v>1.5532186573951297</v>
      </c>
    </row>
    <row r="179" spans="3:7" x14ac:dyDescent="0.25">
      <c r="C179" s="2">
        <f>MAX(C169:C172)</f>
        <v>4</v>
      </c>
      <c r="D179" s="2">
        <f t="shared" ref="D179:G179" si="33">MAX(D169:D172)</f>
        <v>327266.01547195681</v>
      </c>
      <c r="E179" s="2">
        <f t="shared" si="33"/>
        <v>3256.4356082999998</v>
      </c>
      <c r="F179" s="2">
        <f t="shared" si="33"/>
        <v>6.5575458761258591E-4</v>
      </c>
      <c r="G179" s="2">
        <f t="shared" si="33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4">C169/C$179</f>
        <v>0.5</v>
      </c>
      <c r="D181" s="2">
        <f t="shared" si="34"/>
        <v>1</v>
      </c>
      <c r="E181" s="2">
        <f t="shared" si="34"/>
        <v>0.84040363200323998</v>
      </c>
      <c r="F181" s="2">
        <f t="shared" si="34"/>
        <v>1</v>
      </c>
      <c r="G181" s="2">
        <f t="shared" si="34"/>
        <v>0.22466253890066659</v>
      </c>
    </row>
    <row r="182" spans="3:7" x14ac:dyDescent="0.25">
      <c r="C182" s="2">
        <f t="shared" si="34"/>
        <v>0.75</v>
      </c>
      <c r="D182" s="2">
        <f t="shared" si="34"/>
        <v>0.99001250446019895</v>
      </c>
      <c r="E182" s="2">
        <f t="shared" si="34"/>
        <v>0.796663690136446</v>
      </c>
      <c r="F182" s="2">
        <f t="shared" si="34"/>
        <v>0.67318011860480464</v>
      </c>
      <c r="G182" s="2">
        <f t="shared" si="34"/>
        <v>1</v>
      </c>
    </row>
    <row r="183" spans="3:7" x14ac:dyDescent="0.25">
      <c r="C183" s="2">
        <f t="shared" si="34"/>
        <v>1</v>
      </c>
      <c r="D183" s="2">
        <f t="shared" si="34"/>
        <v>0.98318460974903099</v>
      </c>
      <c r="E183" s="2">
        <f t="shared" si="34"/>
        <v>0.85797673286669429</v>
      </c>
      <c r="F183" s="2">
        <f t="shared" si="34"/>
        <v>0.47087156881956077</v>
      </c>
      <c r="G183" s="2">
        <f t="shared" si="34"/>
        <v>0.23502662946404326</v>
      </c>
    </row>
    <row r="184" spans="3:7" x14ac:dyDescent="0.25">
      <c r="C184" s="2">
        <f t="shared" si="34"/>
        <v>0.25</v>
      </c>
      <c r="D184" s="2">
        <f t="shared" si="34"/>
        <v>0.90935810743449375</v>
      </c>
      <c r="E184" s="2">
        <f t="shared" si="34"/>
        <v>1</v>
      </c>
      <c r="F184" s="2">
        <f t="shared" si="34"/>
        <v>0.58851951189135643</v>
      </c>
      <c r="G184" s="2">
        <f t="shared" si="34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5">AVERAGE(E194:E195)</f>
        <v>4156.9489124299998</v>
      </c>
      <c r="F199" s="4">
        <f t="shared" si="35"/>
        <v>1.4945212411908682E-3</v>
      </c>
      <c r="G199" s="4">
        <f t="shared" si="35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6">AVERAGE(E196:E197)</f>
        <v>5386.9042822499996</v>
      </c>
      <c r="F200" s="4">
        <f t="shared" si="36"/>
        <v>1.8217836051361176E-3</v>
      </c>
      <c r="G200" s="4">
        <f t="shared" si="36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7">E199/E200</f>
        <v>0.77167677289668257</v>
      </c>
      <c r="F202" s="3">
        <f t="shared" si="37"/>
        <v>0.82036156049346076</v>
      </c>
      <c r="G202" s="3">
        <f t="shared" si="37"/>
        <v>1.4287748577228767</v>
      </c>
    </row>
    <row r="204" spans="1:7" x14ac:dyDescent="0.25">
      <c r="C204" s="2">
        <f>MAX(C194:C197)</f>
        <v>4</v>
      </c>
      <c r="D204" s="2">
        <f t="shared" ref="D204:G204" si="38">MAX(D194:D197)</f>
        <v>589836.07301855378</v>
      </c>
      <c r="E204" s="2">
        <f t="shared" si="38"/>
        <v>5998.8555937799993</v>
      </c>
      <c r="F204" s="2">
        <f t="shared" si="38"/>
        <v>3.3561812091085249E-3</v>
      </c>
      <c r="G204" s="2">
        <f t="shared" si="38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9">C194/C$204</f>
        <v>1</v>
      </c>
      <c r="D206" s="2">
        <f t="shared" si="39"/>
        <v>1</v>
      </c>
      <c r="E206" s="2">
        <f t="shared" si="39"/>
        <v>0.57664977093076919</v>
      </c>
      <c r="F206" s="2">
        <f t="shared" si="39"/>
        <v>0.77853736812744556</v>
      </c>
      <c r="G206" s="2">
        <f t="shared" si="39"/>
        <v>1</v>
      </c>
    </row>
    <row r="207" spans="1:7" x14ac:dyDescent="0.25">
      <c r="C207" s="2">
        <f t="shared" si="39"/>
        <v>0.5</v>
      </c>
      <c r="D207" s="2">
        <f t="shared" si="39"/>
        <v>0.99252536988558093</v>
      </c>
      <c r="E207" s="2">
        <f t="shared" si="39"/>
        <v>0.80926420797553855</v>
      </c>
      <c r="F207" s="2">
        <f t="shared" si="39"/>
        <v>0.11207082497893665</v>
      </c>
      <c r="G207" s="2">
        <f t="shared" si="39"/>
        <v>0.9038990327846067</v>
      </c>
    </row>
    <row r="208" spans="1:7" x14ac:dyDescent="0.25">
      <c r="C208" s="2">
        <f t="shared" si="39"/>
        <v>0.75</v>
      </c>
      <c r="D208" s="2">
        <f t="shared" si="39"/>
        <v>0.97598188945750519</v>
      </c>
      <c r="E208" s="2">
        <f t="shared" si="39"/>
        <v>0.79597731535177796</v>
      </c>
      <c r="F208" s="2">
        <f t="shared" si="39"/>
        <v>8.5628869020468137E-2</v>
      </c>
      <c r="G208" s="2">
        <f t="shared" si="39"/>
        <v>0.57331026854314004</v>
      </c>
    </row>
    <row r="209" spans="1:7" x14ac:dyDescent="0.25">
      <c r="C209" s="2">
        <f t="shared" si="39"/>
        <v>0.25</v>
      </c>
      <c r="D209" s="2">
        <f t="shared" si="39"/>
        <v>0.90238419274747317</v>
      </c>
      <c r="E209" s="2">
        <f t="shared" si="39"/>
        <v>1</v>
      </c>
      <c r="F209" s="2">
        <f t="shared" si="39"/>
        <v>1</v>
      </c>
      <c r="G209" s="2">
        <f t="shared" si="39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40">AVERAGE(E219:E220)</f>
        <v>25052.605112639998</v>
      </c>
      <c r="F224" s="4">
        <f t="shared" si="40"/>
        <v>1.4196870259119745E-2</v>
      </c>
      <c r="G224" s="4">
        <f t="shared" si="40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41">AVERAGE(E221:E222)</f>
        <v>30465.947887959999</v>
      </c>
      <c r="F225" s="4">
        <f t="shared" si="41"/>
        <v>1.4102601314461555E-2</v>
      </c>
      <c r="G225" s="4">
        <f t="shared" si="41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2">E224/E225</f>
        <v>0.82231497292558131</v>
      </c>
      <c r="F227" s="3">
        <f t="shared" si="42"/>
        <v>1.0066845075285169</v>
      </c>
      <c r="G227" s="3">
        <f t="shared" si="42"/>
        <v>0.95392645329154935</v>
      </c>
    </row>
    <row r="229" spans="2:7" x14ac:dyDescent="0.25">
      <c r="C229" s="2">
        <f>MAX(C219:C222)</f>
        <v>4</v>
      </c>
      <c r="D229" s="2">
        <f t="shared" ref="D229:G229" si="43">MAX(D219:D222)</f>
        <v>2688475.9724428668</v>
      </c>
      <c r="E229" s="2">
        <f t="shared" si="43"/>
        <v>36820.330575920001</v>
      </c>
      <c r="F229" s="2">
        <f t="shared" si="43"/>
        <v>1.6816288641435851E-2</v>
      </c>
      <c r="G229" s="2">
        <f t="shared" si="43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4">D219/D$229</f>
        <v>1</v>
      </c>
      <c r="E231" s="2">
        <f t="shared" si="44"/>
        <v>0.62244477507294493</v>
      </c>
      <c r="F231" s="2">
        <f t="shared" si="44"/>
        <v>0.83919206923346823</v>
      </c>
      <c r="G231" s="2">
        <f t="shared" si="44"/>
        <v>0.50155358560624896</v>
      </c>
    </row>
    <row r="232" spans="2:7" x14ac:dyDescent="0.25">
      <c r="C232" s="2">
        <f t="shared" ref="C232:G234" si="45">C220/C$229</f>
        <v>0.5</v>
      </c>
      <c r="D232" s="2">
        <f t="shared" si="45"/>
        <v>0.81797233553377002</v>
      </c>
      <c r="E232" s="2">
        <f t="shared" si="45"/>
        <v>0.73835805970790658</v>
      </c>
      <c r="F232" s="2">
        <f t="shared" si="45"/>
        <v>0.84927446007410101</v>
      </c>
      <c r="G232" s="2">
        <f t="shared" si="45"/>
        <v>0.78959028422057287</v>
      </c>
    </row>
    <row r="233" spans="2:7" x14ac:dyDescent="0.25">
      <c r="C233" s="2">
        <f t="shared" si="45"/>
        <v>0.75</v>
      </c>
      <c r="D233" s="2">
        <f t="shared" si="45"/>
        <v>0.78513813991475667</v>
      </c>
      <c r="E233" s="2">
        <f t="shared" si="45"/>
        <v>1</v>
      </c>
      <c r="F233" s="2">
        <f t="shared" si="45"/>
        <v>0.67725490625943618</v>
      </c>
      <c r="G233" s="2">
        <f t="shared" si="45"/>
        <v>1</v>
      </c>
    </row>
    <row r="234" spans="2:7" x14ac:dyDescent="0.25">
      <c r="C234" s="2">
        <f t="shared" si="45"/>
        <v>1</v>
      </c>
      <c r="D234" s="2">
        <f t="shared" si="45"/>
        <v>0.76628830414256921</v>
      </c>
      <c r="E234" s="2">
        <f t="shared" si="45"/>
        <v>0.65484380022836186</v>
      </c>
      <c r="F234" s="2">
        <f t="shared" si="45"/>
        <v>1</v>
      </c>
      <c r="G234" s="2">
        <f t="shared" si="45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6">AVERAGE(E244:E245)</f>
        <v>25886.499881399999</v>
      </c>
      <c r="F249" s="4">
        <f t="shared" si="46"/>
        <v>3.4542866290168506E-2</v>
      </c>
      <c r="G249" s="4">
        <f t="shared" si="46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7">AVERAGE(E246:E247)</f>
        <v>21907.77927644</v>
      </c>
      <c r="F250" s="4">
        <f t="shared" si="47"/>
        <v>8.5728460385611147E-3</v>
      </c>
      <c r="G250" s="4">
        <f t="shared" si="47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8">E249/E250</f>
        <v>1.1816122280015293</v>
      </c>
      <c r="F252" s="3">
        <f t="shared" si="48"/>
        <v>4.0293347314057506</v>
      </c>
      <c r="G252" s="3">
        <f t="shared" si="48"/>
        <v>12.618953438776055</v>
      </c>
    </row>
    <row r="254" spans="1:7" x14ac:dyDescent="0.25">
      <c r="C254" s="2">
        <f>MAX(C244:C247)</f>
        <v>4</v>
      </c>
      <c r="D254" s="2">
        <f t="shared" ref="D254:G254" si="49">MAX(D244:D247)</f>
        <v>1079590.799601601</v>
      </c>
      <c r="E254" s="2">
        <f t="shared" si="49"/>
        <v>31768.917493320001</v>
      </c>
      <c r="F254" s="2">
        <f t="shared" si="49"/>
        <v>5.1385668600091312E-2</v>
      </c>
      <c r="G254" s="2">
        <f t="shared" si="49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50">D244/D$254</f>
        <v>1</v>
      </c>
      <c r="E256" s="2">
        <f t="shared" si="50"/>
        <v>0.93878727817122176</v>
      </c>
      <c r="F256" s="2">
        <f t="shared" si="50"/>
        <v>0.34445526276978805</v>
      </c>
      <c r="G256" s="2">
        <f t="shared" si="50"/>
        <v>1</v>
      </c>
    </row>
    <row r="257" spans="1:7" x14ac:dyDescent="0.25">
      <c r="C257" s="2">
        <f t="shared" ref="C257:G259" si="51">C245/C$254</f>
        <v>0.75</v>
      </c>
      <c r="D257" s="2">
        <f t="shared" si="51"/>
        <v>0.84942603960209995</v>
      </c>
      <c r="E257" s="2">
        <f t="shared" si="51"/>
        <v>0.69088738020157991</v>
      </c>
      <c r="F257" s="2">
        <f t="shared" si="51"/>
        <v>1</v>
      </c>
      <c r="G257" s="2">
        <f t="shared" si="51"/>
        <v>5.6818716744632944E-2</v>
      </c>
    </row>
    <row r="258" spans="1:7" x14ac:dyDescent="0.25">
      <c r="C258" s="2">
        <f t="shared" si="51"/>
        <v>0.5</v>
      </c>
      <c r="D258" s="2">
        <f t="shared" si="51"/>
        <v>0.74339840698029691</v>
      </c>
      <c r="E258" s="2">
        <f t="shared" si="51"/>
        <v>0.37919583070757845</v>
      </c>
      <c r="F258" s="2">
        <f t="shared" si="51"/>
        <v>0.24604511227578876</v>
      </c>
      <c r="G258" s="2">
        <f t="shared" si="51"/>
        <v>5.0333919862687079E-2</v>
      </c>
    </row>
    <row r="259" spans="1:7" x14ac:dyDescent="0.25">
      <c r="C259" s="2">
        <f t="shared" si="51"/>
        <v>0.25</v>
      </c>
      <c r="D259" s="2">
        <f t="shared" si="51"/>
        <v>0.71749361857336225</v>
      </c>
      <c r="E259" s="2">
        <f t="shared" si="51"/>
        <v>1</v>
      </c>
      <c r="F259" s="2">
        <f t="shared" si="51"/>
        <v>8.7621696860402221E-2</v>
      </c>
      <c r="G259" s="2">
        <f t="shared" si="51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2">AVERAGE(E269:E270)</f>
        <v>22529.27734968</v>
      </c>
      <c r="F274" s="4">
        <f t="shared" si="52"/>
        <v>1.7879495298971426E-2</v>
      </c>
      <c r="G274" s="4">
        <f t="shared" si="52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3">AVERAGE(E271:E272)</f>
        <v>42915.275829450002</v>
      </c>
      <c r="F275" s="4">
        <f t="shared" si="53"/>
        <v>1.2281113688736172E-3</v>
      </c>
      <c r="G275" s="4">
        <f t="shared" si="53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4">E274/E275</f>
        <v>0.52497104851926879</v>
      </c>
      <c r="F277" s="3">
        <f t="shared" si="54"/>
        <v>14.558529260558757</v>
      </c>
      <c r="G277" s="3">
        <f t="shared" si="54"/>
        <v>0.20311492992969613</v>
      </c>
    </row>
    <row r="279" spans="2:7" x14ac:dyDescent="0.25">
      <c r="C279" s="2">
        <f>MAX(C269:C272)</f>
        <v>4</v>
      </c>
      <c r="D279" s="2">
        <f t="shared" ref="D279:G279" si="55">MAX(D269:D272)</f>
        <v>702640.28510284843</v>
      </c>
      <c r="E279" s="2">
        <f t="shared" si="55"/>
        <v>57596.7124071</v>
      </c>
      <c r="F279" s="2">
        <f t="shared" si="55"/>
        <v>2.3285205202868371E-2</v>
      </c>
      <c r="G279" s="2">
        <f t="shared" si="55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6">D269/D$279</f>
        <v>1</v>
      </c>
      <c r="E281" s="2">
        <f t="shared" si="56"/>
        <v>0.4287191813565403</v>
      </c>
      <c r="F281" s="2">
        <f t="shared" si="56"/>
        <v>0.53569574699465849</v>
      </c>
      <c r="G281" s="2">
        <f t="shared" si="56"/>
        <v>9.5790129052906028E-2</v>
      </c>
    </row>
    <row r="282" spans="2:7" x14ac:dyDescent="0.25">
      <c r="C282" s="2">
        <f t="shared" ref="C282:G284" si="57">C270/C$279</f>
        <v>0.75</v>
      </c>
      <c r="D282" s="2">
        <f t="shared" si="57"/>
        <v>0.9229809392532492</v>
      </c>
      <c r="E282" s="2">
        <f t="shared" si="57"/>
        <v>0.3535920446884655</v>
      </c>
      <c r="F282" s="2">
        <f t="shared" si="57"/>
        <v>1</v>
      </c>
      <c r="G282" s="2">
        <f t="shared" si="57"/>
        <v>0.12486016719718387</v>
      </c>
    </row>
    <row r="283" spans="2:7" x14ac:dyDescent="0.25">
      <c r="C283" s="2">
        <f t="shared" si="57"/>
        <v>0.5</v>
      </c>
      <c r="D283" s="2">
        <f t="shared" si="57"/>
        <v>0.74801703981263812</v>
      </c>
      <c r="E283" s="2">
        <f t="shared" si="57"/>
        <v>1</v>
      </c>
      <c r="F283" s="2">
        <f t="shared" si="57"/>
        <v>2.9773689598128844E-2</v>
      </c>
      <c r="G283" s="2">
        <f t="shared" si="57"/>
        <v>1</v>
      </c>
    </row>
    <row r="284" spans="2:7" x14ac:dyDescent="0.25">
      <c r="C284" s="2">
        <f t="shared" si="57"/>
        <v>0.25</v>
      </c>
      <c r="D284" s="2">
        <f t="shared" si="57"/>
        <v>0.69712943030064645</v>
      </c>
      <c r="E284" s="2">
        <f t="shared" si="57"/>
        <v>0.49019879906061425</v>
      </c>
      <c r="F284" s="2">
        <f t="shared" si="57"/>
        <v>7.571057460945764E-2</v>
      </c>
      <c r="G284" s="2">
        <f t="shared" si="57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8">AVERAGE(E293:E294)</f>
        <v>5860.4372275599999</v>
      </c>
      <c r="F298" s="4">
        <f t="shared" si="58"/>
        <v>5.5548597773630477E-3</v>
      </c>
      <c r="G298" s="4">
        <f t="shared" si="58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9">AVERAGE(E295:E296)</f>
        <v>25327.99827842</v>
      </c>
      <c r="F299" s="4">
        <f t="shared" si="59"/>
        <v>3.5200008083333573E-4</v>
      </c>
      <c r="G299" s="4">
        <f t="shared" si="59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60">E298/E299</f>
        <v>0.23138177613322164</v>
      </c>
      <c r="F301" s="3">
        <f t="shared" si="60"/>
        <v>15.780848016319494</v>
      </c>
      <c r="G301" s="3">
        <f t="shared" si="60"/>
        <v>0.9262386419932308</v>
      </c>
    </row>
    <row r="303" spans="1:7" x14ac:dyDescent="0.25">
      <c r="C303" s="2">
        <f>MAX(C293:C296)</f>
        <v>4</v>
      </c>
      <c r="D303" s="2">
        <f t="shared" ref="D303:G303" si="61">MAX(D293:D296)</f>
        <v>333902.21266145178</v>
      </c>
      <c r="E303" s="2">
        <f t="shared" si="61"/>
        <v>45922.658233419999</v>
      </c>
      <c r="F303" s="2">
        <f t="shared" si="61"/>
        <v>7.1409024001186736E-3</v>
      </c>
      <c r="G303" s="2">
        <f t="shared" si="61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2">D293/D$303</f>
        <v>1</v>
      </c>
      <c r="E305" s="2">
        <f t="shared" si="62"/>
        <v>0.14350332523225146</v>
      </c>
      <c r="F305" s="2">
        <f t="shared" si="62"/>
        <v>0.55578650039264843</v>
      </c>
      <c r="G305" s="2">
        <f t="shared" si="62"/>
        <v>0.45346685151196658</v>
      </c>
    </row>
    <row r="306" spans="1:7" x14ac:dyDescent="0.25">
      <c r="C306" s="2">
        <f t="shared" ref="C306:G308" si="63">C294/C$303</f>
        <v>0.75</v>
      </c>
      <c r="D306" s="2">
        <f t="shared" si="63"/>
        <v>0.86811440331311229</v>
      </c>
      <c r="E306" s="2">
        <f t="shared" si="63"/>
        <v>0.11172742372709753</v>
      </c>
      <c r="F306" s="2">
        <f t="shared" si="63"/>
        <v>1</v>
      </c>
      <c r="G306" s="2">
        <f t="shared" si="63"/>
        <v>0.5175960410871423</v>
      </c>
    </row>
    <row r="307" spans="1:7" x14ac:dyDescent="0.25">
      <c r="C307" s="2">
        <f t="shared" si="63"/>
        <v>0.5</v>
      </c>
      <c r="D307" s="2">
        <f t="shared" si="63"/>
        <v>0.77812754762172931</v>
      </c>
      <c r="E307" s="2">
        <f t="shared" si="63"/>
        <v>1</v>
      </c>
      <c r="F307" s="2">
        <f t="shared" si="63"/>
        <v>5.6622871781342003E-3</v>
      </c>
      <c r="G307" s="2">
        <f t="shared" si="63"/>
        <v>4.8393846438341249E-2</v>
      </c>
    </row>
    <row r="308" spans="1:7" x14ac:dyDescent="0.25">
      <c r="C308" s="2">
        <f t="shared" si="63"/>
        <v>0.25</v>
      </c>
      <c r="D308" s="2">
        <f t="shared" si="63"/>
        <v>0.70137268991339052</v>
      </c>
      <c r="E308" s="2">
        <f t="shared" si="63"/>
        <v>0.10307195849510592</v>
      </c>
      <c r="F308" s="2">
        <f t="shared" si="63"/>
        <v>9.2924715166971622E-2</v>
      </c>
      <c r="G308" s="2">
        <f t="shared" si="63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4">AVERAGE(E318:E319)</f>
        <v>10784.211597880001</v>
      </c>
      <c r="F323" s="4">
        <f t="shared" si="64"/>
        <v>3.0192741349205411E-3</v>
      </c>
      <c r="G323" s="4">
        <f t="shared" si="64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5">AVERAGE(E320:E321)</f>
        <v>9648.2186803599998</v>
      </c>
      <c r="F324" s="4">
        <f t="shared" si="65"/>
        <v>2.9670262853140415E-2</v>
      </c>
      <c r="G324" s="4">
        <f t="shared" si="65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6">E323/E324</f>
        <v>1.1177412074865631</v>
      </c>
      <c r="F326" s="3">
        <f t="shared" si="66"/>
        <v>0.10176095000792922</v>
      </c>
      <c r="G326" s="3">
        <f t="shared" si="66"/>
        <v>1.2821795576565411</v>
      </c>
    </row>
    <row r="328" spans="1:7" x14ac:dyDescent="0.25">
      <c r="C328" s="2">
        <f>MAX(C318:C321)</f>
        <v>4</v>
      </c>
      <c r="D328" s="2">
        <f t="shared" ref="D328:G328" si="67">MAX(D318:D321)</f>
        <v>615324.90182869229</v>
      </c>
      <c r="E328" s="2">
        <f t="shared" si="67"/>
        <v>12188.037840000001</v>
      </c>
      <c r="F328" s="2">
        <f t="shared" si="67"/>
        <v>5.3628300774693723E-2</v>
      </c>
      <c r="G328" s="2">
        <f t="shared" si="67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8">D318/D$328</f>
        <v>1</v>
      </c>
      <c r="E330" s="2">
        <f t="shared" si="68"/>
        <v>1</v>
      </c>
      <c r="F330" s="2">
        <f t="shared" si="68"/>
        <v>6.6315361695601274E-2</v>
      </c>
      <c r="G330" s="2">
        <f t="shared" si="68"/>
        <v>1</v>
      </c>
    </row>
    <row r="331" spans="1:7" x14ac:dyDescent="0.25">
      <c r="C331" s="2">
        <f t="shared" ref="C331:G333" si="69">C319/C$328</f>
        <v>0.75</v>
      </c>
      <c r="D331" s="2">
        <f t="shared" si="69"/>
        <v>0.75321300601601027</v>
      </c>
      <c r="E331" s="2">
        <f t="shared" si="69"/>
        <v>0.76963868006501046</v>
      </c>
      <c r="F331" s="2">
        <f t="shared" si="69"/>
        <v>4.6284668188071074E-2</v>
      </c>
      <c r="G331" s="2">
        <f t="shared" si="69"/>
        <v>0.76611190616225677</v>
      </c>
    </row>
    <row r="332" spans="1:7" x14ac:dyDescent="0.25">
      <c r="C332" s="2">
        <f t="shared" si="69"/>
        <v>0.5</v>
      </c>
      <c r="D332" s="2">
        <f t="shared" si="69"/>
        <v>0.71816557146611792</v>
      </c>
      <c r="E332" s="2">
        <f t="shared" si="69"/>
        <v>0.71225562194184977</v>
      </c>
      <c r="F332" s="2">
        <f t="shared" si="69"/>
        <v>1</v>
      </c>
      <c r="G332" s="2">
        <f t="shared" si="69"/>
        <v>0.85157128686456229</v>
      </c>
    </row>
    <row r="333" spans="1:7" x14ac:dyDescent="0.25">
      <c r="C333" s="2">
        <f t="shared" si="69"/>
        <v>0.25</v>
      </c>
      <c r="D333" s="2">
        <f t="shared" si="69"/>
        <v>0.64423928937651198</v>
      </c>
      <c r="E333" s="2">
        <f t="shared" si="69"/>
        <v>0.87097193396472083</v>
      </c>
      <c r="F333" s="2">
        <f t="shared" si="69"/>
        <v>0.10651512073048215</v>
      </c>
      <c r="G333" s="2">
        <f t="shared" si="69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70">AVERAGE(E343:E344)</f>
        <v>11682.365346869999</v>
      </c>
      <c r="F348" s="4">
        <f t="shared" si="70"/>
        <v>2.5646214635220368E-4</v>
      </c>
      <c r="G348" s="4">
        <f t="shared" si="70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71">AVERAGE(E345:E346)</f>
        <v>7988.6998572800003</v>
      </c>
      <c r="F349" s="4">
        <f t="shared" si="71"/>
        <v>3.6016061043586542E-4</v>
      </c>
      <c r="G349" s="4">
        <f t="shared" si="71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2">E348/E349</f>
        <v>1.462361279754929</v>
      </c>
      <c r="F351" s="3">
        <f t="shared" si="72"/>
        <v>0.71207716480109773</v>
      </c>
      <c r="G351" s="3">
        <f t="shared" si="72"/>
        <v>1.2647790839496653</v>
      </c>
    </row>
    <row r="353" spans="1:7" x14ac:dyDescent="0.25">
      <c r="C353" s="2">
        <f>MAX(C343:C346)</f>
        <v>4</v>
      </c>
      <c r="D353" s="2">
        <f t="shared" ref="D353:G353" si="73">MAX(D343:D346)</f>
        <v>480752.63075950177</v>
      </c>
      <c r="E353" s="2">
        <f t="shared" si="73"/>
        <v>13713.99982974</v>
      </c>
      <c r="F353" s="2">
        <f t="shared" si="73"/>
        <v>5.6879237956854514E-4</v>
      </c>
      <c r="G353" s="2">
        <f t="shared" si="73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4">D343/D$353</f>
        <v>1</v>
      </c>
      <c r="E355" s="2">
        <f t="shared" si="74"/>
        <v>1</v>
      </c>
      <c r="F355" s="2">
        <f t="shared" si="74"/>
        <v>0.33245092784424229</v>
      </c>
      <c r="G355" s="2">
        <f t="shared" si="74"/>
        <v>1</v>
      </c>
    </row>
    <row r="356" spans="1:7" x14ac:dyDescent="0.25">
      <c r="C356" s="2">
        <f t="shared" ref="C356:G358" si="75">C344/C$353</f>
        <v>1</v>
      </c>
      <c r="D356" s="2">
        <f t="shared" si="75"/>
        <v>0.89584688721572603</v>
      </c>
      <c r="E356" s="2">
        <f t="shared" si="75"/>
        <v>0.70371379494052133</v>
      </c>
      <c r="F356" s="2">
        <f t="shared" si="75"/>
        <v>0.56932678776700363</v>
      </c>
      <c r="G356" s="2">
        <f t="shared" si="75"/>
        <v>9.1928838540822747E-2</v>
      </c>
    </row>
    <row r="357" spans="1:7" x14ac:dyDescent="0.25">
      <c r="C357" s="2">
        <f t="shared" si="75"/>
        <v>0.75</v>
      </c>
      <c r="D357" s="2">
        <f t="shared" si="75"/>
        <v>0.7172468986764462</v>
      </c>
      <c r="E357" s="2">
        <f t="shared" si="75"/>
        <v>0.56632037695360282</v>
      </c>
      <c r="F357" s="2">
        <f t="shared" si="75"/>
        <v>1</v>
      </c>
      <c r="G357" s="2">
        <f t="shared" si="75"/>
        <v>6.5308363085126067E-2</v>
      </c>
    </row>
    <row r="358" spans="1:7" x14ac:dyDescent="0.25">
      <c r="C358" s="2">
        <f t="shared" si="75"/>
        <v>0.5</v>
      </c>
      <c r="D358" s="2">
        <f t="shared" si="75"/>
        <v>0.64647539729806525</v>
      </c>
      <c r="E358" s="2">
        <f t="shared" si="75"/>
        <v>0.59872263842631746</v>
      </c>
      <c r="F358" s="2">
        <f t="shared" si="75"/>
        <v>0.26640448561938757</v>
      </c>
      <c r="G358" s="2">
        <f t="shared" si="75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6">AVERAGE(E368:E369)</f>
        <v>20897.6226838</v>
      </c>
      <c r="F373" s="4">
        <f t="shared" si="76"/>
        <v>1.9907877305405742E-3</v>
      </c>
      <c r="G373" s="4">
        <f t="shared" si="76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7">AVERAGE(E370:E371)</f>
        <v>16256.808749169999</v>
      </c>
      <c r="F374" s="4">
        <f t="shared" si="77"/>
        <v>2.3062679545461382E-3</v>
      </c>
      <c r="G374" s="4">
        <f t="shared" si="77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8">E373/E374</f>
        <v>1.2854689383527957</v>
      </c>
      <c r="F376" s="3">
        <f t="shared" si="78"/>
        <v>0.8632074718882139</v>
      </c>
      <c r="G376" s="3">
        <f t="shared" si="78"/>
        <v>2.5147412702861627</v>
      </c>
    </row>
    <row r="378" spans="1:7" x14ac:dyDescent="0.25">
      <c r="C378" s="2">
        <f>MAX(C368:C371)</f>
        <v>4</v>
      </c>
      <c r="D378" s="2">
        <f t="shared" ref="D378:G378" si="79">MAX(D368:D371)</f>
        <v>624490.81179662514</v>
      </c>
      <c r="E378" s="2">
        <f t="shared" si="79"/>
        <v>23490.718752000001</v>
      </c>
      <c r="F378" s="2">
        <f t="shared" si="79"/>
        <v>3.348617336982791E-3</v>
      </c>
      <c r="G378" s="2">
        <f t="shared" si="79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80">D368/D$378</f>
        <v>1</v>
      </c>
      <c r="E380" s="2">
        <f t="shared" si="80"/>
        <v>1</v>
      </c>
      <c r="F380" s="2">
        <f t="shared" si="80"/>
        <v>0.57548795019413157</v>
      </c>
      <c r="G380" s="2">
        <f t="shared" si="80"/>
        <v>0.78245342731197487</v>
      </c>
    </row>
    <row r="381" spans="1:7" x14ac:dyDescent="0.25">
      <c r="C381" s="2">
        <f t="shared" ref="C381:G383" si="81">C369/C$378</f>
        <v>0.75</v>
      </c>
      <c r="D381" s="2">
        <f t="shared" si="81"/>
        <v>0.98481107371600407</v>
      </c>
      <c r="E381" s="2">
        <f t="shared" si="81"/>
        <v>0.77922377807369358</v>
      </c>
      <c r="F381" s="2">
        <f t="shared" si="81"/>
        <v>0.61353278893537189</v>
      </c>
      <c r="G381" s="2">
        <f t="shared" si="81"/>
        <v>1</v>
      </c>
    </row>
    <row r="382" spans="1:7" x14ac:dyDescent="0.25">
      <c r="C382" s="2">
        <f t="shared" si="81"/>
        <v>0.25</v>
      </c>
      <c r="D382" s="2">
        <f t="shared" si="81"/>
        <v>0.89333734012332733</v>
      </c>
      <c r="E382" s="2">
        <f t="shared" si="81"/>
        <v>0.7523646986099678</v>
      </c>
      <c r="F382" s="2">
        <f t="shared" si="81"/>
        <v>0.3774449108145379</v>
      </c>
      <c r="G382" s="2">
        <f t="shared" si="81"/>
        <v>0.30132523711798664</v>
      </c>
    </row>
    <row r="383" spans="1:7" x14ac:dyDescent="0.25">
      <c r="C383" s="2">
        <f t="shared" si="81"/>
        <v>0.5</v>
      </c>
      <c r="D383" s="2">
        <f t="shared" si="81"/>
        <v>0.84698859751328548</v>
      </c>
      <c r="E383" s="2">
        <f t="shared" si="81"/>
        <v>0.63174014047980198</v>
      </c>
      <c r="F383" s="2">
        <f t="shared" si="81"/>
        <v>1</v>
      </c>
      <c r="G383" s="2">
        <f t="shared" si="81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2">AVERAGE(E393:E394)</f>
        <v>5858.9591118600001</v>
      </c>
      <c r="F398" s="4">
        <f t="shared" si="82"/>
        <v>7.1277616950951182E-4</v>
      </c>
      <c r="G398" s="4">
        <f t="shared" si="82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3">AVERAGE(E395:E396)</f>
        <v>6502.7992681799997</v>
      </c>
      <c r="F399" s="4">
        <f t="shared" si="83"/>
        <v>1.191953502593869E-3</v>
      </c>
      <c r="G399" s="4">
        <f t="shared" si="83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4">E398/E399</f>
        <v>0.9009903074402914</v>
      </c>
      <c r="F401" s="3">
        <f t="shared" si="84"/>
        <v>0.59798991148430225</v>
      </c>
      <c r="G401" s="3">
        <f t="shared" si="84"/>
        <v>3.0757485240645135</v>
      </c>
    </row>
    <row r="403" spans="3:7" x14ac:dyDescent="0.25">
      <c r="C403" s="2">
        <f>MAX(C393:C396)</f>
        <v>4</v>
      </c>
      <c r="D403" s="2">
        <f t="shared" ref="D403:G403" si="85">MAX(D393:D396)</f>
        <v>496312.33844584553</v>
      </c>
      <c r="E403" s="2">
        <f t="shared" si="85"/>
        <v>6600.4823040000001</v>
      </c>
      <c r="F403" s="2">
        <f t="shared" si="85"/>
        <v>1.36542870460566E-3</v>
      </c>
      <c r="G403" s="2">
        <f t="shared" si="85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6">D393/D$403</f>
        <v>1</v>
      </c>
      <c r="E405" s="2">
        <f t="shared" si="86"/>
        <v>0.91790681578047295</v>
      </c>
      <c r="F405" s="2">
        <f t="shared" si="86"/>
        <v>0.84158694771293341</v>
      </c>
      <c r="G405" s="2">
        <f t="shared" si="86"/>
        <v>1</v>
      </c>
    </row>
    <row r="406" spans="3:7" x14ac:dyDescent="0.25">
      <c r="C406" s="2">
        <f t="shared" ref="C406:G406" si="87">C394/C$403</f>
        <v>0.75</v>
      </c>
      <c r="D406" s="2">
        <f t="shared" si="87"/>
        <v>0.96953187987903577</v>
      </c>
      <c r="E406" s="2">
        <f t="shared" si="87"/>
        <v>0.85740560595251925</v>
      </c>
      <c r="F406" s="2">
        <f t="shared" si="87"/>
        <v>0.20244584155725229</v>
      </c>
      <c r="G406" s="2">
        <f t="shared" si="87"/>
        <v>0.60234739389415504</v>
      </c>
    </row>
    <row r="407" spans="3:7" x14ac:dyDescent="0.25">
      <c r="C407" s="2">
        <f t="shared" ref="C407:G407" si="88">C395/C$403</f>
        <v>0.5</v>
      </c>
      <c r="D407" s="2">
        <f t="shared" si="88"/>
        <v>0.93399700584921264</v>
      </c>
      <c r="E407" s="2">
        <f t="shared" si="88"/>
        <v>0.97040124302407327</v>
      </c>
      <c r="F407" s="2">
        <f t="shared" si="88"/>
        <v>1</v>
      </c>
      <c r="G407" s="2">
        <f t="shared" si="88"/>
        <v>0.24509363334584758</v>
      </c>
    </row>
    <row r="408" spans="3:7" x14ac:dyDescent="0.25">
      <c r="C408" s="2">
        <f t="shared" ref="C408:G408" si="89">C396/C$403</f>
        <v>1</v>
      </c>
      <c r="D408" s="2">
        <f t="shared" si="89"/>
        <v>0.93331352650149302</v>
      </c>
      <c r="E408" s="2">
        <f t="shared" si="89"/>
        <v>1</v>
      </c>
      <c r="F408" s="2">
        <f t="shared" si="89"/>
        <v>0.7459036836904771</v>
      </c>
      <c r="G408" s="2">
        <f t="shared" si="89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sortState ref="C411:G414">
    <sortCondition ref="C411:C414"/>
  </sortState>
  <conditionalFormatting sqref="D2:D62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5"/>
  <sheetViews>
    <sheetView zoomScale="25" zoomScaleNormal="25" workbookViewId="0">
      <selection activeCell="AU112" sqref="AU112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7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7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7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7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7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7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7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7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</row>
    <row r="108" spans="1:7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</row>
    <row r="109" spans="1:7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</row>
    <row r="110" spans="1:7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</row>
    <row r="111" spans="1:7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</row>
    <row r="113" spans="1:7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</row>
    <row r="114" spans="1:7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</row>
    <row r="115" spans="1:7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</row>
    <row r="116" spans="1:7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</row>
    <row r="117" spans="1:7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</row>
    <row r="119" spans="1:7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</row>
    <row r="120" spans="1:7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</row>
    <row r="121" spans="1:7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</row>
    <row r="122" spans="1:7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</row>
    <row r="123" spans="1:7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</row>
    <row r="125" spans="1:7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7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7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7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7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</row>
    <row r="132" spans="1:7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</row>
    <row r="133" spans="1:7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7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7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7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7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7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7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7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7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7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7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7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7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7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7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7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7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7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</row>
    <row r="156" spans="1:7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</row>
    <row r="157" spans="1:7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7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7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8" spans="1:7" x14ac:dyDescent="0.25">
      <c r="A168" s="1" t="s">
        <v>0</v>
      </c>
      <c r="B168" s="1" t="s">
        <v>1</v>
      </c>
      <c r="C168" s="1" t="s">
        <v>2</v>
      </c>
      <c r="D168" s="1" t="s">
        <v>3</v>
      </c>
      <c r="E168" s="1" t="s">
        <v>4</v>
      </c>
      <c r="F168" s="1" t="s">
        <v>5</v>
      </c>
      <c r="G168" s="1" t="s">
        <v>6</v>
      </c>
    </row>
    <row r="169" spans="1:7" x14ac:dyDescent="0.25">
      <c r="A169" s="2" t="s">
        <v>19</v>
      </c>
      <c r="B169" s="8" t="s">
        <v>20</v>
      </c>
      <c r="C169" s="2">
        <v>2</v>
      </c>
      <c r="D169" s="3">
        <v>327266.01547195681</v>
      </c>
      <c r="E169" s="3">
        <v>2736.7203125999999</v>
      </c>
      <c r="F169" s="4">
        <v>6.5575458761258591E-4</v>
      </c>
      <c r="G169" s="4">
        <v>9.6186040198574876E-4</v>
      </c>
    </row>
    <row r="170" spans="1:7" x14ac:dyDescent="0.25">
      <c r="A170" s="2" t="s">
        <v>19</v>
      </c>
      <c r="B170" s="8" t="s">
        <v>20</v>
      </c>
      <c r="C170" s="2">
        <v>3</v>
      </c>
      <c r="D170" s="3">
        <v>323997.44760210218</v>
      </c>
      <c r="E170" s="3">
        <v>2594.2840083999999</v>
      </c>
      <c r="F170" s="4">
        <v>4.4144095106468531E-4</v>
      </c>
      <c r="G170" s="4">
        <v>4.2813564143465432E-3</v>
      </c>
    </row>
    <row r="171" spans="1:7" x14ac:dyDescent="0.25">
      <c r="A171" s="2" t="s">
        <v>19</v>
      </c>
      <c r="B171" s="8" t="s">
        <v>20</v>
      </c>
      <c r="C171" s="2">
        <v>4</v>
      </c>
      <c r="D171" s="3">
        <v>321762.90970591619</v>
      </c>
      <c r="E171" s="3">
        <v>2793.945984</v>
      </c>
      <c r="F171" s="4">
        <v>3.0877619142976242E-4</v>
      </c>
      <c r="G171" s="4">
        <v>1.0062327675981299E-3</v>
      </c>
    </row>
    <row r="172" spans="1:7" x14ac:dyDescent="0.25">
      <c r="A172" s="2" t="s">
        <v>19</v>
      </c>
      <c r="B172" s="8" t="s">
        <v>20</v>
      </c>
      <c r="C172" s="2">
        <v>1</v>
      </c>
      <c r="D172" s="3">
        <v>297602.00445720641</v>
      </c>
      <c r="E172" s="3">
        <v>3256.4356082999998</v>
      </c>
      <c r="F172" s="4">
        <v>3.8592436982227681E-4</v>
      </c>
      <c r="G172" s="4">
        <v>2.369477916386043E-3</v>
      </c>
    </row>
    <row r="174" spans="1:7" x14ac:dyDescent="0.25">
      <c r="B174" s="7" t="s">
        <v>40</v>
      </c>
      <c r="D174" s="3">
        <f>AVERAGE(D169:D170)</f>
        <v>325631.7315370295</v>
      </c>
      <c r="E174" s="3">
        <f t="shared" ref="E174:G174" si="28">AVERAGE(E169:E170)</f>
        <v>2665.5021605000002</v>
      </c>
      <c r="F174" s="4">
        <f t="shared" si="28"/>
        <v>5.4859776933863561E-4</v>
      </c>
      <c r="G174" s="4">
        <f t="shared" si="28"/>
        <v>2.6216084081661459E-3</v>
      </c>
    </row>
    <row r="175" spans="1:7" x14ac:dyDescent="0.25">
      <c r="B175" s="7" t="s">
        <v>41</v>
      </c>
      <c r="D175" s="3">
        <f>AVERAGE(D171:D172)</f>
        <v>309682.45708156133</v>
      </c>
      <c r="E175" s="3">
        <f t="shared" ref="E175:G175" si="29">AVERAGE(E171:E172)</f>
        <v>3025.1907961500001</v>
      </c>
      <c r="F175" s="4">
        <f t="shared" si="29"/>
        <v>3.4735028062601961E-4</v>
      </c>
      <c r="G175" s="4">
        <f t="shared" si="29"/>
        <v>1.6878553419920864E-3</v>
      </c>
    </row>
    <row r="177" spans="3:7" x14ac:dyDescent="0.25">
      <c r="C177" s="7" t="s">
        <v>42</v>
      </c>
      <c r="D177" s="3">
        <f>D174/D175</f>
        <v>1.0515020276116822</v>
      </c>
      <c r="E177" s="3">
        <f t="shared" ref="E177:G177" si="30">E174/E175</f>
        <v>0.88110216515673767</v>
      </c>
      <c r="F177" s="3">
        <f t="shared" si="30"/>
        <v>1.5793790877321685</v>
      </c>
      <c r="G177" s="3">
        <f t="shared" si="30"/>
        <v>1.5532186573951297</v>
      </c>
    </row>
    <row r="179" spans="3:7" x14ac:dyDescent="0.25">
      <c r="C179" s="2">
        <f>MAX(C169:C172)</f>
        <v>4</v>
      </c>
      <c r="D179" s="2">
        <f t="shared" ref="D179:G179" si="31">MAX(D169:D172)</f>
        <v>327266.01547195681</v>
      </c>
      <c r="E179" s="2">
        <f t="shared" si="31"/>
        <v>3256.4356082999998</v>
      </c>
      <c r="F179" s="2">
        <f t="shared" si="31"/>
        <v>6.5575458761258591E-4</v>
      </c>
      <c r="G179" s="2">
        <f t="shared" si="31"/>
        <v>4.2813564143465432E-3</v>
      </c>
    </row>
    <row r="180" spans="3:7" x14ac:dyDescent="0.25">
      <c r="C180" s="10" t="s">
        <v>43</v>
      </c>
      <c r="D180" s="10" t="s">
        <v>3</v>
      </c>
      <c r="E180" s="1" t="s">
        <v>4</v>
      </c>
      <c r="F180" s="1" t="s">
        <v>5</v>
      </c>
      <c r="G180" s="1" t="s">
        <v>6</v>
      </c>
    </row>
    <row r="181" spans="3:7" x14ac:dyDescent="0.25">
      <c r="C181" s="2">
        <f t="shared" ref="C181:G184" si="32">C169/C$179</f>
        <v>0.5</v>
      </c>
      <c r="D181" s="2">
        <f t="shared" si="32"/>
        <v>1</v>
      </c>
      <c r="E181" s="2">
        <f t="shared" si="32"/>
        <v>0.84040363200323998</v>
      </c>
      <c r="F181" s="2">
        <f t="shared" si="32"/>
        <v>1</v>
      </c>
      <c r="G181" s="2">
        <f t="shared" si="32"/>
        <v>0.22466253890066659</v>
      </c>
    </row>
    <row r="182" spans="3:7" x14ac:dyDescent="0.25">
      <c r="C182" s="2">
        <f t="shared" si="32"/>
        <v>0.75</v>
      </c>
      <c r="D182" s="2">
        <f t="shared" si="32"/>
        <v>0.99001250446019895</v>
      </c>
      <c r="E182" s="2">
        <f t="shared" si="32"/>
        <v>0.796663690136446</v>
      </c>
      <c r="F182" s="2">
        <f t="shared" si="32"/>
        <v>0.67318011860480464</v>
      </c>
      <c r="G182" s="2">
        <f t="shared" si="32"/>
        <v>1</v>
      </c>
    </row>
    <row r="183" spans="3:7" x14ac:dyDescent="0.25">
      <c r="C183" s="2">
        <f t="shared" si="32"/>
        <v>1</v>
      </c>
      <c r="D183" s="2">
        <f t="shared" si="32"/>
        <v>0.98318460974903099</v>
      </c>
      <c r="E183" s="2">
        <f t="shared" si="32"/>
        <v>0.85797673286669429</v>
      </c>
      <c r="F183" s="2">
        <f t="shared" si="32"/>
        <v>0.47087156881956077</v>
      </c>
      <c r="G183" s="2">
        <f t="shared" si="32"/>
        <v>0.23502662946404326</v>
      </c>
    </row>
    <row r="184" spans="3:7" x14ac:dyDescent="0.25">
      <c r="C184" s="2">
        <f t="shared" si="32"/>
        <v>0.25</v>
      </c>
      <c r="D184" s="2">
        <f t="shared" si="32"/>
        <v>0.90935810743449375</v>
      </c>
      <c r="E184" s="2">
        <f t="shared" si="32"/>
        <v>1</v>
      </c>
      <c r="F184" s="2">
        <f t="shared" si="32"/>
        <v>0.58851951189135643</v>
      </c>
      <c r="G184" s="2">
        <f t="shared" si="32"/>
        <v>0.55344093952236229</v>
      </c>
    </row>
    <row r="186" spans="3:7" x14ac:dyDescent="0.25">
      <c r="C186" s="10" t="s">
        <v>3</v>
      </c>
      <c r="D186" s="10" t="s">
        <v>43</v>
      </c>
      <c r="E186" s="10" t="s">
        <v>4</v>
      </c>
      <c r="F186" s="10" t="s">
        <v>5</v>
      </c>
      <c r="G186" s="10" t="s">
        <v>6</v>
      </c>
    </row>
    <row r="187" spans="3:7" x14ac:dyDescent="0.25">
      <c r="C187" s="3">
        <v>0.90935810743449375</v>
      </c>
      <c r="D187" s="2">
        <v>0.25</v>
      </c>
      <c r="E187" s="2">
        <v>1</v>
      </c>
      <c r="F187" s="2">
        <v>0.58851951189135643</v>
      </c>
      <c r="G187" s="2">
        <v>0.55344093952236229</v>
      </c>
    </row>
    <row r="188" spans="3:7" x14ac:dyDescent="0.25">
      <c r="C188" s="3">
        <v>0.98318460974903099</v>
      </c>
      <c r="D188" s="2">
        <v>1</v>
      </c>
      <c r="E188" s="2">
        <v>0.85797673286669429</v>
      </c>
      <c r="F188" s="2">
        <v>0.47087156881956077</v>
      </c>
      <c r="G188" s="2">
        <v>0.23502662946404326</v>
      </c>
    </row>
    <row r="189" spans="3:7" x14ac:dyDescent="0.25">
      <c r="C189" s="3">
        <v>0.99001250446019895</v>
      </c>
      <c r="D189" s="2">
        <v>0.75</v>
      </c>
      <c r="E189" s="2">
        <v>0.796663690136446</v>
      </c>
      <c r="F189" s="2">
        <v>0.67318011860480464</v>
      </c>
      <c r="G189" s="2">
        <v>1</v>
      </c>
    </row>
    <row r="190" spans="3:7" x14ac:dyDescent="0.25">
      <c r="C190" s="3">
        <v>1</v>
      </c>
      <c r="D190" s="2">
        <v>0.5</v>
      </c>
      <c r="E190" s="2">
        <v>0.84040363200323998</v>
      </c>
      <c r="F190" s="2">
        <v>1</v>
      </c>
      <c r="G190" s="2">
        <v>0.22466253890066659</v>
      </c>
    </row>
    <row r="193" spans="1:7" x14ac:dyDescent="0.25">
      <c r="A193" s="1" t="s">
        <v>0</v>
      </c>
      <c r="B193" s="1" t="s">
        <v>1</v>
      </c>
      <c r="C193" s="1" t="s">
        <v>2</v>
      </c>
      <c r="D193" s="1" t="s">
        <v>3</v>
      </c>
      <c r="E193" s="1" t="s">
        <v>4</v>
      </c>
      <c r="F193" s="1" t="s">
        <v>5</v>
      </c>
      <c r="G193" s="1" t="s">
        <v>6</v>
      </c>
    </row>
    <row r="194" spans="1:7" x14ac:dyDescent="0.25">
      <c r="A194" s="2" t="s">
        <v>21</v>
      </c>
      <c r="B194" s="8" t="s">
        <v>22</v>
      </c>
      <c r="C194" s="2">
        <v>4</v>
      </c>
      <c r="D194" s="3">
        <v>589836.07301855378</v>
      </c>
      <c r="E194" s="3">
        <v>3459.2387039999999</v>
      </c>
      <c r="F194" s="4">
        <v>2.6129124854981389E-3</v>
      </c>
      <c r="G194" s="4">
        <v>2.2962786554205951E-3</v>
      </c>
    </row>
    <row r="195" spans="1:7" x14ac:dyDescent="0.25">
      <c r="A195" s="2" t="s">
        <v>21</v>
      </c>
      <c r="B195" s="8" t="s">
        <v>22</v>
      </c>
      <c r="C195" s="2">
        <v>2</v>
      </c>
      <c r="D195" s="3">
        <v>585427.26654459862</v>
      </c>
      <c r="E195" s="3">
        <v>4854.6591208600003</v>
      </c>
      <c r="F195" s="4">
        <v>3.7612999688359748E-4</v>
      </c>
      <c r="G195" s="4">
        <v>2.0756040556386131E-3</v>
      </c>
    </row>
    <row r="196" spans="1:7" x14ac:dyDescent="0.25">
      <c r="A196" s="2" t="s">
        <v>21</v>
      </c>
      <c r="B196" s="8" t="s">
        <v>22</v>
      </c>
      <c r="C196" s="2">
        <v>3</v>
      </c>
      <c r="D196" s="3">
        <v>575669.32501484314</v>
      </c>
      <c r="E196" s="3">
        <v>4774.9529707199999</v>
      </c>
      <c r="F196" s="4">
        <v>2.8738600116371028E-4</v>
      </c>
      <c r="G196" s="4">
        <v>1.316480132589062E-3</v>
      </c>
    </row>
    <row r="197" spans="1:7" x14ac:dyDescent="0.25">
      <c r="A197" s="2" t="s">
        <v>21</v>
      </c>
      <c r="B197" s="8" t="s">
        <v>22</v>
      </c>
      <c r="C197" s="2">
        <v>1</v>
      </c>
      <c r="D197" s="3">
        <v>532258.74860418728</v>
      </c>
      <c r="E197" s="3">
        <v>5998.8555937799993</v>
      </c>
      <c r="F197" s="4">
        <v>3.3561812091085249E-3</v>
      </c>
      <c r="G197" s="4">
        <v>1.7434020366891251E-3</v>
      </c>
    </row>
    <row r="199" spans="1:7" x14ac:dyDescent="0.25">
      <c r="B199" s="7" t="s">
        <v>40</v>
      </c>
      <c r="D199" s="3">
        <f>AVERAGE(D194:D195)</f>
        <v>587631.66978157614</v>
      </c>
      <c r="E199" s="3">
        <f t="shared" ref="E199:G199" si="33">AVERAGE(E194:E195)</f>
        <v>4156.9489124299998</v>
      </c>
      <c r="F199" s="4">
        <f t="shared" si="33"/>
        <v>1.4945212411908682E-3</v>
      </c>
      <c r="G199" s="4">
        <f t="shared" si="33"/>
        <v>2.1859413555296043E-3</v>
      </c>
    </row>
    <row r="200" spans="1:7" x14ac:dyDescent="0.25">
      <c r="B200" s="7" t="s">
        <v>41</v>
      </c>
      <c r="D200" s="3">
        <f>AVERAGE(D196:D197)</f>
        <v>553964.03680951521</v>
      </c>
      <c r="E200" s="3">
        <f t="shared" ref="E200:G200" si="34">AVERAGE(E196:E197)</f>
        <v>5386.9042822499996</v>
      </c>
      <c r="F200" s="4">
        <f t="shared" si="34"/>
        <v>1.8217836051361176E-3</v>
      </c>
      <c r="G200" s="4">
        <f t="shared" si="34"/>
        <v>1.5299410846390934E-3</v>
      </c>
    </row>
    <row r="202" spans="1:7" x14ac:dyDescent="0.25">
      <c r="C202" s="7" t="s">
        <v>42</v>
      </c>
      <c r="D202" s="3">
        <f>D199/D200</f>
        <v>1.0607758459664012</v>
      </c>
      <c r="E202" s="3">
        <f t="shared" ref="E202:G202" si="35">E199/E200</f>
        <v>0.77167677289668257</v>
      </c>
      <c r="F202" s="3">
        <f t="shared" si="35"/>
        <v>0.82036156049346076</v>
      </c>
      <c r="G202" s="3">
        <f t="shared" si="35"/>
        <v>1.4287748577228767</v>
      </c>
    </row>
    <row r="204" spans="1:7" x14ac:dyDescent="0.25">
      <c r="C204" s="2">
        <f>MAX(C194:C197)</f>
        <v>4</v>
      </c>
      <c r="D204" s="2">
        <f t="shared" ref="D204:G204" si="36">MAX(D194:D197)</f>
        <v>589836.07301855378</v>
      </c>
      <c r="E204" s="2">
        <f t="shared" si="36"/>
        <v>5998.8555937799993</v>
      </c>
      <c r="F204" s="2">
        <f t="shared" si="36"/>
        <v>3.3561812091085249E-3</v>
      </c>
      <c r="G204" s="2">
        <f t="shared" si="36"/>
        <v>2.2962786554205951E-3</v>
      </c>
    </row>
    <row r="205" spans="1:7" x14ac:dyDescent="0.25">
      <c r="C205" s="10" t="s">
        <v>43</v>
      </c>
      <c r="D205" s="10" t="s">
        <v>3</v>
      </c>
      <c r="E205" s="1" t="s">
        <v>4</v>
      </c>
      <c r="F205" s="1" t="s">
        <v>5</v>
      </c>
      <c r="G205" s="1" t="s">
        <v>6</v>
      </c>
    </row>
    <row r="206" spans="1:7" x14ac:dyDescent="0.25">
      <c r="C206" s="2">
        <f t="shared" ref="C206:G209" si="37">C194/C$204</f>
        <v>1</v>
      </c>
      <c r="D206" s="2">
        <f t="shared" si="37"/>
        <v>1</v>
      </c>
      <c r="E206" s="2">
        <f t="shared" si="37"/>
        <v>0.57664977093076919</v>
      </c>
      <c r="F206" s="2">
        <f t="shared" si="37"/>
        <v>0.77853736812744556</v>
      </c>
      <c r="G206" s="2">
        <f t="shared" si="37"/>
        <v>1</v>
      </c>
    </row>
    <row r="207" spans="1:7" x14ac:dyDescent="0.25">
      <c r="C207" s="2">
        <f t="shared" si="37"/>
        <v>0.5</v>
      </c>
      <c r="D207" s="2">
        <f t="shared" si="37"/>
        <v>0.99252536988558093</v>
      </c>
      <c r="E207" s="2">
        <f t="shared" si="37"/>
        <v>0.80926420797553855</v>
      </c>
      <c r="F207" s="2">
        <f t="shared" si="37"/>
        <v>0.11207082497893665</v>
      </c>
      <c r="G207" s="2">
        <f t="shared" si="37"/>
        <v>0.9038990327846067</v>
      </c>
    </row>
    <row r="208" spans="1:7" x14ac:dyDescent="0.25">
      <c r="C208" s="2">
        <f t="shared" si="37"/>
        <v>0.75</v>
      </c>
      <c r="D208" s="2">
        <f t="shared" si="37"/>
        <v>0.97598188945750519</v>
      </c>
      <c r="E208" s="2">
        <f t="shared" si="37"/>
        <v>0.79597731535177796</v>
      </c>
      <c r="F208" s="2">
        <f t="shared" si="37"/>
        <v>8.5628869020468137E-2</v>
      </c>
      <c r="G208" s="2">
        <f t="shared" si="37"/>
        <v>0.57331026854314004</v>
      </c>
    </row>
    <row r="209" spans="1:7" x14ac:dyDescent="0.25">
      <c r="C209" s="2">
        <f t="shared" si="37"/>
        <v>0.25</v>
      </c>
      <c r="D209" s="2">
        <f t="shared" si="37"/>
        <v>0.90238419274747317</v>
      </c>
      <c r="E209" s="2">
        <f t="shared" si="37"/>
        <v>1</v>
      </c>
      <c r="F209" s="2">
        <f t="shared" si="37"/>
        <v>1</v>
      </c>
      <c r="G209" s="2">
        <f t="shared" si="37"/>
        <v>0.7592293002304622</v>
      </c>
    </row>
    <row r="211" spans="1:7" x14ac:dyDescent="0.25">
      <c r="C211" s="10" t="s">
        <v>3</v>
      </c>
      <c r="D211" s="10" t="s">
        <v>43</v>
      </c>
      <c r="E211" s="10" t="s">
        <v>4</v>
      </c>
      <c r="F211" s="10" t="s">
        <v>5</v>
      </c>
      <c r="G211" s="10" t="s">
        <v>6</v>
      </c>
    </row>
    <row r="212" spans="1:7" x14ac:dyDescent="0.25">
      <c r="C212" s="12">
        <v>0.90238419274747317</v>
      </c>
      <c r="D212" s="11">
        <v>0.25</v>
      </c>
      <c r="E212" s="11">
        <v>1</v>
      </c>
      <c r="F212" s="11">
        <v>1</v>
      </c>
      <c r="G212" s="11">
        <v>0.7592293002304622</v>
      </c>
    </row>
    <row r="213" spans="1:7" x14ac:dyDescent="0.25">
      <c r="C213" s="12">
        <v>0.97598188945750519</v>
      </c>
      <c r="D213" s="11">
        <v>0.75</v>
      </c>
      <c r="E213" s="11">
        <v>0.79597731535177796</v>
      </c>
      <c r="F213" s="11">
        <v>8.5628869020468137E-2</v>
      </c>
      <c r="G213" s="11">
        <v>0.57331026854314004</v>
      </c>
    </row>
    <row r="214" spans="1:7" x14ac:dyDescent="0.25">
      <c r="C214" s="12">
        <v>0.99252536988558093</v>
      </c>
      <c r="D214" s="11">
        <v>0.5</v>
      </c>
      <c r="E214" s="11">
        <v>0.80926420797553855</v>
      </c>
      <c r="F214" s="11">
        <v>0.11207082497893665</v>
      </c>
      <c r="G214" s="11">
        <v>0.9038990327846067</v>
      </c>
    </row>
    <row r="215" spans="1:7" x14ac:dyDescent="0.25">
      <c r="C215" s="12">
        <v>1</v>
      </c>
      <c r="D215" s="11">
        <v>1</v>
      </c>
      <c r="E215" s="11">
        <v>0.57664977093076919</v>
      </c>
      <c r="F215" s="11">
        <v>0.77853736812744556</v>
      </c>
      <c r="G215" s="11">
        <v>1</v>
      </c>
    </row>
    <row r="218" spans="1:7" x14ac:dyDescent="0.25">
      <c r="A218" s="1" t="s">
        <v>0</v>
      </c>
      <c r="B218" s="1" t="s">
        <v>1</v>
      </c>
      <c r="C218" s="1" t="s">
        <v>2</v>
      </c>
      <c r="D218" s="1" t="s">
        <v>3</v>
      </c>
      <c r="E218" s="1" t="s">
        <v>4</v>
      </c>
      <c r="F218" s="1" t="s">
        <v>5</v>
      </c>
      <c r="G218" s="1" t="s">
        <v>6</v>
      </c>
    </row>
    <row r="219" spans="1:7" x14ac:dyDescent="0.25">
      <c r="A219" s="2" t="s">
        <v>23</v>
      </c>
      <c r="B219" s="8" t="s">
        <v>24</v>
      </c>
      <c r="C219" s="2">
        <v>1</v>
      </c>
      <c r="D219" s="3">
        <v>2688475.9724428668</v>
      </c>
      <c r="E219" s="3">
        <v>22918.622383440001</v>
      </c>
      <c r="F219" s="4">
        <v>1.411209606183382E-2</v>
      </c>
      <c r="G219" s="4">
        <v>6.7540592802753808E-4</v>
      </c>
    </row>
    <row r="220" spans="1:7" x14ac:dyDescent="0.25">
      <c r="A220" s="2" t="s">
        <v>23</v>
      </c>
      <c r="B220" s="8" t="s">
        <v>24</v>
      </c>
      <c r="C220" s="2">
        <v>2</v>
      </c>
      <c r="D220" s="3">
        <v>2199098.9702055152</v>
      </c>
      <c r="E220" s="3">
        <v>27186.587841839999</v>
      </c>
      <c r="F220" s="4">
        <v>1.428164445640567E-2</v>
      </c>
      <c r="G220" s="4">
        <v>1.063284111568874E-3</v>
      </c>
    </row>
    <row r="221" spans="1:7" x14ac:dyDescent="0.25">
      <c r="A221" s="2" t="s">
        <v>23</v>
      </c>
      <c r="B221" s="8" t="s">
        <v>24</v>
      </c>
      <c r="C221" s="2">
        <v>3</v>
      </c>
      <c r="D221" s="3">
        <v>2110825.0242093089</v>
      </c>
      <c r="E221" s="3">
        <v>36820.330575920001</v>
      </c>
      <c r="F221" s="4">
        <v>1.1388913987487259E-2</v>
      </c>
      <c r="G221" s="4">
        <v>1.346627653376551E-3</v>
      </c>
    </row>
    <row r="222" spans="1:7" x14ac:dyDescent="0.25">
      <c r="A222" s="2" t="s">
        <v>23</v>
      </c>
      <c r="B222" s="8" t="s">
        <v>24</v>
      </c>
      <c r="C222" s="2">
        <v>4</v>
      </c>
      <c r="D222" s="3">
        <v>2060147.693651289</v>
      </c>
      <c r="E222" s="3">
        <v>24111.565200000001</v>
      </c>
      <c r="F222" s="4">
        <v>1.6816288641435851E-2</v>
      </c>
      <c r="G222" s="4">
        <v>4.7603910840263489E-4</v>
      </c>
    </row>
    <row r="224" spans="1:7" x14ac:dyDescent="0.25">
      <c r="B224" s="7" t="s">
        <v>40</v>
      </c>
      <c r="D224" s="3">
        <f>AVERAGE(D219:D220)</f>
        <v>2443787.471324191</v>
      </c>
      <c r="E224" s="3">
        <f t="shared" ref="E224:G224" si="38">AVERAGE(E219:E220)</f>
        <v>25052.605112639998</v>
      </c>
      <c r="F224" s="4">
        <f t="shared" si="38"/>
        <v>1.4196870259119745E-2</v>
      </c>
      <c r="G224" s="4">
        <f t="shared" si="38"/>
        <v>8.6934501979820604E-4</v>
      </c>
    </row>
    <row r="225" spans="2:7" x14ac:dyDescent="0.25">
      <c r="B225" s="7" t="s">
        <v>41</v>
      </c>
      <c r="D225" s="3">
        <f>AVERAGE(D221:D222)</f>
        <v>2085486.3589302991</v>
      </c>
      <c r="E225" s="3">
        <f t="shared" ref="E225:G225" si="39">AVERAGE(E221:E222)</f>
        <v>30465.947887959999</v>
      </c>
      <c r="F225" s="4">
        <f t="shared" si="39"/>
        <v>1.4102601314461555E-2</v>
      </c>
      <c r="G225" s="4">
        <f t="shared" si="39"/>
        <v>9.1133338088959293E-4</v>
      </c>
    </row>
    <row r="227" spans="2:7" x14ac:dyDescent="0.25">
      <c r="C227" s="7" t="s">
        <v>42</v>
      </c>
      <c r="D227" s="3">
        <f>D224/D225</f>
        <v>1.1718069796331221</v>
      </c>
      <c r="E227" s="3">
        <f t="shared" ref="E227:G227" si="40">E224/E225</f>
        <v>0.82231497292558131</v>
      </c>
      <c r="F227" s="3">
        <f t="shared" si="40"/>
        <v>1.0066845075285169</v>
      </c>
      <c r="G227" s="3">
        <f t="shared" si="40"/>
        <v>0.95392645329154935</v>
      </c>
    </row>
    <row r="229" spans="2:7" x14ac:dyDescent="0.25">
      <c r="C229" s="2">
        <f>MAX(C219:C222)</f>
        <v>4</v>
      </c>
      <c r="D229" s="2">
        <f t="shared" ref="D229:G229" si="41">MAX(D219:D222)</f>
        <v>2688475.9724428668</v>
      </c>
      <c r="E229" s="2">
        <f t="shared" si="41"/>
        <v>36820.330575920001</v>
      </c>
      <c r="F229" s="2">
        <f t="shared" si="41"/>
        <v>1.6816288641435851E-2</v>
      </c>
      <c r="G229" s="2">
        <f t="shared" si="41"/>
        <v>1.346627653376551E-3</v>
      </c>
    </row>
    <row r="230" spans="2:7" x14ac:dyDescent="0.25">
      <c r="C230" s="10" t="s">
        <v>43</v>
      </c>
      <c r="D230" s="10" t="s">
        <v>3</v>
      </c>
      <c r="E230" s="1" t="s">
        <v>4</v>
      </c>
      <c r="F230" s="1" t="s">
        <v>5</v>
      </c>
      <c r="G230" s="1" t="s">
        <v>6</v>
      </c>
    </row>
    <row r="231" spans="2:7" x14ac:dyDescent="0.25">
      <c r="C231" s="2">
        <f>C219/C$229</f>
        <v>0.25</v>
      </c>
      <c r="D231" s="2">
        <f t="shared" ref="D231:G231" si="42">D219/D$229</f>
        <v>1</v>
      </c>
      <c r="E231" s="2">
        <f t="shared" si="42"/>
        <v>0.62244477507294493</v>
      </c>
      <c r="F231" s="2">
        <f t="shared" si="42"/>
        <v>0.83919206923346823</v>
      </c>
      <c r="G231" s="2">
        <f t="shared" si="42"/>
        <v>0.50155358560624896</v>
      </c>
    </row>
    <row r="232" spans="2:7" x14ac:dyDescent="0.25">
      <c r="C232" s="2">
        <f t="shared" ref="C232:G234" si="43">C220/C$229</f>
        <v>0.5</v>
      </c>
      <c r="D232" s="2">
        <f t="shared" si="43"/>
        <v>0.81797233553377002</v>
      </c>
      <c r="E232" s="2">
        <f t="shared" si="43"/>
        <v>0.73835805970790658</v>
      </c>
      <c r="F232" s="2">
        <f t="shared" si="43"/>
        <v>0.84927446007410101</v>
      </c>
      <c r="G232" s="2">
        <f t="shared" si="43"/>
        <v>0.78959028422057287</v>
      </c>
    </row>
    <row r="233" spans="2:7" x14ac:dyDescent="0.25">
      <c r="C233" s="2">
        <f t="shared" si="43"/>
        <v>0.75</v>
      </c>
      <c r="D233" s="2">
        <f t="shared" si="43"/>
        <v>0.78513813991475667</v>
      </c>
      <c r="E233" s="2">
        <f t="shared" si="43"/>
        <v>1</v>
      </c>
      <c r="F233" s="2">
        <f t="shared" si="43"/>
        <v>0.67725490625943618</v>
      </c>
      <c r="G233" s="2">
        <f t="shared" si="43"/>
        <v>1</v>
      </c>
    </row>
    <row r="234" spans="2:7" x14ac:dyDescent="0.25">
      <c r="C234" s="2">
        <f t="shared" si="43"/>
        <v>1</v>
      </c>
      <c r="D234" s="2">
        <f t="shared" si="43"/>
        <v>0.76628830414256921</v>
      </c>
      <c r="E234" s="2">
        <f t="shared" si="43"/>
        <v>0.65484380022836186</v>
      </c>
      <c r="F234" s="2">
        <f t="shared" si="43"/>
        <v>1</v>
      </c>
      <c r="G234" s="2">
        <f t="shared" si="43"/>
        <v>0.3535046285504449</v>
      </c>
    </row>
    <row r="236" spans="2:7" x14ac:dyDescent="0.25">
      <c r="C236" s="10" t="s">
        <v>3</v>
      </c>
      <c r="D236" s="10" t="s">
        <v>43</v>
      </c>
      <c r="E236" s="10" t="s">
        <v>4</v>
      </c>
      <c r="F236" s="10" t="s">
        <v>5</v>
      </c>
      <c r="G236" s="10" t="s">
        <v>6</v>
      </c>
    </row>
    <row r="237" spans="2:7" x14ac:dyDescent="0.25">
      <c r="C237" s="3">
        <v>0.76628830414256921</v>
      </c>
      <c r="D237" s="2">
        <v>1</v>
      </c>
      <c r="E237" s="2">
        <v>0.65484380022836186</v>
      </c>
      <c r="F237" s="2">
        <v>1</v>
      </c>
      <c r="G237" s="2">
        <v>0.3535046285504449</v>
      </c>
    </row>
    <row r="238" spans="2:7" x14ac:dyDescent="0.25">
      <c r="C238" s="3">
        <v>0.78513813991475667</v>
      </c>
      <c r="D238" s="2">
        <v>0.75</v>
      </c>
      <c r="E238" s="2">
        <v>1</v>
      </c>
      <c r="F238" s="2">
        <v>0.67725490625943618</v>
      </c>
      <c r="G238" s="2">
        <v>1</v>
      </c>
    </row>
    <row r="239" spans="2:7" x14ac:dyDescent="0.25">
      <c r="C239" s="3">
        <v>0.81797233553377002</v>
      </c>
      <c r="D239" s="2">
        <v>0.5</v>
      </c>
      <c r="E239" s="2">
        <v>0.73835805970790658</v>
      </c>
      <c r="F239" s="2">
        <v>0.84927446007410101</v>
      </c>
      <c r="G239" s="2">
        <v>0.78959028422057287</v>
      </c>
    </row>
    <row r="240" spans="2:7" x14ac:dyDescent="0.25">
      <c r="C240" s="3">
        <v>1</v>
      </c>
      <c r="D240" s="2">
        <v>0.25</v>
      </c>
      <c r="E240" s="2">
        <v>0.62244477507294493</v>
      </c>
      <c r="F240" s="2">
        <v>0.83919206923346823</v>
      </c>
      <c r="G240" s="2">
        <v>0.50155358560624896</v>
      </c>
    </row>
    <row r="243" spans="1:7" x14ac:dyDescent="0.25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1" t="s">
        <v>5</v>
      </c>
      <c r="G243" s="1" t="s">
        <v>6</v>
      </c>
    </row>
    <row r="244" spans="1:7" x14ac:dyDescent="0.25">
      <c r="A244" s="2" t="s">
        <v>25</v>
      </c>
      <c r="B244" s="8" t="s">
        <v>26</v>
      </c>
      <c r="C244" s="2">
        <v>4</v>
      </c>
      <c r="D244" s="3">
        <v>1079590.799601601</v>
      </c>
      <c r="E244" s="3">
        <v>29824.255583999999</v>
      </c>
      <c r="F244" s="4">
        <v>1.7700063980245699E-2</v>
      </c>
      <c r="G244" s="4">
        <v>1.8406361575525849E-2</v>
      </c>
    </row>
    <row r="245" spans="1:7" x14ac:dyDescent="0.25">
      <c r="A245" s="2" t="s">
        <v>25</v>
      </c>
      <c r="B245" s="8" t="s">
        <v>26</v>
      </c>
      <c r="C245" s="2">
        <v>3</v>
      </c>
      <c r="D245" s="3">
        <v>917032.53729645221</v>
      </c>
      <c r="E245" s="3">
        <v>21948.7441788</v>
      </c>
      <c r="F245" s="4">
        <v>5.1385668600091312E-2</v>
      </c>
      <c r="G245" s="4">
        <v>1.045825844659099E-3</v>
      </c>
    </row>
    <row r="246" spans="1:7" x14ac:dyDescent="0.25">
      <c r="A246" s="2" t="s">
        <v>25</v>
      </c>
      <c r="B246" s="8" t="s">
        <v>26</v>
      </c>
      <c r="C246" s="2">
        <v>2</v>
      </c>
      <c r="D246" s="3">
        <v>802566.08061441511</v>
      </c>
      <c r="E246" s="3">
        <v>12046.641059559999</v>
      </c>
      <c r="F246" s="4">
        <v>1.264319260007594E-2</v>
      </c>
      <c r="G246" s="4">
        <v>9.2646432850616075E-4</v>
      </c>
    </row>
    <row r="247" spans="1:7" x14ac:dyDescent="0.25">
      <c r="A247" s="2" t="s">
        <v>25</v>
      </c>
      <c r="B247" s="8" t="s">
        <v>26</v>
      </c>
      <c r="C247" s="2">
        <v>1</v>
      </c>
      <c r="D247" s="3">
        <v>774599.50938466226</v>
      </c>
      <c r="E247" s="3">
        <v>31768.917493320001</v>
      </c>
      <c r="F247" s="4">
        <v>4.5024994770462897E-3</v>
      </c>
      <c r="G247" s="4">
        <v>6.1504127372638605E-4</v>
      </c>
    </row>
    <row r="249" spans="1:7" x14ac:dyDescent="0.25">
      <c r="B249" s="7" t="s">
        <v>40</v>
      </c>
      <c r="D249" s="3">
        <f>AVERAGE(D244:D245)</f>
        <v>998311.66844902653</v>
      </c>
      <c r="E249" s="3">
        <f t="shared" ref="E249:G249" si="44">AVERAGE(E244:E245)</f>
        <v>25886.499881399999</v>
      </c>
      <c r="F249" s="4">
        <f t="shared" si="44"/>
        <v>3.4542866290168506E-2</v>
      </c>
      <c r="G249" s="4">
        <f t="shared" si="44"/>
        <v>9.7260937100924743E-3</v>
      </c>
    </row>
    <row r="250" spans="1:7" x14ac:dyDescent="0.25">
      <c r="B250" s="7" t="s">
        <v>41</v>
      </c>
      <c r="D250" s="3">
        <f>AVERAGE(D246:D247)</f>
        <v>788582.79499953869</v>
      </c>
      <c r="E250" s="3">
        <f t="shared" ref="E250:G250" si="45">AVERAGE(E246:E247)</f>
        <v>21907.77927644</v>
      </c>
      <c r="F250" s="4">
        <f t="shared" si="45"/>
        <v>8.5728460385611147E-3</v>
      </c>
      <c r="G250" s="4">
        <f t="shared" si="45"/>
        <v>7.7075280111627334E-4</v>
      </c>
    </row>
    <row r="252" spans="1:7" x14ac:dyDescent="0.25">
      <c r="C252" s="7" t="s">
        <v>42</v>
      </c>
      <c r="D252" s="3">
        <f>D249/D250</f>
        <v>1.2659566944389276</v>
      </c>
      <c r="E252" s="3">
        <f t="shared" ref="E252:G252" si="46">E249/E250</f>
        <v>1.1816122280015293</v>
      </c>
      <c r="F252" s="3">
        <f t="shared" si="46"/>
        <v>4.0293347314057506</v>
      </c>
      <c r="G252" s="3">
        <f t="shared" si="46"/>
        <v>12.618953438776055</v>
      </c>
    </row>
    <row r="254" spans="1:7" x14ac:dyDescent="0.25">
      <c r="C254" s="2">
        <f>MAX(C244:C247)</f>
        <v>4</v>
      </c>
      <c r="D254" s="2">
        <f t="shared" ref="D254:G254" si="47">MAX(D244:D247)</f>
        <v>1079590.799601601</v>
      </c>
      <c r="E254" s="2">
        <f t="shared" si="47"/>
        <v>31768.917493320001</v>
      </c>
      <c r="F254" s="2">
        <f t="shared" si="47"/>
        <v>5.1385668600091312E-2</v>
      </c>
      <c r="G254" s="2">
        <f t="shared" si="47"/>
        <v>1.8406361575525849E-2</v>
      </c>
    </row>
    <row r="255" spans="1:7" x14ac:dyDescent="0.25">
      <c r="C255" s="10" t="s">
        <v>43</v>
      </c>
      <c r="D255" s="10" t="s">
        <v>3</v>
      </c>
      <c r="E255" s="1" t="s">
        <v>4</v>
      </c>
      <c r="F255" s="1" t="s">
        <v>5</v>
      </c>
      <c r="G255" s="1" t="s">
        <v>6</v>
      </c>
    </row>
    <row r="256" spans="1:7" x14ac:dyDescent="0.25">
      <c r="C256" s="2">
        <f>C244/C$254</f>
        <v>1</v>
      </c>
      <c r="D256" s="2">
        <f t="shared" ref="D256:G256" si="48">D244/D$254</f>
        <v>1</v>
      </c>
      <c r="E256" s="2">
        <f t="shared" si="48"/>
        <v>0.93878727817122176</v>
      </c>
      <c r="F256" s="2">
        <f t="shared" si="48"/>
        <v>0.34445526276978805</v>
      </c>
      <c r="G256" s="2">
        <f t="shared" si="48"/>
        <v>1</v>
      </c>
    </row>
    <row r="257" spans="1:7" x14ac:dyDescent="0.25">
      <c r="C257" s="2">
        <f t="shared" ref="C257:G259" si="49">C245/C$254</f>
        <v>0.75</v>
      </c>
      <c r="D257" s="2">
        <f t="shared" si="49"/>
        <v>0.84942603960209995</v>
      </c>
      <c r="E257" s="2">
        <f t="shared" si="49"/>
        <v>0.69088738020157991</v>
      </c>
      <c r="F257" s="2">
        <f t="shared" si="49"/>
        <v>1</v>
      </c>
      <c r="G257" s="2">
        <f t="shared" si="49"/>
        <v>5.6818716744632944E-2</v>
      </c>
    </row>
    <row r="258" spans="1:7" x14ac:dyDescent="0.25">
      <c r="C258" s="2">
        <f t="shared" si="49"/>
        <v>0.5</v>
      </c>
      <c r="D258" s="2">
        <f t="shared" si="49"/>
        <v>0.74339840698029691</v>
      </c>
      <c r="E258" s="2">
        <f t="shared" si="49"/>
        <v>0.37919583070757845</v>
      </c>
      <c r="F258" s="2">
        <f t="shared" si="49"/>
        <v>0.24604511227578876</v>
      </c>
      <c r="G258" s="2">
        <f t="shared" si="49"/>
        <v>5.0333919862687079E-2</v>
      </c>
    </row>
    <row r="259" spans="1:7" x14ac:dyDescent="0.25">
      <c r="C259" s="2">
        <f t="shared" si="49"/>
        <v>0.25</v>
      </c>
      <c r="D259" s="2">
        <f t="shared" si="49"/>
        <v>0.71749361857336225</v>
      </c>
      <c r="E259" s="2">
        <f t="shared" si="49"/>
        <v>1</v>
      </c>
      <c r="F259" s="2">
        <f t="shared" si="49"/>
        <v>8.7621696860402221E-2</v>
      </c>
      <c r="G259" s="2">
        <f t="shared" si="49"/>
        <v>3.3414603489272977E-2</v>
      </c>
    </row>
    <row r="261" spans="1:7" x14ac:dyDescent="0.25">
      <c r="C261" s="10" t="s">
        <v>3</v>
      </c>
      <c r="D261" s="10" t="s">
        <v>43</v>
      </c>
      <c r="E261" s="10" t="s">
        <v>4</v>
      </c>
      <c r="F261" s="10" t="s">
        <v>5</v>
      </c>
      <c r="G261" s="10" t="s">
        <v>6</v>
      </c>
    </row>
    <row r="262" spans="1:7" x14ac:dyDescent="0.25">
      <c r="C262" s="3">
        <v>0.71749361857336225</v>
      </c>
      <c r="D262" s="2">
        <v>0.25</v>
      </c>
      <c r="E262" s="2">
        <v>1</v>
      </c>
      <c r="F262" s="2">
        <v>8.7621696860402221E-2</v>
      </c>
      <c r="G262" s="2">
        <v>3.3414603489272977E-2</v>
      </c>
    </row>
    <row r="263" spans="1:7" x14ac:dyDescent="0.25">
      <c r="C263" s="3">
        <v>0.74339840698029691</v>
      </c>
      <c r="D263" s="2">
        <v>0.5</v>
      </c>
      <c r="E263" s="2">
        <v>0.37919583070757845</v>
      </c>
      <c r="F263" s="2">
        <v>0.24604511227578876</v>
      </c>
      <c r="G263" s="2">
        <v>5.0333919862687079E-2</v>
      </c>
    </row>
    <row r="264" spans="1:7" x14ac:dyDescent="0.25">
      <c r="C264" s="3">
        <v>0.84942603960209995</v>
      </c>
      <c r="D264" s="2">
        <v>0.75</v>
      </c>
      <c r="E264" s="2">
        <v>0.69088738020157991</v>
      </c>
      <c r="F264" s="2">
        <v>1</v>
      </c>
      <c r="G264" s="2">
        <v>5.6818716744632944E-2</v>
      </c>
    </row>
    <row r="265" spans="1:7" x14ac:dyDescent="0.25">
      <c r="C265" s="3">
        <v>1</v>
      </c>
      <c r="D265" s="2">
        <v>1</v>
      </c>
      <c r="E265" s="2">
        <v>0.93878727817122176</v>
      </c>
      <c r="F265" s="2">
        <v>0.34445526276978805</v>
      </c>
      <c r="G265" s="2">
        <v>1</v>
      </c>
    </row>
    <row r="268" spans="1:7" x14ac:dyDescent="0.25">
      <c r="A268" s="1" t="s">
        <v>0</v>
      </c>
      <c r="B268" s="1" t="s">
        <v>1</v>
      </c>
      <c r="C268" s="1" t="s">
        <v>2</v>
      </c>
      <c r="D268" s="1" t="s">
        <v>3</v>
      </c>
      <c r="E268" s="1" t="s">
        <v>4</v>
      </c>
      <c r="F268" s="1" t="s">
        <v>5</v>
      </c>
      <c r="G268" s="1" t="s">
        <v>6</v>
      </c>
    </row>
    <row r="269" spans="1:7" x14ac:dyDescent="0.25">
      <c r="A269" s="2" t="s">
        <v>27</v>
      </c>
      <c r="B269" s="8" t="s">
        <v>28</v>
      </c>
      <c r="C269" s="2">
        <v>4</v>
      </c>
      <c r="D269" s="3">
        <v>702640.28510284843</v>
      </c>
      <c r="E269" s="3">
        <v>24692.815392</v>
      </c>
      <c r="F269" s="4">
        <v>1.2473785395074479E-2</v>
      </c>
      <c r="G269" s="4">
        <v>1.210844187888221E-3</v>
      </c>
    </row>
    <row r="270" spans="1:7" x14ac:dyDescent="0.25">
      <c r="A270" s="2" t="s">
        <v>27</v>
      </c>
      <c r="B270" s="8" t="s">
        <v>28</v>
      </c>
      <c r="C270" s="2">
        <v>3</v>
      </c>
      <c r="D270" s="3">
        <v>648523.59030139784</v>
      </c>
      <c r="E270" s="3">
        <v>20365.73930736</v>
      </c>
      <c r="F270" s="4">
        <v>2.3285205202868371E-2</v>
      </c>
      <c r="G270" s="4">
        <v>1.5783067550306741E-3</v>
      </c>
    </row>
    <row r="271" spans="1:7" x14ac:dyDescent="0.25">
      <c r="A271" s="2" t="s">
        <v>27</v>
      </c>
      <c r="B271" s="8" t="s">
        <v>28</v>
      </c>
      <c r="C271" s="2">
        <v>2</v>
      </c>
      <c r="D271" s="3">
        <v>525586.90611574077</v>
      </c>
      <c r="E271" s="3">
        <v>57596.7124071</v>
      </c>
      <c r="F271" s="4">
        <v>6.9328647193893768E-4</v>
      </c>
      <c r="G271" s="4">
        <v>1.2640594598421069E-2</v>
      </c>
    </row>
    <row r="272" spans="1:7" x14ac:dyDescent="0.25">
      <c r="A272" s="2" t="s">
        <v>27</v>
      </c>
      <c r="B272" s="8" t="s">
        <v>28</v>
      </c>
      <c r="C272" s="2">
        <v>1</v>
      </c>
      <c r="D272" s="3">
        <v>489831.22166003252</v>
      </c>
      <c r="E272" s="3">
        <v>28233.8392518</v>
      </c>
      <c r="F272" s="4">
        <v>1.7629362658082969E-3</v>
      </c>
      <c r="G272" s="4">
        <v>1.091290811894655E-3</v>
      </c>
    </row>
    <row r="274" spans="2:7" x14ac:dyDescent="0.25">
      <c r="B274" s="7" t="s">
        <v>40</v>
      </c>
      <c r="D274" s="3">
        <f>AVERAGE(D269:D270)</f>
        <v>675581.93770212308</v>
      </c>
      <c r="E274" s="3">
        <f t="shared" ref="E274:G274" si="50">AVERAGE(E269:E270)</f>
        <v>22529.27734968</v>
      </c>
      <c r="F274" s="4">
        <f t="shared" si="50"/>
        <v>1.7879495298971426E-2</v>
      </c>
      <c r="G274" s="4">
        <f t="shared" si="50"/>
        <v>1.3945754714594475E-3</v>
      </c>
    </row>
    <row r="275" spans="2:7" x14ac:dyDescent="0.25">
      <c r="B275" s="7" t="s">
        <v>41</v>
      </c>
      <c r="D275" s="3">
        <f>AVERAGE(D271:D272)</f>
        <v>507709.06388788664</v>
      </c>
      <c r="E275" s="3">
        <f t="shared" ref="E275:G275" si="51">AVERAGE(E271:E272)</f>
        <v>42915.275829450002</v>
      </c>
      <c r="F275" s="4">
        <f t="shared" si="51"/>
        <v>1.2281113688736172E-3</v>
      </c>
      <c r="G275" s="4">
        <f t="shared" si="51"/>
        <v>6.8659427051578625E-3</v>
      </c>
    </row>
    <row r="277" spans="2:7" x14ac:dyDescent="0.25">
      <c r="C277" s="7" t="s">
        <v>42</v>
      </c>
      <c r="D277" s="3">
        <f>D274/D275</f>
        <v>1.3306477779394272</v>
      </c>
      <c r="E277" s="3">
        <f t="shared" ref="E277:G277" si="52">E274/E275</f>
        <v>0.52497104851926879</v>
      </c>
      <c r="F277" s="3">
        <f t="shared" si="52"/>
        <v>14.558529260558757</v>
      </c>
      <c r="G277" s="3">
        <f t="shared" si="52"/>
        <v>0.20311492992969613</v>
      </c>
    </row>
    <row r="279" spans="2:7" x14ac:dyDescent="0.25">
      <c r="C279" s="2">
        <f>MAX(C269:C272)</f>
        <v>4</v>
      </c>
      <c r="D279" s="2">
        <f t="shared" ref="D279:G279" si="53">MAX(D269:D272)</f>
        <v>702640.28510284843</v>
      </c>
      <c r="E279" s="2">
        <f t="shared" si="53"/>
        <v>57596.7124071</v>
      </c>
      <c r="F279" s="2">
        <f t="shared" si="53"/>
        <v>2.3285205202868371E-2</v>
      </c>
      <c r="G279" s="2">
        <f t="shared" si="53"/>
        <v>1.2640594598421069E-2</v>
      </c>
    </row>
    <row r="280" spans="2:7" x14ac:dyDescent="0.25">
      <c r="C280" s="10" t="s">
        <v>43</v>
      </c>
      <c r="D280" s="10" t="s">
        <v>3</v>
      </c>
      <c r="E280" s="1" t="s">
        <v>4</v>
      </c>
      <c r="F280" s="1" t="s">
        <v>5</v>
      </c>
      <c r="G280" s="1" t="s">
        <v>6</v>
      </c>
    </row>
    <row r="281" spans="2:7" x14ac:dyDescent="0.25">
      <c r="C281" s="2">
        <f>C269/C$279</f>
        <v>1</v>
      </c>
      <c r="D281" s="2">
        <f t="shared" ref="D281:G281" si="54">D269/D$279</f>
        <v>1</v>
      </c>
      <c r="E281" s="2">
        <f t="shared" si="54"/>
        <v>0.4287191813565403</v>
      </c>
      <c r="F281" s="2">
        <f t="shared" si="54"/>
        <v>0.53569574699465849</v>
      </c>
      <c r="G281" s="2">
        <f t="shared" si="54"/>
        <v>9.5790129052906028E-2</v>
      </c>
    </row>
    <row r="282" spans="2:7" x14ac:dyDescent="0.25">
      <c r="C282" s="2">
        <f t="shared" ref="C282:G284" si="55">C270/C$279</f>
        <v>0.75</v>
      </c>
      <c r="D282" s="2">
        <f t="shared" si="55"/>
        <v>0.9229809392532492</v>
      </c>
      <c r="E282" s="2">
        <f t="shared" si="55"/>
        <v>0.3535920446884655</v>
      </c>
      <c r="F282" s="2">
        <f t="shared" si="55"/>
        <v>1</v>
      </c>
      <c r="G282" s="2">
        <f t="shared" si="55"/>
        <v>0.12486016719718387</v>
      </c>
    </row>
    <row r="283" spans="2:7" x14ac:dyDescent="0.25">
      <c r="C283" s="2">
        <f t="shared" si="55"/>
        <v>0.5</v>
      </c>
      <c r="D283" s="2">
        <f t="shared" si="55"/>
        <v>0.74801703981263812</v>
      </c>
      <c r="E283" s="2">
        <f t="shared" si="55"/>
        <v>1</v>
      </c>
      <c r="F283" s="2">
        <f t="shared" si="55"/>
        <v>2.9773689598128844E-2</v>
      </c>
      <c r="G283" s="2">
        <f t="shared" si="55"/>
        <v>1</v>
      </c>
    </row>
    <row r="284" spans="2:7" x14ac:dyDescent="0.25">
      <c r="C284" s="2">
        <f t="shared" si="55"/>
        <v>0.25</v>
      </c>
      <c r="D284" s="2">
        <f t="shared" si="55"/>
        <v>0.69712943030064645</v>
      </c>
      <c r="E284" s="2">
        <f t="shared" si="55"/>
        <v>0.49019879906061425</v>
      </c>
      <c r="F284" s="2">
        <f t="shared" si="55"/>
        <v>7.571057460945764E-2</v>
      </c>
      <c r="G284" s="2">
        <f t="shared" si="55"/>
        <v>8.6332237253377908E-2</v>
      </c>
    </row>
    <row r="286" spans="2:7" x14ac:dyDescent="0.25">
      <c r="C286" s="10" t="s">
        <v>3</v>
      </c>
      <c r="D286" s="10" t="s">
        <v>43</v>
      </c>
      <c r="E286" s="10" t="s">
        <v>4</v>
      </c>
      <c r="F286" s="10" t="s">
        <v>5</v>
      </c>
      <c r="G286" s="10" t="s">
        <v>6</v>
      </c>
    </row>
    <row r="287" spans="2:7" x14ac:dyDescent="0.25">
      <c r="C287" s="3">
        <v>0.69712943030064645</v>
      </c>
      <c r="D287" s="2">
        <v>0.25</v>
      </c>
      <c r="E287" s="2">
        <v>0.49019879906061425</v>
      </c>
      <c r="F287" s="2">
        <v>7.571057460945764E-2</v>
      </c>
      <c r="G287" s="2">
        <v>8.6332237253377908E-2</v>
      </c>
    </row>
    <row r="288" spans="2:7" x14ac:dyDescent="0.25">
      <c r="C288" s="3">
        <v>0.74801703981263812</v>
      </c>
      <c r="D288" s="2">
        <v>0.5</v>
      </c>
      <c r="E288" s="2">
        <v>1</v>
      </c>
      <c r="F288" s="2">
        <v>2.9773689598128844E-2</v>
      </c>
      <c r="G288" s="2">
        <v>1</v>
      </c>
    </row>
    <row r="289" spans="1:7" x14ac:dyDescent="0.25">
      <c r="C289" s="3">
        <v>0.9229809392532492</v>
      </c>
      <c r="D289" s="2">
        <v>0.75</v>
      </c>
      <c r="E289" s="2">
        <v>0.3535920446884655</v>
      </c>
      <c r="F289" s="2">
        <v>1</v>
      </c>
      <c r="G289" s="2">
        <v>0.12486016719718387</v>
      </c>
    </row>
    <row r="290" spans="1:7" x14ac:dyDescent="0.25">
      <c r="C290" s="3">
        <v>1</v>
      </c>
      <c r="D290" s="2">
        <v>1</v>
      </c>
      <c r="E290" s="2">
        <v>0.4287191813565403</v>
      </c>
      <c r="F290" s="2">
        <v>0.53569574699465849</v>
      </c>
      <c r="G290" s="2">
        <v>9.5790129052906028E-2</v>
      </c>
    </row>
    <row r="292" spans="1:7" x14ac:dyDescent="0.25">
      <c r="A292" s="1" t="s">
        <v>0</v>
      </c>
      <c r="B292" s="1" t="s">
        <v>1</v>
      </c>
      <c r="C292" s="1" t="s">
        <v>2</v>
      </c>
      <c r="D292" s="1" t="s">
        <v>3</v>
      </c>
      <c r="E292" s="1" t="s">
        <v>4</v>
      </c>
      <c r="F292" s="1" t="s">
        <v>5</v>
      </c>
      <c r="G292" s="1" t="s">
        <v>6</v>
      </c>
    </row>
    <row r="293" spans="1:7" x14ac:dyDescent="0.25">
      <c r="A293" s="2" t="s">
        <v>29</v>
      </c>
      <c r="B293" s="8" t="s">
        <v>30</v>
      </c>
      <c r="C293" s="2">
        <v>4</v>
      </c>
      <c r="D293" s="3">
        <v>333902.21266145178</v>
      </c>
      <c r="E293" s="3">
        <v>6590.0541599999997</v>
      </c>
      <c r="F293" s="4">
        <v>3.968817154607421E-3</v>
      </c>
      <c r="G293" s="4">
        <v>1.4273582237145071E-3</v>
      </c>
    </row>
    <row r="294" spans="1:7" x14ac:dyDescent="0.25">
      <c r="A294" s="2" t="s">
        <v>29</v>
      </c>
      <c r="B294" s="8" t="s">
        <v>30</v>
      </c>
      <c r="C294" s="2">
        <v>3</v>
      </c>
      <c r="D294" s="3">
        <v>289865.32010952412</v>
      </c>
      <c r="E294" s="3">
        <v>5130.8202951200001</v>
      </c>
      <c r="F294" s="4">
        <v>7.1409024001186736E-3</v>
      </c>
      <c r="G294" s="4">
        <v>1.6292149323472839E-3</v>
      </c>
    </row>
    <row r="295" spans="1:7" x14ac:dyDescent="0.25">
      <c r="A295" s="2" t="s">
        <v>29</v>
      </c>
      <c r="B295" s="8" t="s">
        <v>30</v>
      </c>
      <c r="C295" s="2">
        <v>2</v>
      </c>
      <c r="D295" s="3">
        <v>259818.50988372459</v>
      </c>
      <c r="E295" s="3">
        <v>45922.658233419999</v>
      </c>
      <c r="F295" s="4">
        <v>4.0433840100499702E-5</v>
      </c>
      <c r="G295" s="4">
        <v>1.5232724169502069E-4</v>
      </c>
    </row>
    <row r="296" spans="1:7" x14ac:dyDescent="0.25">
      <c r="A296" s="2" t="s">
        <v>29</v>
      </c>
      <c r="B296" s="8" t="s">
        <v>30</v>
      </c>
      <c r="C296" s="2">
        <v>1</v>
      </c>
      <c r="D296" s="3">
        <v>234189.89306239539</v>
      </c>
      <c r="E296" s="3">
        <v>4733.3383234200001</v>
      </c>
      <c r="F296" s="4">
        <v>6.6356632156617178E-4</v>
      </c>
      <c r="G296" s="4">
        <v>3.1476572520248271E-3</v>
      </c>
    </row>
    <row r="298" spans="1:7" x14ac:dyDescent="0.25">
      <c r="B298" s="7" t="s">
        <v>40</v>
      </c>
      <c r="D298" s="3">
        <f>AVERAGE(D293:D294)</f>
        <v>311883.76638548798</v>
      </c>
      <c r="E298" s="3">
        <f t="shared" ref="E298:G298" si="56">AVERAGE(E293:E294)</f>
        <v>5860.4372275599999</v>
      </c>
      <c r="F298" s="4">
        <f t="shared" si="56"/>
        <v>5.5548597773630477E-3</v>
      </c>
      <c r="G298" s="4">
        <f t="shared" si="56"/>
        <v>1.5282865780308955E-3</v>
      </c>
    </row>
    <row r="299" spans="1:7" x14ac:dyDescent="0.25">
      <c r="B299" s="7" t="s">
        <v>41</v>
      </c>
      <c r="D299" s="3">
        <f>AVERAGE(D295:D296)</f>
        <v>247004.20147306001</v>
      </c>
      <c r="E299" s="3">
        <f t="shared" ref="E299:G299" si="57">AVERAGE(E295:E296)</f>
        <v>25327.99827842</v>
      </c>
      <c r="F299" s="4">
        <f t="shared" si="57"/>
        <v>3.5200008083333573E-4</v>
      </c>
      <c r="G299" s="4">
        <f t="shared" si="57"/>
        <v>1.6499922468599239E-3</v>
      </c>
    </row>
    <row r="301" spans="1:7" x14ac:dyDescent="0.25">
      <c r="C301" s="7" t="s">
        <v>42</v>
      </c>
      <c r="D301" s="3">
        <f>D298/D299</f>
        <v>1.2626658353400688</v>
      </c>
      <c r="E301" s="3">
        <f t="shared" ref="E301:G301" si="58">E298/E299</f>
        <v>0.23138177613322164</v>
      </c>
      <c r="F301" s="3">
        <f t="shared" si="58"/>
        <v>15.780848016319494</v>
      </c>
      <c r="G301" s="3">
        <f t="shared" si="58"/>
        <v>0.9262386419932308</v>
      </c>
    </row>
    <row r="303" spans="1:7" x14ac:dyDescent="0.25">
      <c r="C303" s="2">
        <f>MAX(C293:C296)</f>
        <v>4</v>
      </c>
      <c r="D303" s="2">
        <f t="shared" ref="D303:G303" si="59">MAX(D293:D296)</f>
        <v>333902.21266145178</v>
      </c>
      <c r="E303" s="2">
        <f t="shared" si="59"/>
        <v>45922.658233419999</v>
      </c>
      <c r="F303" s="2">
        <f t="shared" si="59"/>
        <v>7.1409024001186736E-3</v>
      </c>
      <c r="G303" s="2">
        <f t="shared" si="59"/>
        <v>3.1476572520248271E-3</v>
      </c>
    </row>
    <row r="304" spans="1:7" x14ac:dyDescent="0.25">
      <c r="C304" s="10" t="s">
        <v>43</v>
      </c>
      <c r="D304" s="10" t="s">
        <v>3</v>
      </c>
      <c r="E304" s="1" t="s">
        <v>4</v>
      </c>
      <c r="F304" s="1" t="s">
        <v>5</v>
      </c>
      <c r="G304" s="1" t="s">
        <v>6</v>
      </c>
    </row>
    <row r="305" spans="1:7" x14ac:dyDescent="0.25">
      <c r="C305" s="2">
        <f>C293/C$303</f>
        <v>1</v>
      </c>
      <c r="D305" s="2">
        <f t="shared" ref="D305:G305" si="60">D293/D$303</f>
        <v>1</v>
      </c>
      <c r="E305" s="2">
        <f t="shared" si="60"/>
        <v>0.14350332523225146</v>
      </c>
      <c r="F305" s="2">
        <f t="shared" si="60"/>
        <v>0.55578650039264843</v>
      </c>
      <c r="G305" s="2">
        <f t="shared" si="60"/>
        <v>0.45346685151196658</v>
      </c>
    </row>
    <row r="306" spans="1:7" x14ac:dyDescent="0.25">
      <c r="C306" s="2">
        <f t="shared" ref="C306:G308" si="61">C294/C$303</f>
        <v>0.75</v>
      </c>
      <c r="D306" s="2">
        <f t="shared" si="61"/>
        <v>0.86811440331311229</v>
      </c>
      <c r="E306" s="2">
        <f t="shared" si="61"/>
        <v>0.11172742372709753</v>
      </c>
      <c r="F306" s="2">
        <f t="shared" si="61"/>
        <v>1</v>
      </c>
      <c r="G306" s="2">
        <f t="shared" si="61"/>
        <v>0.5175960410871423</v>
      </c>
    </row>
    <row r="307" spans="1:7" x14ac:dyDescent="0.25">
      <c r="C307" s="2">
        <f t="shared" si="61"/>
        <v>0.5</v>
      </c>
      <c r="D307" s="2">
        <f t="shared" si="61"/>
        <v>0.77812754762172931</v>
      </c>
      <c r="E307" s="2">
        <f t="shared" si="61"/>
        <v>1</v>
      </c>
      <c r="F307" s="2">
        <f t="shared" si="61"/>
        <v>5.6622871781342003E-3</v>
      </c>
      <c r="G307" s="2">
        <f t="shared" si="61"/>
        <v>4.8393846438341249E-2</v>
      </c>
    </row>
    <row r="308" spans="1:7" x14ac:dyDescent="0.25">
      <c r="C308" s="2">
        <f t="shared" si="61"/>
        <v>0.25</v>
      </c>
      <c r="D308" s="2">
        <f t="shared" si="61"/>
        <v>0.70137268991339052</v>
      </c>
      <c r="E308" s="2">
        <f t="shared" si="61"/>
        <v>0.10307195849510592</v>
      </c>
      <c r="F308" s="2">
        <f t="shared" si="61"/>
        <v>9.2924715166971622E-2</v>
      </c>
      <c r="G308" s="2">
        <f t="shared" si="61"/>
        <v>1</v>
      </c>
    </row>
    <row r="310" spans="1:7" x14ac:dyDescent="0.25">
      <c r="C310" s="10" t="s">
        <v>3</v>
      </c>
      <c r="D310" s="10" t="s">
        <v>43</v>
      </c>
      <c r="E310" s="10" t="s">
        <v>4</v>
      </c>
      <c r="F310" s="10" t="s">
        <v>5</v>
      </c>
      <c r="G310" s="10" t="s">
        <v>6</v>
      </c>
    </row>
    <row r="311" spans="1:7" x14ac:dyDescent="0.25">
      <c r="C311" s="3">
        <v>0.70137268991339052</v>
      </c>
      <c r="D311" s="2">
        <v>0.25</v>
      </c>
      <c r="E311" s="2">
        <v>0.10307195849510592</v>
      </c>
      <c r="F311" s="2">
        <v>9.2924715166971622E-2</v>
      </c>
      <c r="G311" s="2">
        <v>1</v>
      </c>
    </row>
    <row r="312" spans="1:7" x14ac:dyDescent="0.25">
      <c r="C312" s="3">
        <v>0.77812754762172931</v>
      </c>
      <c r="D312" s="2">
        <v>0.5</v>
      </c>
      <c r="E312" s="2">
        <v>1</v>
      </c>
      <c r="F312" s="2">
        <v>5.6622871781342003E-3</v>
      </c>
      <c r="G312" s="2">
        <v>4.8393846438341249E-2</v>
      </c>
    </row>
    <row r="313" spans="1:7" x14ac:dyDescent="0.25">
      <c r="C313" s="3">
        <v>0.86811440331311229</v>
      </c>
      <c r="D313" s="2">
        <v>0.75</v>
      </c>
      <c r="E313" s="2">
        <v>0.11172742372709753</v>
      </c>
      <c r="F313" s="2">
        <v>1</v>
      </c>
      <c r="G313" s="2">
        <v>0.5175960410871423</v>
      </c>
    </row>
    <row r="314" spans="1:7" x14ac:dyDescent="0.25">
      <c r="C314" s="3">
        <v>1</v>
      </c>
      <c r="D314" s="2">
        <v>1</v>
      </c>
      <c r="E314" s="2">
        <v>0.14350332523225146</v>
      </c>
      <c r="F314" s="2">
        <v>0.55578650039264843</v>
      </c>
      <c r="G314" s="2">
        <v>0.45346685151196658</v>
      </c>
    </row>
    <row r="317" spans="1:7" x14ac:dyDescent="0.25">
      <c r="A317" s="1" t="s">
        <v>0</v>
      </c>
      <c r="B317" s="1" t="s">
        <v>1</v>
      </c>
      <c r="C317" s="1" t="s">
        <v>2</v>
      </c>
      <c r="D317" s="1" t="s">
        <v>3</v>
      </c>
      <c r="E317" s="1" t="s">
        <v>4</v>
      </c>
      <c r="F317" s="1" t="s">
        <v>5</v>
      </c>
      <c r="G317" s="1" t="s">
        <v>6</v>
      </c>
    </row>
    <row r="318" spans="1:7" x14ac:dyDescent="0.25">
      <c r="A318" s="2" t="s">
        <v>31</v>
      </c>
      <c r="B318" s="8" t="s">
        <v>32</v>
      </c>
      <c r="C318" s="2">
        <v>4</v>
      </c>
      <c r="D318" s="3">
        <v>615324.90182869229</v>
      </c>
      <c r="E318" s="3">
        <v>12188.037840000001</v>
      </c>
      <c r="F318" s="4">
        <v>3.5563801629943082E-3</v>
      </c>
      <c r="G318" s="4">
        <v>2.3262126662383252E-3</v>
      </c>
    </row>
    <row r="319" spans="1:7" x14ac:dyDescent="0.25">
      <c r="A319" s="2" t="s">
        <v>31</v>
      </c>
      <c r="B319" s="8" t="s">
        <v>32</v>
      </c>
      <c r="C319" s="2">
        <v>3</v>
      </c>
      <c r="D319" s="3">
        <v>463470.71898289572</v>
      </c>
      <c r="E319" s="3">
        <v>9380.3853557600014</v>
      </c>
      <c r="F319" s="4">
        <v>2.4821681068467739E-3</v>
      </c>
      <c r="G319" s="4">
        <v>1.7821392198706289E-3</v>
      </c>
    </row>
    <row r="320" spans="1:7" x14ac:dyDescent="0.25">
      <c r="A320" s="2" t="s">
        <v>31</v>
      </c>
      <c r="B320" s="8" t="s">
        <v>32</v>
      </c>
      <c r="C320" s="2">
        <v>2</v>
      </c>
      <c r="D320" s="3">
        <v>441905.15975913568</v>
      </c>
      <c r="E320" s="3">
        <v>8680.9984719799995</v>
      </c>
      <c r="F320" s="4">
        <v>5.3628300774693723E-2</v>
      </c>
      <c r="G320" s="4">
        <v>1.9809359137092151E-3</v>
      </c>
    </row>
    <row r="321" spans="1:7" x14ac:dyDescent="0.25">
      <c r="A321" s="2" t="s">
        <v>31</v>
      </c>
      <c r="B321" s="8" t="s">
        <v>32</v>
      </c>
      <c r="C321" s="2">
        <v>1</v>
      </c>
      <c r="D321" s="3">
        <v>396416.47748978873</v>
      </c>
      <c r="E321" s="3">
        <v>10615.43888874</v>
      </c>
      <c r="F321" s="4">
        <v>5.7122249315871114E-3</v>
      </c>
      <c r="G321" s="4">
        <v>1.223257961926933E-3</v>
      </c>
    </row>
    <row r="323" spans="1:7" x14ac:dyDescent="0.25">
      <c r="B323" s="7" t="s">
        <v>40</v>
      </c>
      <c r="D323" s="3">
        <f>AVERAGE(D318:D319)</f>
        <v>539397.81040579407</v>
      </c>
      <c r="E323" s="3">
        <f t="shared" ref="E323:G323" si="62">AVERAGE(E318:E319)</f>
        <v>10784.211597880001</v>
      </c>
      <c r="F323" s="4">
        <f t="shared" si="62"/>
        <v>3.0192741349205411E-3</v>
      </c>
      <c r="G323" s="4">
        <f t="shared" si="62"/>
        <v>2.0541759430544771E-3</v>
      </c>
    </row>
    <row r="324" spans="1:7" x14ac:dyDescent="0.25">
      <c r="B324" s="7" t="s">
        <v>41</v>
      </c>
      <c r="D324" s="3">
        <f>AVERAGE(D320:D321)</f>
        <v>419160.81862446223</v>
      </c>
      <c r="E324" s="3">
        <f t="shared" ref="E324:G324" si="63">AVERAGE(E320:E321)</f>
        <v>9648.2186803599998</v>
      </c>
      <c r="F324" s="4">
        <f t="shared" si="63"/>
        <v>2.9670262853140415E-2</v>
      </c>
      <c r="G324" s="4">
        <f t="shared" si="63"/>
        <v>1.602096937818074E-3</v>
      </c>
    </row>
    <row r="326" spans="1:7" x14ac:dyDescent="0.25">
      <c r="C326" s="7" t="s">
        <v>42</v>
      </c>
      <c r="D326" s="3">
        <f>D323/D324</f>
        <v>1.2868516961482879</v>
      </c>
      <c r="E326" s="3">
        <f t="shared" ref="E326:G326" si="64">E323/E324</f>
        <v>1.1177412074865631</v>
      </c>
      <c r="F326" s="3">
        <f t="shared" si="64"/>
        <v>0.10176095000792922</v>
      </c>
      <c r="G326" s="3">
        <f t="shared" si="64"/>
        <v>1.2821795576565411</v>
      </c>
    </row>
    <row r="328" spans="1:7" x14ac:dyDescent="0.25">
      <c r="C328" s="2">
        <f>MAX(C318:C321)</f>
        <v>4</v>
      </c>
      <c r="D328" s="2">
        <f t="shared" ref="D328:G328" si="65">MAX(D318:D321)</f>
        <v>615324.90182869229</v>
      </c>
      <c r="E328" s="2">
        <f t="shared" si="65"/>
        <v>12188.037840000001</v>
      </c>
      <c r="F328" s="2">
        <f t="shared" si="65"/>
        <v>5.3628300774693723E-2</v>
      </c>
      <c r="G328" s="2">
        <f t="shared" si="65"/>
        <v>2.3262126662383252E-3</v>
      </c>
    </row>
    <row r="329" spans="1:7" x14ac:dyDescent="0.25">
      <c r="C329" s="10" t="s">
        <v>43</v>
      </c>
      <c r="D329" s="10" t="s">
        <v>3</v>
      </c>
      <c r="E329" s="1" t="s">
        <v>4</v>
      </c>
      <c r="F329" s="1" t="s">
        <v>5</v>
      </c>
      <c r="G329" s="1" t="s">
        <v>6</v>
      </c>
    </row>
    <row r="330" spans="1:7" x14ac:dyDescent="0.25">
      <c r="C330" s="2">
        <f>C318/C$328</f>
        <v>1</v>
      </c>
      <c r="D330" s="2">
        <f t="shared" ref="D330:G330" si="66">D318/D$328</f>
        <v>1</v>
      </c>
      <c r="E330" s="2">
        <f t="shared" si="66"/>
        <v>1</v>
      </c>
      <c r="F330" s="2">
        <f t="shared" si="66"/>
        <v>6.6315361695601274E-2</v>
      </c>
      <c r="G330" s="2">
        <f t="shared" si="66"/>
        <v>1</v>
      </c>
    </row>
    <row r="331" spans="1:7" x14ac:dyDescent="0.25">
      <c r="C331" s="2">
        <f t="shared" ref="C331:G333" si="67">C319/C$328</f>
        <v>0.75</v>
      </c>
      <c r="D331" s="2">
        <f t="shared" si="67"/>
        <v>0.75321300601601027</v>
      </c>
      <c r="E331" s="2">
        <f t="shared" si="67"/>
        <v>0.76963868006501046</v>
      </c>
      <c r="F331" s="2">
        <f t="shared" si="67"/>
        <v>4.6284668188071074E-2</v>
      </c>
      <c r="G331" s="2">
        <f t="shared" si="67"/>
        <v>0.76611190616225677</v>
      </c>
    </row>
    <row r="332" spans="1:7" x14ac:dyDescent="0.25">
      <c r="C332" s="2">
        <f t="shared" si="67"/>
        <v>0.5</v>
      </c>
      <c r="D332" s="2">
        <f t="shared" si="67"/>
        <v>0.71816557146611792</v>
      </c>
      <c r="E332" s="2">
        <f t="shared" si="67"/>
        <v>0.71225562194184977</v>
      </c>
      <c r="F332" s="2">
        <f t="shared" si="67"/>
        <v>1</v>
      </c>
      <c r="G332" s="2">
        <f t="shared" si="67"/>
        <v>0.85157128686456229</v>
      </c>
    </row>
    <row r="333" spans="1:7" x14ac:dyDescent="0.25">
      <c r="C333" s="2">
        <f t="shared" si="67"/>
        <v>0.25</v>
      </c>
      <c r="D333" s="2">
        <f t="shared" si="67"/>
        <v>0.64423928937651198</v>
      </c>
      <c r="E333" s="2">
        <f t="shared" si="67"/>
        <v>0.87097193396472083</v>
      </c>
      <c r="F333" s="2">
        <f t="shared" si="67"/>
        <v>0.10651512073048215</v>
      </c>
      <c r="G333" s="2">
        <f t="shared" si="67"/>
        <v>0.52585818127499084</v>
      </c>
    </row>
    <row r="335" spans="1:7" x14ac:dyDescent="0.25">
      <c r="C335" s="10" t="s">
        <v>3</v>
      </c>
      <c r="D335" s="10" t="s">
        <v>43</v>
      </c>
      <c r="E335" s="10" t="s">
        <v>4</v>
      </c>
      <c r="F335" s="10" t="s">
        <v>5</v>
      </c>
      <c r="G335" s="10" t="s">
        <v>6</v>
      </c>
    </row>
    <row r="336" spans="1:7" x14ac:dyDescent="0.25">
      <c r="C336" s="3">
        <v>0.64423928937651198</v>
      </c>
      <c r="D336" s="2">
        <v>0.25</v>
      </c>
      <c r="E336" s="2">
        <v>0.87097193396472083</v>
      </c>
      <c r="F336" s="2">
        <v>0.10651512073048215</v>
      </c>
      <c r="G336" s="2">
        <v>0.52585818127499084</v>
      </c>
    </row>
    <row r="337" spans="1:7" x14ac:dyDescent="0.25">
      <c r="C337" s="3">
        <v>0.71816557146611792</v>
      </c>
      <c r="D337" s="2">
        <v>0.5</v>
      </c>
      <c r="E337" s="2">
        <v>0.71225562194184977</v>
      </c>
      <c r="F337" s="2">
        <v>1</v>
      </c>
      <c r="G337" s="2">
        <v>0.85157128686456229</v>
      </c>
    </row>
    <row r="338" spans="1:7" x14ac:dyDescent="0.25">
      <c r="C338" s="3">
        <v>0.75321300601601027</v>
      </c>
      <c r="D338" s="2">
        <v>0.75</v>
      </c>
      <c r="E338" s="2">
        <v>0.76963868006501046</v>
      </c>
      <c r="F338" s="2">
        <v>4.6284668188071074E-2</v>
      </c>
      <c r="G338" s="2">
        <v>0.76611190616225677</v>
      </c>
    </row>
    <row r="339" spans="1:7" x14ac:dyDescent="0.25">
      <c r="C339" s="3">
        <v>1</v>
      </c>
      <c r="D339" s="2">
        <v>1</v>
      </c>
      <c r="E339" s="2">
        <v>1</v>
      </c>
      <c r="F339" s="2">
        <v>6.6315361695601274E-2</v>
      </c>
      <c r="G339" s="2">
        <v>1</v>
      </c>
    </row>
    <row r="342" spans="1:7" x14ac:dyDescent="0.25">
      <c r="A342" s="1" t="s">
        <v>0</v>
      </c>
      <c r="B342" s="1" t="s">
        <v>1</v>
      </c>
      <c r="C342" s="1" t="s">
        <v>2</v>
      </c>
      <c r="D342" s="1" t="s">
        <v>3</v>
      </c>
      <c r="E342" s="1" t="s">
        <v>4</v>
      </c>
      <c r="F342" s="1" t="s">
        <v>5</v>
      </c>
      <c r="G342" s="1" t="s">
        <v>6</v>
      </c>
    </row>
    <row r="343" spans="1:7" x14ac:dyDescent="0.25">
      <c r="A343" s="2" t="s">
        <v>33</v>
      </c>
      <c r="B343" s="8" t="s">
        <v>34</v>
      </c>
      <c r="C343" s="2">
        <v>1</v>
      </c>
      <c r="D343" s="3">
        <v>480752.63075950177</v>
      </c>
      <c r="E343" s="3">
        <v>13713.99982974</v>
      </c>
      <c r="F343" s="4">
        <v>1.8909555433829729E-4</v>
      </c>
      <c r="G343" s="4">
        <v>1.421912259449817E-2</v>
      </c>
    </row>
    <row r="344" spans="1:7" x14ac:dyDescent="0.25">
      <c r="A344" s="2" t="s">
        <v>33</v>
      </c>
      <c r="B344" s="8" t="s">
        <v>34</v>
      </c>
      <c r="C344" s="2">
        <v>4</v>
      </c>
      <c r="D344" s="3">
        <v>430680.74778667098</v>
      </c>
      <c r="E344" s="3">
        <v>9650.7308639999992</v>
      </c>
      <c r="F344" s="4">
        <v>3.2382873836611008E-4</v>
      </c>
      <c r="G344" s="4">
        <v>1.307147425181787E-3</v>
      </c>
    </row>
    <row r="345" spans="1:7" x14ac:dyDescent="0.25">
      <c r="A345" s="2" t="s">
        <v>33</v>
      </c>
      <c r="B345" s="8" t="s">
        <v>34</v>
      </c>
      <c r="C345" s="2">
        <v>3</v>
      </c>
      <c r="D345" s="3">
        <v>344818.33344279532</v>
      </c>
      <c r="E345" s="3">
        <v>7766.5175531200011</v>
      </c>
      <c r="F345" s="4">
        <v>5.6879237956854514E-4</v>
      </c>
      <c r="G345" s="4">
        <v>9.2862762115340628E-4</v>
      </c>
    </row>
    <row r="346" spans="1:7" x14ac:dyDescent="0.25">
      <c r="A346" s="2" t="s">
        <v>33</v>
      </c>
      <c r="B346" s="8" t="s">
        <v>34</v>
      </c>
      <c r="C346" s="2">
        <v>2</v>
      </c>
      <c r="D346" s="3">
        <v>310794.74797233898</v>
      </c>
      <c r="E346" s="3">
        <v>8210.8821614400003</v>
      </c>
      <c r="F346" s="4">
        <v>1.515288413031857E-4</v>
      </c>
      <c r="G346" s="4">
        <v>1.134724744407487E-2</v>
      </c>
    </row>
    <row r="348" spans="1:7" x14ac:dyDescent="0.25">
      <c r="B348" s="7" t="s">
        <v>40</v>
      </c>
      <c r="D348" s="3">
        <f>AVERAGE(D343:D344)</f>
        <v>455716.68927308638</v>
      </c>
      <c r="E348" s="3">
        <f t="shared" ref="E348:G348" si="68">AVERAGE(E343:E344)</f>
        <v>11682.365346869999</v>
      </c>
      <c r="F348" s="4">
        <f t="shared" si="68"/>
        <v>2.5646214635220368E-4</v>
      </c>
      <c r="G348" s="4">
        <f t="shared" si="68"/>
        <v>7.7631350098399787E-3</v>
      </c>
    </row>
    <row r="349" spans="1:7" x14ac:dyDescent="0.25">
      <c r="B349" s="7" t="s">
        <v>41</v>
      </c>
      <c r="D349" s="3">
        <f>AVERAGE(D345:D346)</f>
        <v>327806.54070756712</v>
      </c>
      <c r="E349" s="3">
        <f t="shared" ref="E349:G349" si="69">AVERAGE(E345:E346)</f>
        <v>7988.6998572800003</v>
      </c>
      <c r="F349" s="4">
        <f t="shared" si="69"/>
        <v>3.6016061043586542E-4</v>
      </c>
      <c r="G349" s="4">
        <f t="shared" si="69"/>
        <v>6.1379375326141381E-3</v>
      </c>
    </row>
    <row r="351" spans="1:7" x14ac:dyDescent="0.25">
      <c r="C351" s="7" t="s">
        <v>42</v>
      </c>
      <c r="D351" s="3">
        <f>D348/D349</f>
        <v>1.3902001109844437</v>
      </c>
      <c r="E351" s="3">
        <f t="shared" ref="E351:G351" si="70">E348/E349</f>
        <v>1.462361279754929</v>
      </c>
      <c r="F351" s="3">
        <f t="shared" si="70"/>
        <v>0.71207716480109773</v>
      </c>
      <c r="G351" s="3">
        <f t="shared" si="70"/>
        <v>1.2647790839496653</v>
      </c>
    </row>
    <row r="353" spans="1:7" x14ac:dyDescent="0.25">
      <c r="C353" s="2">
        <f>MAX(C343:C346)</f>
        <v>4</v>
      </c>
      <c r="D353" s="2">
        <f t="shared" ref="D353:G353" si="71">MAX(D343:D346)</f>
        <v>480752.63075950177</v>
      </c>
      <c r="E353" s="2">
        <f t="shared" si="71"/>
        <v>13713.99982974</v>
      </c>
      <c r="F353" s="2">
        <f t="shared" si="71"/>
        <v>5.6879237956854514E-4</v>
      </c>
      <c r="G353" s="2">
        <f t="shared" si="71"/>
        <v>1.421912259449817E-2</v>
      </c>
    </row>
    <row r="354" spans="1:7" x14ac:dyDescent="0.25">
      <c r="C354" s="10" t="s">
        <v>43</v>
      </c>
      <c r="D354" s="10" t="s">
        <v>3</v>
      </c>
      <c r="E354" s="1" t="s">
        <v>4</v>
      </c>
      <c r="F354" s="1" t="s">
        <v>5</v>
      </c>
      <c r="G354" s="1" t="s">
        <v>6</v>
      </c>
    </row>
    <row r="355" spans="1:7" x14ac:dyDescent="0.25">
      <c r="C355" s="2">
        <f>C343/C$353</f>
        <v>0.25</v>
      </c>
      <c r="D355" s="2">
        <f t="shared" ref="D355:G355" si="72">D343/D$353</f>
        <v>1</v>
      </c>
      <c r="E355" s="2">
        <f t="shared" si="72"/>
        <v>1</v>
      </c>
      <c r="F355" s="2">
        <f t="shared" si="72"/>
        <v>0.33245092784424229</v>
      </c>
      <c r="G355" s="2">
        <f t="shared" si="72"/>
        <v>1</v>
      </c>
    </row>
    <row r="356" spans="1:7" x14ac:dyDescent="0.25">
      <c r="C356" s="2">
        <f t="shared" ref="C356:G358" si="73">C344/C$353</f>
        <v>1</v>
      </c>
      <c r="D356" s="2">
        <f t="shared" si="73"/>
        <v>0.89584688721572603</v>
      </c>
      <c r="E356" s="2">
        <f t="shared" si="73"/>
        <v>0.70371379494052133</v>
      </c>
      <c r="F356" s="2">
        <f t="shared" si="73"/>
        <v>0.56932678776700363</v>
      </c>
      <c r="G356" s="2">
        <f t="shared" si="73"/>
        <v>9.1928838540822747E-2</v>
      </c>
    </row>
    <row r="357" spans="1:7" x14ac:dyDescent="0.25">
      <c r="C357" s="2">
        <f t="shared" si="73"/>
        <v>0.75</v>
      </c>
      <c r="D357" s="2">
        <f t="shared" si="73"/>
        <v>0.7172468986764462</v>
      </c>
      <c r="E357" s="2">
        <f t="shared" si="73"/>
        <v>0.56632037695360282</v>
      </c>
      <c r="F357" s="2">
        <f t="shared" si="73"/>
        <v>1</v>
      </c>
      <c r="G357" s="2">
        <f t="shared" si="73"/>
        <v>6.5308363085126067E-2</v>
      </c>
    </row>
    <row r="358" spans="1:7" x14ac:dyDescent="0.25">
      <c r="C358" s="2">
        <f t="shared" si="73"/>
        <v>0.5</v>
      </c>
      <c r="D358" s="2">
        <f t="shared" si="73"/>
        <v>0.64647539729806525</v>
      </c>
      <c r="E358" s="2">
        <f t="shared" si="73"/>
        <v>0.59872263842631746</v>
      </c>
      <c r="F358" s="2">
        <f t="shared" si="73"/>
        <v>0.26640448561938757</v>
      </c>
      <c r="G358" s="2">
        <f t="shared" si="73"/>
        <v>0.798027260026964</v>
      </c>
    </row>
    <row r="360" spans="1:7" x14ac:dyDescent="0.25">
      <c r="C360" s="10" t="s">
        <v>3</v>
      </c>
      <c r="D360" s="10" t="s">
        <v>43</v>
      </c>
      <c r="E360" s="10" t="s">
        <v>4</v>
      </c>
      <c r="F360" s="10" t="s">
        <v>5</v>
      </c>
      <c r="G360" s="10" t="s">
        <v>6</v>
      </c>
    </row>
    <row r="361" spans="1:7" x14ac:dyDescent="0.25">
      <c r="C361" s="3">
        <v>0.64647539729806525</v>
      </c>
      <c r="D361" s="2">
        <v>0.5</v>
      </c>
      <c r="E361" s="2">
        <v>0.59872263842631746</v>
      </c>
      <c r="F361" s="2">
        <v>0.26640448561938757</v>
      </c>
      <c r="G361" s="2">
        <v>0.798027260026964</v>
      </c>
    </row>
    <row r="362" spans="1:7" x14ac:dyDescent="0.25">
      <c r="C362" s="3">
        <v>0.7172468986764462</v>
      </c>
      <c r="D362" s="2">
        <v>0.75</v>
      </c>
      <c r="E362" s="2">
        <v>0.56632037695360282</v>
      </c>
      <c r="F362" s="2">
        <v>1</v>
      </c>
      <c r="G362" s="2">
        <v>6.5308363085126067E-2</v>
      </c>
    </row>
    <row r="363" spans="1:7" x14ac:dyDescent="0.25">
      <c r="C363" s="3">
        <v>0.89584688721572603</v>
      </c>
      <c r="D363" s="2">
        <v>1</v>
      </c>
      <c r="E363" s="2">
        <v>0.70371379494052133</v>
      </c>
      <c r="F363" s="2">
        <v>0.56932678776700363</v>
      </c>
      <c r="G363" s="2">
        <v>9.1928838540822747E-2</v>
      </c>
    </row>
    <row r="364" spans="1:7" x14ac:dyDescent="0.25">
      <c r="C364" s="3">
        <v>1</v>
      </c>
      <c r="D364" s="2">
        <v>0.25</v>
      </c>
      <c r="E364" s="2">
        <v>1</v>
      </c>
      <c r="F364" s="2">
        <v>0.33245092784424229</v>
      </c>
      <c r="G364" s="2">
        <v>1</v>
      </c>
    </row>
    <row r="367" spans="1:7" x14ac:dyDescent="0.25">
      <c r="A367" s="1" t="s">
        <v>0</v>
      </c>
      <c r="B367" s="1" t="s">
        <v>1</v>
      </c>
      <c r="C367" s="1" t="s">
        <v>2</v>
      </c>
      <c r="D367" s="1" t="s">
        <v>3</v>
      </c>
      <c r="E367" s="1" t="s">
        <v>4</v>
      </c>
      <c r="F367" s="1" t="s">
        <v>5</v>
      </c>
      <c r="G367" s="1" t="s">
        <v>6</v>
      </c>
    </row>
    <row r="368" spans="1:7" x14ac:dyDescent="0.25">
      <c r="A368" s="2" t="s">
        <v>35</v>
      </c>
      <c r="B368" s="8" t="s">
        <v>36</v>
      </c>
      <c r="C368" s="2">
        <v>4</v>
      </c>
      <c r="D368" s="3">
        <v>624490.81179662514</v>
      </c>
      <c r="E368" s="3">
        <v>23490.718752000001</v>
      </c>
      <c r="F368" s="4">
        <v>1.927088927244758E-3</v>
      </c>
      <c r="G368" s="4">
        <v>1.8760825696850091E-3</v>
      </c>
    </row>
    <row r="369" spans="1:7" x14ac:dyDescent="0.25">
      <c r="A369" s="2" t="s">
        <v>35</v>
      </c>
      <c r="B369" s="8" t="s">
        <v>36</v>
      </c>
      <c r="C369" s="2">
        <v>3</v>
      </c>
      <c r="D369" s="3">
        <v>615005.46689121344</v>
      </c>
      <c r="E369" s="3">
        <v>18304.5266156</v>
      </c>
      <c r="F369" s="4">
        <v>2.0544865338363899E-3</v>
      </c>
      <c r="G369" s="4">
        <v>2.397692315221963E-3</v>
      </c>
    </row>
    <row r="370" spans="1:7" x14ac:dyDescent="0.25">
      <c r="A370" s="2" t="s">
        <v>35</v>
      </c>
      <c r="B370" s="8" t="s">
        <v>36</v>
      </c>
      <c r="C370" s="2">
        <v>1</v>
      </c>
      <c r="D370" s="3">
        <v>557880.96074185451</v>
      </c>
      <c r="E370" s="3">
        <v>17673.58753398</v>
      </c>
      <c r="F370" s="4">
        <v>1.2639185721094849E-3</v>
      </c>
      <c r="G370" s="4">
        <v>7.224852054202324E-4</v>
      </c>
    </row>
    <row r="371" spans="1:7" x14ac:dyDescent="0.25">
      <c r="A371" s="2" t="s">
        <v>35</v>
      </c>
      <c r="B371" s="8" t="s">
        <v>36</v>
      </c>
      <c r="C371" s="2">
        <v>2</v>
      </c>
      <c r="D371" s="3">
        <v>528936.59684355662</v>
      </c>
      <c r="E371" s="3">
        <v>14840.029964359999</v>
      </c>
      <c r="F371" s="4">
        <v>3.348617336982791E-3</v>
      </c>
      <c r="G371" s="4">
        <v>9.7700369843055682E-4</v>
      </c>
    </row>
    <row r="373" spans="1:7" x14ac:dyDescent="0.25">
      <c r="B373" s="7" t="s">
        <v>40</v>
      </c>
      <c r="D373" s="3">
        <f>AVERAGE(D368:D369)</f>
        <v>619748.13934391923</v>
      </c>
      <c r="E373" s="3">
        <f t="shared" ref="E373:G373" si="74">AVERAGE(E368:E369)</f>
        <v>20897.6226838</v>
      </c>
      <c r="F373" s="4">
        <f t="shared" si="74"/>
        <v>1.9907877305405742E-3</v>
      </c>
      <c r="G373" s="4">
        <f t="shared" si="74"/>
        <v>2.1368874424534858E-3</v>
      </c>
    </row>
    <row r="374" spans="1:7" x14ac:dyDescent="0.25">
      <c r="B374" s="7" t="s">
        <v>41</v>
      </c>
      <c r="D374" s="3">
        <f>AVERAGE(D370:D371)</f>
        <v>543408.77879270562</v>
      </c>
      <c r="E374" s="3">
        <f t="shared" ref="E374:G374" si="75">AVERAGE(E370:E371)</f>
        <v>16256.808749169999</v>
      </c>
      <c r="F374" s="4">
        <f t="shared" si="75"/>
        <v>2.3062679545461382E-3</v>
      </c>
      <c r="G374" s="4">
        <f t="shared" si="75"/>
        <v>8.4974445192539461E-4</v>
      </c>
    </row>
    <row r="376" spans="1:7" x14ac:dyDescent="0.25">
      <c r="C376" s="7" t="s">
        <v>42</v>
      </c>
      <c r="D376" s="3">
        <f>D373/D374</f>
        <v>1.1404823836685474</v>
      </c>
      <c r="E376" s="3">
        <f t="shared" ref="E376:G376" si="76">E373/E374</f>
        <v>1.2854689383527957</v>
      </c>
      <c r="F376" s="3">
        <f t="shared" si="76"/>
        <v>0.8632074718882139</v>
      </c>
      <c r="G376" s="3">
        <f t="shared" si="76"/>
        <v>2.5147412702861627</v>
      </c>
    </row>
    <row r="378" spans="1:7" x14ac:dyDescent="0.25">
      <c r="C378" s="2">
        <f>MAX(C368:C371)</f>
        <v>4</v>
      </c>
      <c r="D378" s="2">
        <f t="shared" ref="D378:G378" si="77">MAX(D368:D371)</f>
        <v>624490.81179662514</v>
      </c>
      <c r="E378" s="2">
        <f t="shared" si="77"/>
        <v>23490.718752000001</v>
      </c>
      <c r="F378" s="2">
        <f t="shared" si="77"/>
        <v>3.348617336982791E-3</v>
      </c>
      <c r="G378" s="2">
        <f t="shared" si="77"/>
        <v>2.397692315221963E-3</v>
      </c>
    </row>
    <row r="379" spans="1:7" x14ac:dyDescent="0.25">
      <c r="C379" s="10" t="s">
        <v>43</v>
      </c>
      <c r="D379" s="10" t="s">
        <v>3</v>
      </c>
      <c r="E379" s="1" t="s">
        <v>4</v>
      </c>
      <c r="F379" s="1" t="s">
        <v>5</v>
      </c>
      <c r="G379" s="1" t="s">
        <v>6</v>
      </c>
    </row>
    <row r="380" spans="1:7" x14ac:dyDescent="0.25">
      <c r="C380" s="2">
        <f>C368/C$378</f>
        <v>1</v>
      </c>
      <c r="D380" s="2">
        <f t="shared" ref="D380:G380" si="78">D368/D$378</f>
        <v>1</v>
      </c>
      <c r="E380" s="2">
        <f t="shared" si="78"/>
        <v>1</v>
      </c>
      <c r="F380" s="2">
        <f t="shared" si="78"/>
        <v>0.57548795019413157</v>
      </c>
      <c r="G380" s="2">
        <f t="shared" si="78"/>
        <v>0.78245342731197487</v>
      </c>
    </row>
    <row r="381" spans="1:7" x14ac:dyDescent="0.25">
      <c r="C381" s="2">
        <f t="shared" ref="C381:G383" si="79">C369/C$378</f>
        <v>0.75</v>
      </c>
      <c r="D381" s="2">
        <f t="shared" si="79"/>
        <v>0.98481107371600407</v>
      </c>
      <c r="E381" s="2">
        <f t="shared" si="79"/>
        <v>0.77922377807369358</v>
      </c>
      <c r="F381" s="2">
        <f t="shared" si="79"/>
        <v>0.61353278893537189</v>
      </c>
      <c r="G381" s="2">
        <f t="shared" si="79"/>
        <v>1</v>
      </c>
    </row>
    <row r="382" spans="1:7" x14ac:dyDescent="0.25">
      <c r="C382" s="2">
        <f t="shared" si="79"/>
        <v>0.25</v>
      </c>
      <c r="D382" s="2">
        <f t="shared" si="79"/>
        <v>0.89333734012332733</v>
      </c>
      <c r="E382" s="2">
        <f t="shared" si="79"/>
        <v>0.7523646986099678</v>
      </c>
      <c r="F382" s="2">
        <f t="shared" si="79"/>
        <v>0.3774449108145379</v>
      </c>
      <c r="G382" s="2">
        <f t="shared" si="79"/>
        <v>0.30132523711798664</v>
      </c>
    </row>
    <row r="383" spans="1:7" x14ac:dyDescent="0.25">
      <c r="C383" s="2">
        <f t="shared" si="79"/>
        <v>0.5</v>
      </c>
      <c r="D383" s="2">
        <f t="shared" si="79"/>
        <v>0.84698859751328548</v>
      </c>
      <c r="E383" s="2">
        <f t="shared" si="79"/>
        <v>0.63174014047980198</v>
      </c>
      <c r="F383" s="2">
        <f t="shared" si="79"/>
        <v>1</v>
      </c>
      <c r="G383" s="2">
        <f t="shared" si="79"/>
        <v>0.40747667756532474</v>
      </c>
    </row>
    <row r="385" spans="1:7" x14ac:dyDescent="0.25">
      <c r="C385" s="10" t="s">
        <v>3</v>
      </c>
      <c r="D385" s="10" t="s">
        <v>43</v>
      </c>
      <c r="E385" s="10" t="s">
        <v>4</v>
      </c>
      <c r="F385" s="10" t="s">
        <v>5</v>
      </c>
      <c r="G385" s="10" t="s">
        <v>6</v>
      </c>
    </row>
    <row r="386" spans="1:7" x14ac:dyDescent="0.25">
      <c r="C386" s="3">
        <v>0.84698859751328548</v>
      </c>
      <c r="D386" s="2">
        <v>0.5</v>
      </c>
      <c r="E386" s="2">
        <v>0.63174014047980198</v>
      </c>
      <c r="F386" s="2">
        <v>1</v>
      </c>
      <c r="G386" s="2">
        <v>0.40747667756532474</v>
      </c>
    </row>
    <row r="387" spans="1:7" x14ac:dyDescent="0.25">
      <c r="C387" s="3">
        <v>0.89333734012332733</v>
      </c>
      <c r="D387" s="2">
        <v>0.25</v>
      </c>
      <c r="E387" s="2">
        <v>0.7523646986099678</v>
      </c>
      <c r="F387" s="2">
        <v>0.3774449108145379</v>
      </c>
      <c r="G387" s="2">
        <v>0.30132523711798664</v>
      </c>
    </row>
    <row r="388" spans="1:7" x14ac:dyDescent="0.25">
      <c r="C388" s="3">
        <v>0.98481107371600407</v>
      </c>
      <c r="D388" s="2">
        <v>0.75</v>
      </c>
      <c r="E388" s="2">
        <v>0.77922377807369358</v>
      </c>
      <c r="F388" s="2">
        <v>0.61353278893537189</v>
      </c>
      <c r="G388" s="2">
        <v>1</v>
      </c>
    </row>
    <row r="389" spans="1:7" x14ac:dyDescent="0.25">
      <c r="C389" s="3">
        <v>1</v>
      </c>
      <c r="D389" s="2">
        <v>1</v>
      </c>
      <c r="E389" s="2">
        <v>1</v>
      </c>
      <c r="F389" s="2">
        <v>0.57548795019413157</v>
      </c>
      <c r="G389" s="2">
        <v>0.78245342731197487</v>
      </c>
    </row>
    <row r="392" spans="1:7" x14ac:dyDescent="0.25">
      <c r="A392" s="1" t="s">
        <v>0</v>
      </c>
      <c r="B392" s="1" t="s">
        <v>1</v>
      </c>
      <c r="C392" s="1" t="s">
        <v>2</v>
      </c>
      <c r="D392" s="1" t="s">
        <v>3</v>
      </c>
      <c r="E392" s="1" t="s">
        <v>4</v>
      </c>
      <c r="F392" s="1" t="s">
        <v>5</v>
      </c>
      <c r="G392" s="1" t="s">
        <v>6</v>
      </c>
    </row>
    <row r="393" spans="1:7" x14ac:dyDescent="0.25">
      <c r="A393" s="2" t="s">
        <v>37</v>
      </c>
      <c r="B393" s="8" t="s">
        <v>38</v>
      </c>
      <c r="C393" s="2">
        <v>1</v>
      </c>
      <c r="D393" s="3">
        <v>496312.33844584553</v>
      </c>
      <c r="E393" s="3">
        <v>6058.6276942799996</v>
      </c>
      <c r="F393" s="4">
        <v>1.149126975828702E-3</v>
      </c>
      <c r="G393" s="4">
        <v>4.3326889923906344E-3</v>
      </c>
    </row>
    <row r="394" spans="1:7" x14ac:dyDescent="0.25">
      <c r="A394" s="5" t="s">
        <v>37</v>
      </c>
      <c r="B394" s="9" t="s">
        <v>38</v>
      </c>
      <c r="C394" s="5">
        <v>3</v>
      </c>
      <c r="D394" s="3">
        <v>481190.63450056087</v>
      </c>
      <c r="E394" s="3">
        <v>5659.2905294400007</v>
      </c>
      <c r="F394" s="4">
        <v>2.7642536319032169E-4</v>
      </c>
      <c r="G394" s="4">
        <v>2.609783923120391E-3</v>
      </c>
    </row>
    <row r="395" spans="1:7" x14ac:dyDescent="0.25">
      <c r="A395" s="2" t="s">
        <v>37</v>
      </c>
      <c r="B395" s="8" t="s">
        <v>38</v>
      </c>
      <c r="C395" s="2">
        <v>2</v>
      </c>
      <c r="D395" s="3">
        <v>463554.2380744408</v>
      </c>
      <c r="E395" s="3">
        <v>6405.1162323599992</v>
      </c>
      <c r="F395" s="4">
        <v>1.36542870460566E-3</v>
      </c>
      <c r="G395" s="4">
        <v>1.06191448730258E-3</v>
      </c>
    </row>
    <row r="396" spans="1:7" x14ac:dyDescent="0.25">
      <c r="A396" s="2" t="s">
        <v>37</v>
      </c>
      <c r="B396" s="8" t="s">
        <v>38</v>
      </c>
      <c r="C396" s="2">
        <v>4</v>
      </c>
      <c r="D396" s="3">
        <v>463215.01884109463</v>
      </c>
      <c r="E396" s="3">
        <v>6600.4823040000001</v>
      </c>
      <c r="F396" s="4">
        <v>1.0184783005820781E-3</v>
      </c>
      <c r="G396" s="4">
        <v>1.1952508372333631E-3</v>
      </c>
    </row>
    <row r="398" spans="1:7" x14ac:dyDescent="0.25">
      <c r="B398" s="7" t="s">
        <v>40</v>
      </c>
      <c r="D398" s="3">
        <f>AVERAGE(D393:D394)</f>
        <v>488751.48647320317</v>
      </c>
      <c r="E398" s="3">
        <f t="shared" ref="E398:G398" si="80">AVERAGE(E393:E394)</f>
        <v>5858.9591118600001</v>
      </c>
      <c r="F398" s="4">
        <f t="shared" si="80"/>
        <v>7.1277616950951182E-4</v>
      </c>
      <c r="G398" s="4">
        <f t="shared" si="80"/>
        <v>3.4712364577555127E-3</v>
      </c>
    </row>
    <row r="399" spans="1:7" x14ac:dyDescent="0.25">
      <c r="B399" s="7" t="s">
        <v>41</v>
      </c>
      <c r="D399" s="3">
        <f>AVERAGE(D395:D396)</f>
        <v>463384.62845776771</v>
      </c>
      <c r="E399" s="3">
        <f t="shared" ref="E399:G399" si="81">AVERAGE(E395:E396)</f>
        <v>6502.7992681799997</v>
      </c>
      <c r="F399" s="4">
        <f t="shared" si="81"/>
        <v>1.191953502593869E-3</v>
      </c>
      <c r="G399" s="4">
        <f t="shared" si="81"/>
        <v>1.1285826622679715E-3</v>
      </c>
    </row>
    <row r="401" spans="3:7" x14ac:dyDescent="0.25">
      <c r="C401" s="7" t="s">
        <v>42</v>
      </c>
      <c r="D401" s="3">
        <f>D398/D399</f>
        <v>1.0547425539337831</v>
      </c>
      <c r="E401" s="3">
        <f t="shared" ref="E401:G401" si="82">E398/E399</f>
        <v>0.9009903074402914</v>
      </c>
      <c r="F401" s="3">
        <f t="shared" si="82"/>
        <v>0.59798991148430225</v>
      </c>
      <c r="G401" s="3">
        <f t="shared" si="82"/>
        <v>3.0757485240645135</v>
      </c>
    </row>
    <row r="403" spans="3:7" x14ac:dyDescent="0.25">
      <c r="C403" s="2">
        <f>MAX(C393:C396)</f>
        <v>4</v>
      </c>
      <c r="D403" s="2">
        <f t="shared" ref="D403:G403" si="83">MAX(D393:D396)</f>
        <v>496312.33844584553</v>
      </c>
      <c r="E403" s="2">
        <f t="shared" si="83"/>
        <v>6600.4823040000001</v>
      </c>
      <c r="F403" s="2">
        <f t="shared" si="83"/>
        <v>1.36542870460566E-3</v>
      </c>
      <c r="G403" s="2">
        <f t="shared" si="83"/>
        <v>4.3326889923906344E-3</v>
      </c>
    </row>
    <row r="404" spans="3:7" x14ac:dyDescent="0.25">
      <c r="C404" s="10" t="s">
        <v>43</v>
      </c>
      <c r="D404" s="10" t="s">
        <v>3</v>
      </c>
      <c r="E404" s="1" t="s">
        <v>4</v>
      </c>
      <c r="F404" s="1" t="s">
        <v>5</v>
      </c>
      <c r="G404" s="1" t="s">
        <v>6</v>
      </c>
    </row>
    <row r="405" spans="3:7" x14ac:dyDescent="0.25">
      <c r="C405" s="2">
        <f>C393/C$403</f>
        <v>0.25</v>
      </c>
      <c r="D405" s="2">
        <f t="shared" ref="D405:G405" si="84">D393/D$403</f>
        <v>1</v>
      </c>
      <c r="E405" s="2">
        <f t="shared" si="84"/>
        <v>0.91790681578047295</v>
      </c>
      <c r="F405" s="2">
        <f t="shared" si="84"/>
        <v>0.84158694771293341</v>
      </c>
      <c r="G405" s="2">
        <f t="shared" si="84"/>
        <v>1</v>
      </c>
    </row>
    <row r="406" spans="3:7" x14ac:dyDescent="0.25">
      <c r="C406" s="2">
        <f t="shared" ref="C406:G408" si="85">C394/C$403</f>
        <v>0.75</v>
      </c>
      <c r="D406" s="2">
        <f t="shared" si="85"/>
        <v>0.96953187987903577</v>
      </c>
      <c r="E406" s="2">
        <f t="shared" si="85"/>
        <v>0.85740560595251925</v>
      </c>
      <c r="F406" s="2">
        <f t="shared" si="85"/>
        <v>0.20244584155725229</v>
      </c>
      <c r="G406" s="2">
        <f t="shared" si="85"/>
        <v>0.60234739389415504</v>
      </c>
    </row>
    <row r="407" spans="3:7" x14ac:dyDescent="0.25">
      <c r="C407" s="2">
        <f t="shared" si="85"/>
        <v>0.5</v>
      </c>
      <c r="D407" s="2">
        <f t="shared" si="85"/>
        <v>0.93399700584921264</v>
      </c>
      <c r="E407" s="2">
        <f t="shared" si="85"/>
        <v>0.97040124302407327</v>
      </c>
      <c r="F407" s="2">
        <f t="shared" si="85"/>
        <v>1</v>
      </c>
      <c r="G407" s="2">
        <f t="shared" si="85"/>
        <v>0.24509363334584758</v>
      </c>
    </row>
    <row r="408" spans="3:7" x14ac:dyDescent="0.25">
      <c r="C408" s="2">
        <f t="shared" si="85"/>
        <v>1</v>
      </c>
      <c r="D408" s="2">
        <f t="shared" si="85"/>
        <v>0.93331352650149302</v>
      </c>
      <c r="E408" s="2">
        <f t="shared" si="85"/>
        <v>1</v>
      </c>
      <c r="F408" s="2">
        <f t="shared" si="85"/>
        <v>0.7459036836904771</v>
      </c>
      <c r="G408" s="2">
        <f t="shared" si="85"/>
        <v>0.27586813623884487</v>
      </c>
    </row>
    <row r="410" spans="3:7" x14ac:dyDescent="0.25">
      <c r="C410" s="10" t="s">
        <v>3</v>
      </c>
      <c r="D410" s="10" t="s">
        <v>43</v>
      </c>
      <c r="E410" s="10" t="s">
        <v>4</v>
      </c>
      <c r="F410" s="10" t="s">
        <v>5</v>
      </c>
      <c r="G410" s="10" t="s">
        <v>6</v>
      </c>
    </row>
    <row r="411" spans="3:7" x14ac:dyDescent="0.25">
      <c r="C411" s="3">
        <v>0.93331352650149302</v>
      </c>
      <c r="D411" s="2">
        <v>1</v>
      </c>
      <c r="E411" s="2">
        <v>1</v>
      </c>
      <c r="F411" s="2">
        <v>0.7459036836904771</v>
      </c>
      <c r="G411" s="2">
        <v>0.27586813623884487</v>
      </c>
    </row>
    <row r="412" spans="3:7" x14ac:dyDescent="0.25">
      <c r="C412" s="3">
        <v>0.93399700584921264</v>
      </c>
      <c r="D412" s="2">
        <v>0.5</v>
      </c>
      <c r="E412" s="2">
        <v>0.97040124302407327</v>
      </c>
      <c r="F412" s="2">
        <v>1</v>
      </c>
      <c r="G412" s="2">
        <v>0.24509363334584758</v>
      </c>
    </row>
    <row r="413" spans="3:7" x14ac:dyDescent="0.25">
      <c r="C413" s="3">
        <v>0.96953187987903577</v>
      </c>
      <c r="D413" s="2">
        <v>0.75</v>
      </c>
      <c r="E413" s="2">
        <v>0.85740560595251925</v>
      </c>
      <c r="F413" s="2">
        <v>0.20244584155725229</v>
      </c>
      <c r="G413" s="2">
        <v>0.60234739389415504</v>
      </c>
    </row>
    <row r="414" spans="3:7" x14ac:dyDescent="0.25">
      <c r="C414" s="3">
        <v>1</v>
      </c>
      <c r="D414" s="2">
        <v>0.25</v>
      </c>
      <c r="E414" s="2">
        <v>0.91790681578047295</v>
      </c>
      <c r="F414" s="2">
        <v>0.84158694771293341</v>
      </c>
      <c r="G414" s="2">
        <v>1</v>
      </c>
    </row>
    <row r="415" spans="3:7" x14ac:dyDescent="0.25">
      <c r="C415" s="2"/>
      <c r="D415" s="2"/>
      <c r="E415" s="2"/>
      <c r="F415" s="2"/>
      <c r="G415" s="2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9:D172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9:E172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9:F172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9:G172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4:D175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4:E175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4:F175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4:G175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4:D197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4:E197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4:F197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4:G197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9:D200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9:E200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9:F20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9:G200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9:D222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9:E222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9:F222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9:G222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4:D225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4:E22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4:F22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4:G22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4:D24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4:E247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4:F24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4:G247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D25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9:E25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25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25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2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4:D275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4:E275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4:F275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4:G275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6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6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6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6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8:D299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8:E299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8:F299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8:G299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8:D321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8:E321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8:F321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8:G321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3:D3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23:E3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23:F3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23:G3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3:D34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3:E34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3:F34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3:G34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8:D3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8:E349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8:F34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8:G349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8:D371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8:E371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8:F37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8:G37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3:D37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3:E374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3:F37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3:G37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3:D39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3:E39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3:F39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3:G39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98:D39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98:E39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98:F39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98:G39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1"/>
  <sheetViews>
    <sheetView tabSelected="1" topLeftCell="A87" zoomScale="70" zoomScaleNormal="70" workbookViewId="0">
      <selection activeCell="L123" sqref="K123:L123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23</v>
      </c>
      <c r="B2" s="8" t="s">
        <v>24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13</v>
      </c>
      <c r="B3" s="8" t="s">
        <v>14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23</v>
      </c>
      <c r="B4" s="8" t="s">
        <v>24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13</v>
      </c>
      <c r="B5" s="8" t="s">
        <v>14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23</v>
      </c>
      <c r="B6" s="8" t="s">
        <v>24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23</v>
      </c>
      <c r="B7" s="8" t="s">
        <v>24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13</v>
      </c>
      <c r="B8" s="8" t="s">
        <v>14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15</v>
      </c>
      <c r="B9" s="8" t="s">
        <v>16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13</v>
      </c>
      <c r="B10" s="8" t="s">
        <v>14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15</v>
      </c>
      <c r="B11" s="8" t="s">
        <v>16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15</v>
      </c>
      <c r="B12" s="8" t="s">
        <v>16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15</v>
      </c>
      <c r="B13" s="8" t="s">
        <v>16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25</v>
      </c>
      <c r="B14" s="8" t="s">
        <v>26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25</v>
      </c>
      <c r="B15" s="8" t="s">
        <v>26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25</v>
      </c>
      <c r="B16" s="8" t="s">
        <v>26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25</v>
      </c>
      <c r="B17" s="8" t="s">
        <v>26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27</v>
      </c>
      <c r="B18" s="8" t="s">
        <v>28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27</v>
      </c>
      <c r="B19" s="8" t="s">
        <v>28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35</v>
      </c>
      <c r="B20" s="8" t="s">
        <v>36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31</v>
      </c>
      <c r="B21" s="8" t="s">
        <v>32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35</v>
      </c>
      <c r="B22" s="8" t="s">
        <v>36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21</v>
      </c>
      <c r="B23" s="8" t="s">
        <v>22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21</v>
      </c>
      <c r="B24" s="8" t="s">
        <v>22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21</v>
      </c>
      <c r="B25" s="8" t="s">
        <v>22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35</v>
      </c>
      <c r="B26" s="8" t="s">
        <v>36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21</v>
      </c>
      <c r="B27" s="8" t="s">
        <v>22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35</v>
      </c>
      <c r="B28" s="8" t="s">
        <v>36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27</v>
      </c>
      <c r="B29" s="8" t="s">
        <v>28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37</v>
      </c>
      <c r="B30" s="8" t="s">
        <v>38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27</v>
      </c>
      <c r="B31" s="8" t="s">
        <v>28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5" t="s">
        <v>37</v>
      </c>
      <c r="B32" s="9" t="s">
        <v>38</v>
      </c>
      <c r="C32" s="5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33</v>
      </c>
      <c r="B33" s="8" t="s">
        <v>34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37</v>
      </c>
      <c r="B34" s="8" t="s">
        <v>38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31</v>
      </c>
      <c r="B35" s="8" t="s">
        <v>32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37</v>
      </c>
      <c r="B36" s="8" t="s">
        <v>38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31</v>
      </c>
      <c r="B37" s="8" t="s">
        <v>32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33</v>
      </c>
      <c r="B38" s="8" t="s">
        <v>34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31</v>
      </c>
      <c r="B39" s="8" t="s">
        <v>32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17</v>
      </c>
      <c r="B40" s="8" t="s">
        <v>18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33</v>
      </c>
      <c r="B41" s="8" t="s">
        <v>34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29</v>
      </c>
      <c r="B42" s="8" t="s">
        <v>30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7</v>
      </c>
      <c r="B43" s="8" t="s">
        <v>8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17</v>
      </c>
      <c r="B44" s="8" t="s">
        <v>18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19</v>
      </c>
      <c r="B45" s="8" t="s">
        <v>20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19</v>
      </c>
      <c r="B46" s="8" t="s">
        <v>20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19</v>
      </c>
      <c r="B47" s="8" t="s">
        <v>20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9</v>
      </c>
      <c r="B48" s="8" t="s">
        <v>10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17</v>
      </c>
      <c r="B49" s="8" t="s">
        <v>18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17</v>
      </c>
      <c r="B50" s="8" t="s">
        <v>18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33</v>
      </c>
      <c r="B51" s="8" t="s">
        <v>34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19</v>
      </c>
      <c r="B52" s="8" t="s">
        <v>20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29</v>
      </c>
      <c r="B53" s="8" t="s">
        <v>30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9</v>
      </c>
      <c r="B54" s="8" t="s">
        <v>10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7</v>
      </c>
      <c r="B55" s="8" t="s">
        <v>8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29</v>
      </c>
      <c r="B56" s="8" t="s">
        <v>30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29</v>
      </c>
      <c r="B57" s="8" t="s">
        <v>30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7</v>
      </c>
      <c r="B58" s="8" t="s">
        <v>8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7</v>
      </c>
      <c r="B59" s="8" t="s">
        <v>8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11</v>
      </c>
      <c r="B60" s="8" t="s">
        <v>12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11</v>
      </c>
      <c r="B61" s="8" t="s">
        <v>12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11</v>
      </c>
      <c r="B62" s="8" t="s">
        <v>12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6" t="s">
        <v>39</v>
      </c>
      <c r="D64" s="3">
        <f>MEDIAN(D2:D62)</f>
        <v>481190.63450056087</v>
      </c>
    </row>
    <row r="65" spans="1:7" x14ac:dyDescent="0.25">
      <c r="B65" s="7"/>
    </row>
    <row r="66" spans="1:7" x14ac:dyDescent="0.25">
      <c r="B66" s="7" t="s">
        <v>40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1:7" x14ac:dyDescent="0.25">
      <c r="B67" s="7" t="s">
        <v>41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1:7" x14ac:dyDescent="0.25">
      <c r="C69" s="7" t="s">
        <v>42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  <row r="71" spans="1:7" x14ac:dyDescent="0.25">
      <c r="A71" s="1" t="s">
        <v>0</v>
      </c>
      <c r="B71" s="1" t="s">
        <v>1</v>
      </c>
      <c r="C71" s="1" t="s">
        <v>2</v>
      </c>
      <c r="D71" s="1" t="s">
        <v>3</v>
      </c>
      <c r="E71" s="1" t="s">
        <v>4</v>
      </c>
      <c r="F71" s="1" t="s">
        <v>5</v>
      </c>
      <c r="G71" s="1" t="s">
        <v>6</v>
      </c>
    </row>
    <row r="72" spans="1:7" x14ac:dyDescent="0.25">
      <c r="A72" s="2" t="s">
        <v>7</v>
      </c>
      <c r="B72" s="8" t="s">
        <v>8</v>
      </c>
      <c r="C72" s="2">
        <v>1</v>
      </c>
      <c r="D72" s="3">
        <v>332033.64455055603</v>
      </c>
      <c r="E72" s="3">
        <v>1720.9347523199999</v>
      </c>
      <c r="F72" s="4">
        <v>5.4438237053266124E-4</v>
      </c>
      <c r="G72" s="4">
        <v>1.095196036606934E-3</v>
      </c>
    </row>
    <row r="73" spans="1:7" x14ac:dyDescent="0.25">
      <c r="A73" s="2" t="s">
        <v>7</v>
      </c>
      <c r="B73" s="8" t="s">
        <v>8</v>
      </c>
      <c r="C73" s="2">
        <v>2</v>
      </c>
      <c r="D73" s="3">
        <v>262055.5197426404</v>
      </c>
      <c r="E73" s="3">
        <v>1735.1564722600001</v>
      </c>
      <c r="F73" s="4">
        <v>3.0591654094954831E-3</v>
      </c>
      <c r="G73" s="4">
        <v>7.4264450532327117E-4</v>
      </c>
    </row>
    <row r="74" spans="1:7" x14ac:dyDescent="0.25">
      <c r="A74" s="2" t="s">
        <v>7</v>
      </c>
      <c r="B74" s="8" t="s">
        <v>8</v>
      </c>
      <c r="C74" s="2">
        <v>4</v>
      </c>
      <c r="D74" s="3">
        <v>208604.95707132079</v>
      </c>
      <c r="E74" s="3">
        <v>1402.2910079999999</v>
      </c>
      <c r="F74" s="4">
        <v>2.940331198358508E-3</v>
      </c>
      <c r="G74" s="4">
        <v>9.1745863922704425E-4</v>
      </c>
    </row>
    <row r="75" spans="1:7" x14ac:dyDescent="0.25">
      <c r="A75" s="2" t="s">
        <v>7</v>
      </c>
      <c r="B75" s="8" t="s">
        <v>8</v>
      </c>
      <c r="C75" s="2">
        <v>3</v>
      </c>
      <c r="D75" s="3">
        <v>201018.8383422663</v>
      </c>
      <c r="E75" s="3">
        <v>1914.6587492000001</v>
      </c>
      <c r="F75" s="4">
        <v>2.4675821537253392E-3</v>
      </c>
      <c r="G75" s="4">
        <v>4.9806477545852595E-4</v>
      </c>
    </row>
    <row r="77" spans="1:7" x14ac:dyDescent="0.25">
      <c r="B77" s="7" t="s">
        <v>40</v>
      </c>
      <c r="D77" s="3">
        <f>AVERAGE(D72:D73)</f>
        <v>297044.5821465982</v>
      </c>
      <c r="E77" s="3">
        <f t="shared" ref="E77:G77" si="3">AVERAGE(E72:E73)</f>
        <v>1728.04561229</v>
      </c>
      <c r="F77" s="4">
        <f t="shared" si="3"/>
        <v>1.8017738900140722E-3</v>
      </c>
      <c r="G77" s="4">
        <f t="shared" si="3"/>
        <v>9.1892027096510251E-4</v>
      </c>
    </row>
    <row r="78" spans="1:7" x14ac:dyDescent="0.25">
      <c r="B78" s="7" t="s">
        <v>41</v>
      </c>
      <c r="D78" s="3">
        <f>AVERAGE(D74:D75)</f>
        <v>204811.89770679356</v>
      </c>
      <c r="E78" s="3">
        <f t="shared" ref="E78:G78" si="4">AVERAGE(E74:E75)</f>
        <v>1658.4748786</v>
      </c>
      <c r="F78" s="4">
        <f t="shared" si="4"/>
        <v>2.7039566760419234E-3</v>
      </c>
      <c r="G78" s="4">
        <f t="shared" si="4"/>
        <v>7.0776170734278515E-4</v>
      </c>
    </row>
    <row r="80" spans="1:7" x14ac:dyDescent="0.25">
      <c r="C80" s="7" t="s">
        <v>42</v>
      </c>
      <c r="D80" s="3">
        <f>D77/D78</f>
        <v>1.4503287429709963</v>
      </c>
      <c r="E80" s="3">
        <f t="shared" ref="E80:G80" si="5">E77/E78</f>
        <v>1.0419486207404769</v>
      </c>
      <c r="F80" s="3">
        <f t="shared" si="5"/>
        <v>0.6663471741165341</v>
      </c>
      <c r="G80" s="3">
        <f t="shared" si="5"/>
        <v>1.2983469738919464</v>
      </c>
    </row>
    <row r="82" spans="1:7" x14ac:dyDescent="0.25">
      <c r="C82" s="2">
        <f>MAX(C72:C75)</f>
        <v>4</v>
      </c>
      <c r="D82" s="2">
        <f t="shared" ref="D82:G82" si="6">MAX(D72:D75)</f>
        <v>332033.64455055603</v>
      </c>
      <c r="E82" s="2">
        <f t="shared" si="6"/>
        <v>1914.6587492000001</v>
      </c>
      <c r="F82" s="2">
        <f t="shared" si="6"/>
        <v>3.0591654094954831E-3</v>
      </c>
      <c r="G82" s="2">
        <f t="shared" si="6"/>
        <v>1.095196036606934E-3</v>
      </c>
    </row>
    <row r="83" spans="1:7" x14ac:dyDescent="0.25">
      <c r="C83" s="10" t="s">
        <v>43</v>
      </c>
      <c r="D83" s="10" t="s">
        <v>3</v>
      </c>
      <c r="E83" s="1" t="s">
        <v>4</v>
      </c>
      <c r="F83" s="1" t="s">
        <v>5</v>
      </c>
      <c r="G83" s="1" t="s">
        <v>6</v>
      </c>
    </row>
    <row r="84" spans="1:7" x14ac:dyDescent="0.25">
      <c r="C84" s="2">
        <f>C72/C$82</f>
        <v>0.25</v>
      </c>
      <c r="D84" s="2">
        <f>D72/D$82</f>
        <v>1</v>
      </c>
      <c r="E84" s="2">
        <f t="shared" ref="E84:G84" si="7">E72/E$82</f>
        <v>0.89882061387652312</v>
      </c>
      <c r="F84" s="2">
        <f t="shared" si="7"/>
        <v>0.17795127025264079</v>
      </c>
      <c r="G84" s="2">
        <f t="shared" si="7"/>
        <v>1</v>
      </c>
    </row>
    <row r="85" spans="1:7" x14ac:dyDescent="0.25">
      <c r="C85" s="2">
        <f t="shared" ref="C85:G87" si="8">C73/C$82</f>
        <v>0.5</v>
      </c>
      <c r="D85" s="2">
        <f t="shared" si="8"/>
        <v>0.78924387345553881</v>
      </c>
      <c r="E85" s="2">
        <f t="shared" si="8"/>
        <v>0.90624842311195075</v>
      </c>
      <c r="F85" s="2">
        <f t="shared" si="8"/>
        <v>1</v>
      </c>
      <c r="G85" s="2">
        <f t="shared" si="8"/>
        <v>0.67809276193519175</v>
      </c>
    </row>
    <row r="86" spans="1:7" x14ac:dyDescent="0.25">
      <c r="C86" s="2">
        <f t="shared" si="8"/>
        <v>1</v>
      </c>
      <c r="D86" s="2">
        <f t="shared" si="8"/>
        <v>0.62826451624711255</v>
      </c>
      <c r="E86" s="2">
        <f t="shared" si="8"/>
        <v>0.7323973572762863</v>
      </c>
      <c r="F86" s="2">
        <f t="shared" si="8"/>
        <v>0.9611546957323327</v>
      </c>
      <c r="G86" s="2">
        <f t="shared" si="8"/>
        <v>0.83771179639168136</v>
      </c>
    </row>
    <row r="87" spans="1:7" x14ac:dyDescent="0.25">
      <c r="C87" s="2">
        <f t="shared" si="8"/>
        <v>0.75</v>
      </c>
      <c r="D87" s="2">
        <f t="shared" si="8"/>
        <v>0.60541707637600206</v>
      </c>
      <c r="E87" s="2">
        <f t="shared" si="8"/>
        <v>1</v>
      </c>
      <c r="F87" s="2">
        <f t="shared" si="8"/>
        <v>0.80661939562538798</v>
      </c>
      <c r="G87" s="2">
        <f t="shared" si="8"/>
        <v>0.45477225885659545</v>
      </c>
    </row>
    <row r="89" spans="1:7" x14ac:dyDescent="0.25">
      <c r="C89" s="10" t="s">
        <v>3</v>
      </c>
      <c r="D89" s="10" t="s">
        <v>43</v>
      </c>
      <c r="E89" s="10" t="s">
        <v>4</v>
      </c>
      <c r="F89" s="10" t="s">
        <v>5</v>
      </c>
      <c r="G89" s="10" t="s">
        <v>6</v>
      </c>
    </row>
    <row r="90" spans="1:7" x14ac:dyDescent="0.25">
      <c r="C90" s="3">
        <v>0.60541707637600206</v>
      </c>
      <c r="D90" s="2">
        <v>0.75</v>
      </c>
      <c r="E90" s="2">
        <v>1</v>
      </c>
      <c r="F90" s="2">
        <v>0.80661939562538798</v>
      </c>
      <c r="G90" s="2">
        <v>0.45477225885659545</v>
      </c>
    </row>
    <row r="91" spans="1:7" x14ac:dyDescent="0.25">
      <c r="C91" s="3">
        <v>0.62826451624711255</v>
      </c>
      <c r="D91" s="2">
        <v>1</v>
      </c>
      <c r="E91" s="2">
        <v>0.7323973572762863</v>
      </c>
      <c r="F91" s="2">
        <v>0.9611546957323327</v>
      </c>
      <c r="G91" s="2">
        <v>0.83771179639168136</v>
      </c>
    </row>
    <row r="92" spans="1:7" x14ac:dyDescent="0.25">
      <c r="C92" s="3">
        <v>0.78924387345553881</v>
      </c>
      <c r="D92" s="2">
        <v>0.5</v>
      </c>
      <c r="E92" s="2">
        <v>0.90624842311195075</v>
      </c>
      <c r="F92" s="2">
        <v>1</v>
      </c>
      <c r="G92" s="2">
        <v>0.67809276193519175</v>
      </c>
    </row>
    <row r="93" spans="1:7" x14ac:dyDescent="0.25">
      <c r="C93" s="3">
        <v>1</v>
      </c>
      <c r="D93" s="2">
        <v>0.25</v>
      </c>
      <c r="E93" s="2">
        <v>0.89882061387652312</v>
      </c>
      <c r="F93" s="2">
        <v>0.17795127025264079</v>
      </c>
      <c r="G93" s="2">
        <v>1</v>
      </c>
    </row>
    <row r="95" spans="1:7" x14ac:dyDescent="0.25">
      <c r="A95" s="1" t="s">
        <v>0</v>
      </c>
      <c r="B95" s="1" t="s">
        <v>1</v>
      </c>
      <c r="C95" s="1" t="s">
        <v>2</v>
      </c>
      <c r="D95" s="1" t="s">
        <v>3</v>
      </c>
      <c r="E95" s="1" t="s">
        <v>4</v>
      </c>
      <c r="F95" s="1" t="s">
        <v>5</v>
      </c>
      <c r="G95" s="1" t="s">
        <v>6</v>
      </c>
    </row>
    <row r="96" spans="1:7" x14ac:dyDescent="0.25">
      <c r="A96" s="2" t="s">
        <v>13</v>
      </c>
      <c r="B96" s="8" t="s">
        <v>14</v>
      </c>
      <c r="C96" s="2">
        <v>2</v>
      </c>
      <c r="D96" s="3">
        <v>2237559.59010129</v>
      </c>
      <c r="E96" s="3">
        <v>28962.7912646</v>
      </c>
      <c r="F96" s="4">
        <v>0.18094518011478611</v>
      </c>
      <c r="G96" s="4">
        <v>2.339677504868966E-4</v>
      </c>
    </row>
    <row r="97" spans="1:12" x14ac:dyDescent="0.25">
      <c r="A97" s="2" t="s">
        <v>13</v>
      </c>
      <c r="B97" s="8" t="s">
        <v>14</v>
      </c>
      <c r="C97" s="2">
        <v>1</v>
      </c>
      <c r="D97" s="3">
        <v>2136662.9096641121</v>
      </c>
      <c r="E97" s="3">
        <v>34419.6404244</v>
      </c>
      <c r="F97" s="4">
        <v>1.2450489874850871E-3</v>
      </c>
      <c r="G97" s="4">
        <v>2.6914455891389468E-4</v>
      </c>
    </row>
    <row r="98" spans="1:12" x14ac:dyDescent="0.25">
      <c r="A98" s="2" t="s">
        <v>13</v>
      </c>
      <c r="B98" s="8" t="s">
        <v>14</v>
      </c>
      <c r="C98" s="2">
        <v>3</v>
      </c>
      <c r="D98" s="3">
        <v>1963532.5336935241</v>
      </c>
      <c r="E98" s="3">
        <v>38266.632667600003</v>
      </c>
      <c r="F98" s="4">
        <v>0.1254843771395045</v>
      </c>
      <c r="G98" s="4">
        <v>3.2594779133939081E-4</v>
      </c>
    </row>
    <row r="99" spans="1:12" x14ac:dyDescent="0.25">
      <c r="A99" s="2" t="s">
        <v>13</v>
      </c>
      <c r="B99" s="8" t="s">
        <v>14</v>
      </c>
      <c r="C99" s="2">
        <v>4</v>
      </c>
      <c r="D99" s="3">
        <v>1438073.2884498299</v>
      </c>
      <c r="E99" s="3">
        <v>33002.728752000003</v>
      </c>
      <c r="F99" s="4">
        <v>1.2530342781881009E-2</v>
      </c>
      <c r="G99" s="4">
        <v>4.7058508757579111E-4</v>
      </c>
    </row>
    <row r="101" spans="1:12" x14ac:dyDescent="0.25">
      <c r="B101" s="7" t="s">
        <v>40</v>
      </c>
      <c r="D101" s="3">
        <f>AVERAGE(D96:D97)</f>
        <v>2187111.2498827009</v>
      </c>
      <c r="E101" s="3">
        <f t="shared" ref="E101:G101" si="9">AVERAGE(E96:E97)</f>
        <v>31691.215844500002</v>
      </c>
      <c r="F101" s="4">
        <f t="shared" si="9"/>
        <v>9.10951145511356E-2</v>
      </c>
      <c r="G101" s="4">
        <f t="shared" si="9"/>
        <v>2.5155615470039562E-4</v>
      </c>
    </row>
    <row r="102" spans="1:12" x14ac:dyDescent="0.25">
      <c r="B102" s="7" t="s">
        <v>41</v>
      </c>
      <c r="D102" s="3">
        <f>AVERAGE(D98:D99)</f>
        <v>1700802.911071677</v>
      </c>
      <c r="E102" s="3">
        <f t="shared" ref="E102:G102" si="10">AVERAGE(E98:E99)</f>
        <v>35634.680709799999</v>
      </c>
      <c r="F102" s="4">
        <f t="shared" si="10"/>
        <v>6.9007359960692752E-2</v>
      </c>
      <c r="G102" s="4">
        <f t="shared" si="10"/>
        <v>3.9826643945759096E-4</v>
      </c>
    </row>
    <row r="104" spans="1:12" x14ac:dyDescent="0.25">
      <c r="C104" s="7" t="s">
        <v>42</v>
      </c>
      <c r="D104" s="3">
        <f>D101/D102</f>
        <v>1.2859286844144691</v>
      </c>
      <c r="E104" s="3">
        <f t="shared" ref="E104:G104" si="11">E101/E102</f>
        <v>0.88933632105715787</v>
      </c>
      <c r="F104" s="3">
        <f t="shared" si="11"/>
        <v>1.3200782438717298</v>
      </c>
      <c r="G104" s="3">
        <f t="shared" si="11"/>
        <v>0.63162779932699387</v>
      </c>
    </row>
    <row r="106" spans="1:12" x14ac:dyDescent="0.25">
      <c r="C106" s="2">
        <f>MAX(C96:C99)</f>
        <v>4</v>
      </c>
      <c r="D106" s="2">
        <f t="shared" ref="D106:G106" si="12">MAX(D96:D99)</f>
        <v>2237559.59010129</v>
      </c>
      <c r="E106" s="2">
        <f t="shared" si="12"/>
        <v>38266.632667600003</v>
      </c>
      <c r="F106" s="2">
        <f t="shared" si="12"/>
        <v>0.18094518011478611</v>
      </c>
      <c r="G106" s="2">
        <f t="shared" si="12"/>
        <v>4.7058508757579111E-4</v>
      </c>
    </row>
    <row r="107" spans="1:12" x14ac:dyDescent="0.25">
      <c r="C107" s="10" t="s">
        <v>43</v>
      </c>
      <c r="D107" s="10" t="s">
        <v>3</v>
      </c>
      <c r="E107" s="1" t="s">
        <v>4</v>
      </c>
      <c r="F107" s="1" t="s">
        <v>5</v>
      </c>
      <c r="G107" s="1" t="s">
        <v>6</v>
      </c>
      <c r="J107" s="2"/>
      <c r="K107" s="10" t="s">
        <v>44</v>
      </c>
      <c r="L107" s="10" t="s">
        <v>45</v>
      </c>
    </row>
    <row r="108" spans="1:12" x14ac:dyDescent="0.25">
      <c r="C108" s="2">
        <v>2022</v>
      </c>
      <c r="D108" s="2">
        <f>D96/D$106</f>
        <v>1</v>
      </c>
      <c r="E108" s="2">
        <f t="shared" ref="E108:G108" si="13">E96/E$106</f>
        <v>0.75686804000192376</v>
      </c>
      <c r="F108" s="2">
        <f t="shared" si="13"/>
        <v>1</v>
      </c>
      <c r="G108" s="2">
        <f t="shared" si="13"/>
        <v>0.49718479540475113</v>
      </c>
      <c r="J108" s="10">
        <v>16</v>
      </c>
      <c r="K108" s="3">
        <f>0.5*(D93*E93+E93*F93+F93*G93+G93*D93)</f>
        <v>0.4063013468451786</v>
      </c>
      <c r="L108" s="3">
        <f>0.5*(D90*E90+E90*F90+F90*G90+G90*D90)</f>
        <v>1.1322633571769671</v>
      </c>
    </row>
    <row r="109" spans="1:12" x14ac:dyDescent="0.25">
      <c r="C109" s="2">
        <v>2021</v>
      </c>
      <c r="D109" s="2">
        <f t="shared" ref="D109:G111" si="14">D97/D$106</f>
        <v>0.95490771245443773</v>
      </c>
      <c r="E109" s="2">
        <f t="shared" si="14"/>
        <v>0.89946875449908048</v>
      </c>
      <c r="F109" s="2">
        <f t="shared" si="14"/>
        <v>6.8808076937736939E-3</v>
      </c>
      <c r="G109" s="2">
        <f t="shared" si="14"/>
        <v>0.57193601331565147</v>
      </c>
      <c r="J109" s="10">
        <v>19</v>
      </c>
      <c r="K109" s="3">
        <v>0.94053962655500623</v>
      </c>
      <c r="L109" s="3">
        <v>0.99570716952284077</v>
      </c>
    </row>
    <row r="110" spans="1:12" x14ac:dyDescent="0.25">
      <c r="C110" s="2">
        <v>2023</v>
      </c>
      <c r="D110" s="2">
        <f t="shared" si="14"/>
        <v>0.87753306878617643</v>
      </c>
      <c r="E110" s="2">
        <f t="shared" si="14"/>
        <v>1</v>
      </c>
      <c r="F110" s="2">
        <f t="shared" si="14"/>
        <v>0.69349389168532172</v>
      </c>
      <c r="G110" s="2">
        <f t="shared" si="14"/>
        <v>0.69264368962158107</v>
      </c>
      <c r="J110" s="10">
        <v>20</v>
      </c>
      <c r="K110" s="3">
        <v>0.47499470801749727</v>
      </c>
      <c r="L110" s="3">
        <v>0.42263688520000919</v>
      </c>
    </row>
    <row r="111" spans="1:12" x14ac:dyDescent="0.25">
      <c r="C111" s="2">
        <v>2024</v>
      </c>
      <c r="D111" s="2">
        <f t="shared" si="14"/>
        <v>0.6426972022607591</v>
      </c>
      <c r="E111" s="2">
        <f t="shared" si="14"/>
        <v>0.86244141308893119</v>
      </c>
      <c r="F111" s="2">
        <f t="shared" si="14"/>
        <v>6.9249386880226055E-2</v>
      </c>
      <c r="G111" s="2">
        <f t="shared" si="14"/>
        <v>1</v>
      </c>
      <c r="J111" s="10">
        <v>21</v>
      </c>
      <c r="K111" s="3">
        <v>0.60262265902539602</v>
      </c>
      <c r="L111" s="3">
        <v>0.52746402399944881</v>
      </c>
    </row>
    <row r="112" spans="1:12" x14ac:dyDescent="0.25">
      <c r="J112" s="10">
        <v>22</v>
      </c>
      <c r="K112" s="3">
        <v>0.79879962817792993</v>
      </c>
      <c r="L112" s="3">
        <v>0.65129526918017067</v>
      </c>
    </row>
    <row r="113" spans="1:12" x14ac:dyDescent="0.25">
      <c r="C113" s="10" t="s">
        <v>3</v>
      </c>
      <c r="D113" s="10" t="s">
        <v>43</v>
      </c>
      <c r="E113" s="10" t="s">
        <v>4</v>
      </c>
      <c r="F113" s="10" t="s">
        <v>5</v>
      </c>
      <c r="G113" s="10" t="s">
        <v>6</v>
      </c>
      <c r="J113" s="10">
        <v>23</v>
      </c>
      <c r="K113" s="3">
        <v>1.4020652670249751</v>
      </c>
      <c r="L113" s="3">
        <v>1.0995183126440389</v>
      </c>
    </row>
    <row r="114" spans="1:12" x14ac:dyDescent="0.25">
      <c r="C114" s="3">
        <v>0.6426972022607591</v>
      </c>
      <c r="D114" s="2">
        <v>1</v>
      </c>
      <c r="E114" s="2">
        <v>0.86244141308893119</v>
      </c>
      <c r="F114" s="2">
        <v>6.9249386880226055E-2</v>
      </c>
      <c r="G114" s="2">
        <v>1</v>
      </c>
      <c r="J114" s="10">
        <v>24</v>
      </c>
      <c r="K114" s="3">
        <v>0.61212505014159868</v>
      </c>
      <c r="L114" s="3">
        <v>1.0083484287788067</v>
      </c>
    </row>
    <row r="115" spans="1:12" x14ac:dyDescent="0.25">
      <c r="C115" s="3">
        <v>0.87753306878617643</v>
      </c>
      <c r="D115" s="2">
        <v>0.75</v>
      </c>
      <c r="E115" s="2">
        <v>1</v>
      </c>
      <c r="F115" s="2">
        <v>0.69349389168532172</v>
      </c>
      <c r="G115" s="2">
        <v>0.69264368962158107</v>
      </c>
      <c r="J115" s="10">
        <v>25</v>
      </c>
      <c r="K115" s="3">
        <v>1.3033063797642059</v>
      </c>
      <c r="L115" s="3">
        <v>0.17445159599518406</v>
      </c>
    </row>
    <row r="116" spans="1:12" x14ac:dyDescent="0.25">
      <c r="C116" s="3">
        <v>0.95490771245443773</v>
      </c>
      <c r="D116" s="2">
        <v>0.25</v>
      </c>
      <c r="E116" s="2">
        <v>0.89946875449908048</v>
      </c>
      <c r="F116" s="2">
        <v>6.8808076937736939E-3</v>
      </c>
      <c r="G116" s="2">
        <v>0.57193601331565147</v>
      </c>
      <c r="J116" s="10">
        <v>26</v>
      </c>
      <c r="K116" s="3">
        <v>0.40274335862744398</v>
      </c>
      <c r="L116" s="3">
        <v>9.3891127559008247E-2</v>
      </c>
    </row>
    <row r="117" spans="1:12" x14ac:dyDescent="0.25">
      <c r="C117" s="3">
        <v>1</v>
      </c>
      <c r="D117" s="2">
        <v>0.5</v>
      </c>
      <c r="E117" s="2">
        <v>0.75686804000192376</v>
      </c>
      <c r="F117" s="2">
        <v>1</v>
      </c>
      <c r="G117" s="2">
        <v>0.49718479540475113</v>
      </c>
      <c r="J117" s="10">
        <v>27</v>
      </c>
      <c r="K117" s="3">
        <v>0.46437907105783394</v>
      </c>
      <c r="L117" s="3">
        <v>0.18913531858780386</v>
      </c>
    </row>
    <row r="118" spans="1:12" x14ac:dyDescent="0.25">
      <c r="J118" s="10">
        <v>28</v>
      </c>
      <c r="K118" s="3">
        <v>1.0663153616956014</v>
      </c>
      <c r="L118" s="3">
        <v>0.24899552858732954</v>
      </c>
    </row>
    <row r="119" spans="1:12" x14ac:dyDescent="0.25">
      <c r="A119" s="1" t="s">
        <v>0</v>
      </c>
      <c r="B119" s="1" t="s">
        <v>1</v>
      </c>
      <c r="C119" s="1" t="s">
        <v>2</v>
      </c>
      <c r="D119" s="1" t="s">
        <v>3</v>
      </c>
      <c r="E119" s="1" t="s">
        <v>4</v>
      </c>
      <c r="F119" s="1" t="s">
        <v>5</v>
      </c>
      <c r="G119" s="1" t="s">
        <v>6</v>
      </c>
      <c r="J119" s="10">
        <v>29</v>
      </c>
      <c r="K119" s="3">
        <v>0.58245092784424224</v>
      </c>
      <c r="L119" s="3">
        <v>0.53523769373150953</v>
      </c>
    </row>
    <row r="120" spans="1:12" x14ac:dyDescent="0.25">
      <c r="A120" s="2" t="s">
        <v>15</v>
      </c>
      <c r="B120" s="8" t="s">
        <v>16</v>
      </c>
      <c r="C120" s="2">
        <v>2</v>
      </c>
      <c r="D120" s="3">
        <v>1501058.080583167</v>
      </c>
      <c r="E120" s="3">
        <v>10016.90090194</v>
      </c>
      <c r="F120" s="4">
        <v>4.8543989239808157E-3</v>
      </c>
      <c r="G120" s="4">
        <v>2.722411311338672E-3</v>
      </c>
      <c r="J120" s="10">
        <v>30</v>
      </c>
      <c r="K120" s="3">
        <v>1.404116948256124</v>
      </c>
      <c r="L120" s="3">
        <v>0.77941261353384506</v>
      </c>
    </row>
    <row r="121" spans="1:12" x14ac:dyDescent="0.25">
      <c r="A121" s="2" t="s">
        <v>15</v>
      </c>
      <c r="B121" s="8" t="s">
        <v>16</v>
      </c>
      <c r="C121" s="2">
        <v>1</v>
      </c>
      <c r="D121" s="3">
        <v>1291276.529800517</v>
      </c>
      <c r="E121" s="3">
        <v>12420.628572240001</v>
      </c>
      <c r="F121" s="4">
        <v>9.5505969516812179E-3</v>
      </c>
      <c r="G121" s="4">
        <v>7.1947529628030547E-3</v>
      </c>
      <c r="J121" s="10">
        <v>33</v>
      </c>
      <c r="K121" s="3">
        <v>1.046781023517819</v>
      </c>
      <c r="L121" s="3">
        <v>1.1137714394813514</v>
      </c>
    </row>
    <row r="122" spans="1:12" x14ac:dyDescent="0.25">
      <c r="A122" s="2" t="s">
        <v>15</v>
      </c>
      <c r="B122" s="8" t="s">
        <v>16</v>
      </c>
      <c r="C122" s="2">
        <v>4</v>
      </c>
      <c r="D122" s="3">
        <v>1235191.2922385989</v>
      </c>
      <c r="E122" s="3">
        <v>17766.839759999999</v>
      </c>
      <c r="F122" s="4">
        <v>9.3958949512133153E-4</v>
      </c>
      <c r="G122" s="4">
        <v>8.8262764857625984E-4</v>
      </c>
      <c r="J122" s="10"/>
      <c r="K122" s="3"/>
      <c r="L122" s="3"/>
    </row>
    <row r="123" spans="1:12" x14ac:dyDescent="0.25">
      <c r="A123" s="2" t="s">
        <v>15</v>
      </c>
      <c r="B123" s="8" t="s">
        <v>16</v>
      </c>
      <c r="C123" s="2">
        <v>3</v>
      </c>
      <c r="D123" s="3">
        <v>1202957.7138338401</v>
      </c>
      <c r="E123" s="3">
        <v>13409.25543712</v>
      </c>
      <c r="F123" s="4">
        <v>1.2431315547808089E-3</v>
      </c>
      <c r="G123" s="4">
        <v>1.4794270549193711E-3</v>
      </c>
      <c r="J123" t="s">
        <v>46</v>
      </c>
      <c r="K123" s="3">
        <f>AVERAGE(K108:K121)</f>
        <v>0.82196723975363228</v>
      </c>
      <c r="L123" s="3">
        <f>AVERAGE(L108:L121)</f>
        <v>0.64086634028416523</v>
      </c>
    </row>
    <row r="125" spans="1:12" x14ac:dyDescent="0.25">
      <c r="B125" s="7" t="s">
        <v>40</v>
      </c>
      <c r="D125" s="3">
        <f>AVERAGE(D120:D121)</f>
        <v>1396167.3051918419</v>
      </c>
      <c r="E125" s="3">
        <f t="shared" ref="E125:G125" si="15">AVERAGE(E120:E121)</f>
        <v>11218.764737090001</v>
      </c>
      <c r="F125" s="4">
        <f t="shared" si="15"/>
        <v>7.2024979378310164E-3</v>
      </c>
      <c r="G125" s="4">
        <f t="shared" si="15"/>
        <v>4.9585821370708629E-3</v>
      </c>
    </row>
    <row r="126" spans="1:12" x14ac:dyDescent="0.25">
      <c r="B126" s="7" t="s">
        <v>41</v>
      </c>
      <c r="D126" s="3">
        <f>AVERAGE(D122:D123)</f>
        <v>1219074.5030362196</v>
      </c>
      <c r="E126" s="3">
        <f t="shared" ref="E126:G126" si="16">AVERAGE(E122:E123)</f>
        <v>15588.047598559999</v>
      </c>
      <c r="F126" s="4">
        <f t="shared" si="16"/>
        <v>1.0913605249510702E-3</v>
      </c>
      <c r="G126" s="4">
        <f t="shared" si="16"/>
        <v>1.1810273517478154E-3</v>
      </c>
    </row>
    <row r="128" spans="1:12" x14ac:dyDescent="0.25">
      <c r="C128" s="7" t="s">
        <v>42</v>
      </c>
      <c r="D128" s="3">
        <f>D125/D126</f>
        <v>1.1452682356283854</v>
      </c>
      <c r="E128" s="3">
        <f t="shared" ref="E128:G128" si="17">E125/E126</f>
        <v>0.71970300745850779</v>
      </c>
      <c r="F128" s="3">
        <f t="shared" si="17"/>
        <v>6.5995587829731441</v>
      </c>
      <c r="G128" s="3">
        <f t="shared" si="17"/>
        <v>4.1985328533946333</v>
      </c>
    </row>
    <row r="130" spans="1:12" x14ac:dyDescent="0.25">
      <c r="C130" s="2">
        <f>MAX(C120:C123)</f>
        <v>4</v>
      </c>
      <c r="D130" s="2">
        <f t="shared" ref="D130:G130" si="18">MAX(D120:D123)</f>
        <v>1501058.080583167</v>
      </c>
      <c r="E130" s="2">
        <f t="shared" si="18"/>
        <v>17766.839759999999</v>
      </c>
      <c r="F130" s="2">
        <f t="shared" si="18"/>
        <v>9.5505969516812179E-3</v>
      </c>
      <c r="G130" s="2">
        <f t="shared" si="18"/>
        <v>7.1947529628030547E-3</v>
      </c>
    </row>
    <row r="131" spans="1:12" x14ac:dyDescent="0.25">
      <c r="C131" s="10" t="s">
        <v>43</v>
      </c>
      <c r="D131" s="10" t="s">
        <v>3</v>
      </c>
      <c r="E131" s="1" t="s">
        <v>4</v>
      </c>
      <c r="F131" s="1" t="s">
        <v>5</v>
      </c>
      <c r="G131" s="1" t="s">
        <v>6</v>
      </c>
      <c r="J131" s="2"/>
      <c r="K131" s="10" t="s">
        <v>44</v>
      </c>
      <c r="L131" s="10" t="s">
        <v>45</v>
      </c>
    </row>
    <row r="132" spans="1:12" x14ac:dyDescent="0.25">
      <c r="C132" s="2">
        <f>C120/C$82</f>
        <v>0.5</v>
      </c>
      <c r="D132" s="2">
        <f>D120/D$130</f>
        <v>1</v>
      </c>
      <c r="E132" s="2">
        <f t="shared" ref="E132:G132" si="19">E120/E$130</f>
        <v>0.56379755979405544</v>
      </c>
      <c r="F132" s="2">
        <f t="shared" si="19"/>
        <v>0.50828225173152997</v>
      </c>
      <c r="G132" s="2">
        <f t="shared" si="19"/>
        <v>0.37838843465697375</v>
      </c>
      <c r="J132" s="10">
        <v>19</v>
      </c>
      <c r="K132" s="3">
        <f>0.5*(D117*E117+E117*F117+F117*G117+G117*D117)</f>
        <v>0.94053962655500623</v>
      </c>
      <c r="L132" s="3">
        <f>0.5*(D114*E114+E114*F114+F114*G114+G114*D114)</f>
        <v>0.99570716952284077</v>
      </c>
    </row>
    <row r="133" spans="1:12" x14ac:dyDescent="0.25">
      <c r="C133" s="2">
        <f t="shared" ref="C133:C135" si="20">C121/C$82</f>
        <v>0.25</v>
      </c>
      <c r="D133" s="2">
        <f t="shared" ref="D133:G135" si="21">D121/D$130</f>
        <v>0.86024421473341717</v>
      </c>
      <c r="E133" s="2">
        <f t="shared" si="21"/>
        <v>0.6990904820453</v>
      </c>
      <c r="F133" s="2">
        <f t="shared" si="21"/>
        <v>1</v>
      </c>
      <c r="G133" s="2">
        <f t="shared" si="21"/>
        <v>1</v>
      </c>
    </row>
    <row r="134" spans="1:12" x14ac:dyDescent="0.25">
      <c r="C134" s="2">
        <f t="shared" si="20"/>
        <v>1</v>
      </c>
      <c r="D134" s="2">
        <f t="shared" si="21"/>
        <v>0.82288041230138287</v>
      </c>
      <c r="E134" s="2">
        <f t="shared" si="21"/>
        <v>1</v>
      </c>
      <c r="F134" s="2">
        <f t="shared" si="21"/>
        <v>9.8380185016176708E-2</v>
      </c>
      <c r="G134" s="2">
        <f t="shared" si="21"/>
        <v>0.12267657460088674</v>
      </c>
    </row>
    <row r="135" spans="1:12" x14ac:dyDescent="0.25">
      <c r="C135" s="2">
        <f t="shared" si="20"/>
        <v>0.75</v>
      </c>
      <c r="D135" s="2">
        <f t="shared" si="21"/>
        <v>0.80140650744605846</v>
      </c>
      <c r="E135" s="2">
        <f t="shared" si="21"/>
        <v>0.75473497922288912</v>
      </c>
      <c r="F135" s="2">
        <f t="shared" si="21"/>
        <v>0.13016270721820974</v>
      </c>
      <c r="G135" s="2">
        <f t="shared" si="21"/>
        <v>0.20562583073637467</v>
      </c>
    </row>
    <row r="137" spans="1:12" x14ac:dyDescent="0.25">
      <c r="C137" s="10" t="s">
        <v>3</v>
      </c>
      <c r="D137" s="10" t="s">
        <v>43</v>
      </c>
      <c r="E137" s="10" t="s">
        <v>4</v>
      </c>
      <c r="F137" s="10" t="s">
        <v>5</v>
      </c>
      <c r="G137" s="10" t="s">
        <v>6</v>
      </c>
    </row>
    <row r="138" spans="1:12" x14ac:dyDescent="0.25">
      <c r="C138" s="3">
        <v>0.80140650744605846</v>
      </c>
      <c r="D138" s="2">
        <v>0.75</v>
      </c>
      <c r="E138" s="2">
        <v>0.75473497922288912</v>
      </c>
      <c r="F138" s="2">
        <v>0.13016270721820974</v>
      </c>
      <c r="G138" s="2">
        <v>0.20562583073637467</v>
      </c>
    </row>
    <row r="139" spans="1:12" x14ac:dyDescent="0.25">
      <c r="C139" s="3">
        <v>0.82288041230138287</v>
      </c>
      <c r="D139" s="2">
        <v>1</v>
      </c>
      <c r="E139" s="2">
        <v>1</v>
      </c>
      <c r="F139" s="2">
        <v>9.8380185016176708E-2</v>
      </c>
      <c r="G139" s="2">
        <v>0.12267657460088674</v>
      </c>
    </row>
    <row r="140" spans="1:12" x14ac:dyDescent="0.25">
      <c r="C140" s="3">
        <v>0.86024421473341717</v>
      </c>
      <c r="D140" s="2">
        <v>0.25</v>
      </c>
      <c r="E140" s="2">
        <v>0.6990904820453</v>
      </c>
      <c r="F140" s="2">
        <v>1</v>
      </c>
      <c r="G140" s="2">
        <v>1</v>
      </c>
    </row>
    <row r="141" spans="1:12" x14ac:dyDescent="0.25">
      <c r="C141" s="3">
        <v>1</v>
      </c>
      <c r="D141" s="2">
        <v>0.5</v>
      </c>
      <c r="E141" s="2">
        <v>0.56379755979405544</v>
      </c>
      <c r="F141" s="2">
        <v>0.50828225173152997</v>
      </c>
      <c r="G141" s="2">
        <v>0.37838843465697375</v>
      </c>
    </row>
    <row r="143" spans="1:12" x14ac:dyDescent="0.25">
      <c r="A143" s="1" t="s">
        <v>0</v>
      </c>
      <c r="B143" s="1" t="s">
        <v>1</v>
      </c>
      <c r="C143" s="1" t="s">
        <v>2</v>
      </c>
      <c r="D143" s="1" t="s">
        <v>3</v>
      </c>
      <c r="E143" s="1" t="s">
        <v>4</v>
      </c>
      <c r="F143" s="1" t="s">
        <v>5</v>
      </c>
      <c r="G143" s="1" t="s">
        <v>6</v>
      </c>
    </row>
    <row r="144" spans="1:12" x14ac:dyDescent="0.25">
      <c r="A144" s="2" t="s">
        <v>17</v>
      </c>
      <c r="B144" s="8" t="s">
        <v>18</v>
      </c>
      <c r="C144" s="2">
        <v>1</v>
      </c>
      <c r="D144" s="3">
        <v>391236.03926557873</v>
      </c>
      <c r="E144" s="3">
        <v>9174.7777388399991</v>
      </c>
      <c r="F144" s="4">
        <v>7.2720955318134649E-3</v>
      </c>
      <c r="G144" s="4">
        <v>4.0538663342816288E-4</v>
      </c>
    </row>
    <row r="145" spans="1:12" x14ac:dyDescent="0.25">
      <c r="A145" s="2" t="s">
        <v>17</v>
      </c>
      <c r="B145" s="8" t="s">
        <v>18</v>
      </c>
      <c r="C145" s="2">
        <v>2</v>
      </c>
      <c r="D145" s="3">
        <v>331000.25434189721</v>
      </c>
      <c r="E145" s="3">
        <v>7502.6813292799998</v>
      </c>
      <c r="F145" s="4">
        <v>1.753601618218082E-3</v>
      </c>
      <c r="G145" s="4">
        <v>3.3407912051630981E-4</v>
      </c>
    </row>
    <row r="146" spans="1:12" x14ac:dyDescent="0.25">
      <c r="A146" s="2" t="s">
        <v>17</v>
      </c>
      <c r="B146" s="8" t="s">
        <v>18</v>
      </c>
      <c r="C146" s="2">
        <v>4</v>
      </c>
      <c r="D146" s="3">
        <v>315114.80271184049</v>
      </c>
      <c r="E146" s="3">
        <v>3780.5631839999992</v>
      </c>
      <c r="F146" s="4">
        <v>1.04121883656369E-2</v>
      </c>
      <c r="G146" s="4">
        <v>1.4970467955548929E-3</v>
      </c>
    </row>
    <row r="147" spans="1:12" x14ac:dyDescent="0.25">
      <c r="A147" s="2" t="s">
        <v>17</v>
      </c>
      <c r="B147" s="8" t="s">
        <v>18</v>
      </c>
      <c r="C147" s="2">
        <v>3</v>
      </c>
      <c r="D147" s="3">
        <v>311812.99097068148</v>
      </c>
      <c r="E147" s="3">
        <v>3403.6800820799999</v>
      </c>
      <c r="F147" s="4">
        <v>7.8396110552474759E-4</v>
      </c>
      <c r="G147" s="4">
        <v>1.35821810761219E-3</v>
      </c>
    </row>
    <row r="149" spans="1:12" x14ac:dyDescent="0.25">
      <c r="B149" s="7" t="s">
        <v>40</v>
      </c>
      <c r="D149" s="3">
        <f>AVERAGE(D144:D145)</f>
        <v>361118.14680373797</v>
      </c>
      <c r="E149" s="3">
        <f t="shared" ref="E149:G149" si="22">AVERAGE(E144:E145)</f>
        <v>8338.7295340599994</v>
      </c>
      <c r="F149" s="4">
        <f t="shared" si="22"/>
        <v>4.5128485750157736E-3</v>
      </c>
      <c r="G149" s="4">
        <f t="shared" si="22"/>
        <v>3.6973287697223637E-4</v>
      </c>
    </row>
    <row r="150" spans="1:12" x14ac:dyDescent="0.25">
      <c r="B150" s="7" t="s">
        <v>41</v>
      </c>
      <c r="D150" s="3">
        <f>AVERAGE(D146:D147)</f>
        <v>313463.89684126095</v>
      </c>
      <c r="E150" s="3">
        <f t="shared" ref="E150:G150" si="23">AVERAGE(E146:E147)</f>
        <v>3592.1216330399993</v>
      </c>
      <c r="F150" s="4">
        <f t="shared" si="23"/>
        <v>5.5980747355808243E-3</v>
      </c>
      <c r="G150" s="4">
        <f t="shared" si="23"/>
        <v>1.4276324515835415E-3</v>
      </c>
    </row>
    <row r="152" spans="1:12" x14ac:dyDescent="0.25">
      <c r="C152" s="7" t="s">
        <v>42</v>
      </c>
      <c r="D152" s="3">
        <f>D149/D150</f>
        <v>1.1520246843183004</v>
      </c>
      <c r="E152" s="3">
        <f t="shared" ref="E152:G152" si="24">E149/E150</f>
        <v>2.3213939799145842</v>
      </c>
      <c r="F152" s="3">
        <f t="shared" si="24"/>
        <v>0.80614296667612206</v>
      </c>
      <c r="G152" s="3">
        <f t="shared" si="24"/>
        <v>0.25898323939199175</v>
      </c>
    </row>
    <row r="154" spans="1:12" x14ac:dyDescent="0.25">
      <c r="C154" s="2">
        <f>MAX(C144:C147)</f>
        <v>4</v>
      </c>
      <c r="D154" s="2">
        <f t="shared" ref="D154:G154" si="25">MAX(D144:D147)</f>
        <v>391236.03926557873</v>
      </c>
      <c r="E154" s="2">
        <f t="shared" si="25"/>
        <v>9174.7777388399991</v>
      </c>
      <c r="F154" s="2">
        <f t="shared" si="25"/>
        <v>1.04121883656369E-2</v>
      </c>
      <c r="G154" s="2">
        <f t="shared" si="25"/>
        <v>1.4970467955548929E-3</v>
      </c>
    </row>
    <row r="155" spans="1:12" x14ac:dyDescent="0.25">
      <c r="C155" s="10" t="s">
        <v>43</v>
      </c>
      <c r="D155" s="10" t="s">
        <v>3</v>
      </c>
      <c r="E155" s="1" t="s">
        <v>4</v>
      </c>
      <c r="F155" s="1" t="s">
        <v>5</v>
      </c>
      <c r="G155" s="1" t="s">
        <v>6</v>
      </c>
      <c r="J155" s="2"/>
      <c r="K155" s="10" t="s">
        <v>44</v>
      </c>
      <c r="L155" s="10" t="s">
        <v>45</v>
      </c>
    </row>
    <row r="156" spans="1:12" x14ac:dyDescent="0.25">
      <c r="C156" s="2">
        <f>C144/C$154</f>
        <v>0.25</v>
      </c>
      <c r="D156" s="2">
        <f t="shared" ref="D156:G156" si="26">D144/D$154</f>
        <v>1</v>
      </c>
      <c r="E156" s="2">
        <f t="shared" si="26"/>
        <v>1</v>
      </c>
      <c r="F156" s="2">
        <f t="shared" si="26"/>
        <v>0.69842143423119296</v>
      </c>
      <c r="G156" s="2">
        <f t="shared" si="26"/>
        <v>0.27079088952453417</v>
      </c>
      <c r="J156" s="10">
        <v>20</v>
      </c>
      <c r="K156" s="3">
        <f>0.5*(D141*E141+E141*F141+F141*G141+G141*D141)</f>
        <v>0.47499470801749727</v>
      </c>
      <c r="L156" s="3">
        <f>0.5*(D138*E138+E138*F138+F138*G138+G138*D138)</f>
        <v>0.42263688520000919</v>
      </c>
    </row>
    <row r="157" spans="1:12" x14ac:dyDescent="0.25">
      <c r="C157" s="2">
        <f t="shared" ref="C157:G159" si="27">C145/C$154</f>
        <v>0.5</v>
      </c>
      <c r="D157" s="2">
        <f t="shared" si="27"/>
        <v>0.84603722848039498</v>
      </c>
      <c r="E157" s="2">
        <f t="shared" si="27"/>
        <v>0.81775074479663545</v>
      </c>
      <c r="F157" s="2">
        <f t="shared" si="27"/>
        <v>0.16841816116249414</v>
      </c>
      <c r="G157" s="2">
        <f t="shared" si="27"/>
        <v>0.2231587693238945</v>
      </c>
    </row>
    <row r="158" spans="1:12" x14ac:dyDescent="0.25">
      <c r="C158" s="2">
        <f t="shared" si="27"/>
        <v>1</v>
      </c>
      <c r="D158" s="2">
        <f t="shared" si="27"/>
        <v>0.80543398635608399</v>
      </c>
      <c r="E158" s="2">
        <f t="shared" si="27"/>
        <v>0.41206046529013679</v>
      </c>
      <c r="F158" s="2">
        <f t="shared" si="27"/>
        <v>1</v>
      </c>
      <c r="G158" s="2">
        <f t="shared" si="27"/>
        <v>1</v>
      </c>
    </row>
    <row r="159" spans="1:12" x14ac:dyDescent="0.25">
      <c r="C159" s="2">
        <f t="shared" si="27"/>
        <v>0.75</v>
      </c>
      <c r="D159" s="2">
        <f t="shared" si="27"/>
        <v>0.7969945497761689</v>
      </c>
      <c r="E159" s="2">
        <f t="shared" si="27"/>
        <v>0.37098229286482309</v>
      </c>
      <c r="F159" s="2">
        <f t="shared" si="27"/>
        <v>7.5292635706825664E-2</v>
      </c>
      <c r="G159" s="2">
        <f t="shared" si="27"/>
        <v>0.90726496435854909</v>
      </c>
    </row>
    <row r="161" spans="1:7" x14ac:dyDescent="0.25">
      <c r="C161" s="10" t="s">
        <v>3</v>
      </c>
      <c r="D161" s="10" t="s">
        <v>43</v>
      </c>
      <c r="E161" s="10" t="s">
        <v>4</v>
      </c>
      <c r="F161" s="10" t="s">
        <v>5</v>
      </c>
      <c r="G161" s="10" t="s">
        <v>6</v>
      </c>
    </row>
    <row r="162" spans="1:7" x14ac:dyDescent="0.25">
      <c r="C162" s="3">
        <v>0.7969945497761689</v>
      </c>
      <c r="D162" s="2">
        <v>0.75</v>
      </c>
      <c r="E162" s="2">
        <v>0.37098229286482309</v>
      </c>
      <c r="F162" s="2">
        <v>7.5292635706825664E-2</v>
      </c>
      <c r="G162" s="2">
        <v>0.90726496435854909</v>
      </c>
    </row>
    <row r="163" spans="1:7" x14ac:dyDescent="0.25">
      <c r="C163" s="3">
        <v>0.80543398635608399</v>
      </c>
      <c r="D163" s="2">
        <v>1</v>
      </c>
      <c r="E163" s="2">
        <v>0.41206046529013679</v>
      </c>
      <c r="F163" s="2">
        <v>1</v>
      </c>
      <c r="G163" s="2">
        <v>1</v>
      </c>
    </row>
    <row r="164" spans="1:7" x14ac:dyDescent="0.25">
      <c r="C164" s="3">
        <v>0.84603722848039498</v>
      </c>
      <c r="D164" s="2">
        <v>0.5</v>
      </c>
      <c r="E164" s="2">
        <v>0.81775074479663545</v>
      </c>
      <c r="F164" s="2">
        <v>0.16841816116249414</v>
      </c>
      <c r="G164" s="2">
        <v>0.2231587693238945</v>
      </c>
    </row>
    <row r="165" spans="1:7" x14ac:dyDescent="0.25">
      <c r="C165" s="3">
        <v>1</v>
      </c>
      <c r="D165" s="2">
        <v>0.25</v>
      </c>
      <c r="E165" s="2">
        <v>1</v>
      </c>
      <c r="F165" s="2">
        <v>0.69842143423119296</v>
      </c>
      <c r="G165" s="2">
        <v>0.27079088952453417</v>
      </c>
    </row>
    <row r="167" spans="1:7" x14ac:dyDescent="0.25">
      <c r="A167" s="1" t="s">
        <v>0</v>
      </c>
      <c r="B167" s="1" t="s">
        <v>1</v>
      </c>
      <c r="C167" s="1" t="s">
        <v>2</v>
      </c>
      <c r="D167" s="1" t="s">
        <v>3</v>
      </c>
      <c r="E167" s="1" t="s">
        <v>4</v>
      </c>
      <c r="F167" s="1" t="s">
        <v>5</v>
      </c>
      <c r="G167" s="1" t="s">
        <v>6</v>
      </c>
    </row>
    <row r="168" spans="1:7" x14ac:dyDescent="0.25">
      <c r="A168" s="2" t="s">
        <v>19</v>
      </c>
      <c r="B168" s="8" t="s">
        <v>20</v>
      </c>
      <c r="C168" s="2">
        <v>2</v>
      </c>
      <c r="D168" s="3">
        <v>327266.01547195681</v>
      </c>
      <c r="E168" s="3">
        <v>2736.7203125999999</v>
      </c>
      <c r="F168" s="4">
        <v>6.5575458761258591E-4</v>
      </c>
      <c r="G168" s="4">
        <v>9.6186040198574876E-4</v>
      </c>
    </row>
    <row r="169" spans="1:7" x14ac:dyDescent="0.25">
      <c r="A169" s="2" t="s">
        <v>19</v>
      </c>
      <c r="B169" s="8" t="s">
        <v>20</v>
      </c>
      <c r="C169" s="2">
        <v>3</v>
      </c>
      <c r="D169" s="3">
        <v>323997.44760210218</v>
      </c>
      <c r="E169" s="3">
        <v>2594.2840083999999</v>
      </c>
      <c r="F169" s="4">
        <v>4.4144095106468531E-4</v>
      </c>
      <c r="G169" s="4">
        <v>4.2813564143465432E-3</v>
      </c>
    </row>
    <row r="170" spans="1:7" x14ac:dyDescent="0.25">
      <c r="A170" s="2" t="s">
        <v>19</v>
      </c>
      <c r="B170" s="8" t="s">
        <v>20</v>
      </c>
      <c r="C170" s="2">
        <v>4</v>
      </c>
      <c r="D170" s="3">
        <v>321762.90970591619</v>
      </c>
      <c r="E170" s="3">
        <v>2793.945984</v>
      </c>
      <c r="F170" s="4">
        <v>3.0877619142976242E-4</v>
      </c>
      <c r="G170" s="4">
        <v>1.0062327675981299E-3</v>
      </c>
    </row>
    <row r="171" spans="1:7" x14ac:dyDescent="0.25">
      <c r="A171" s="2" t="s">
        <v>19</v>
      </c>
      <c r="B171" s="8" t="s">
        <v>20</v>
      </c>
      <c r="C171" s="2">
        <v>1</v>
      </c>
      <c r="D171" s="3">
        <v>297602.00445720641</v>
      </c>
      <c r="E171" s="3">
        <v>3256.4356082999998</v>
      </c>
      <c r="F171" s="4">
        <v>3.8592436982227681E-4</v>
      </c>
      <c r="G171" s="4">
        <v>2.369477916386043E-3</v>
      </c>
    </row>
    <row r="173" spans="1:7" x14ac:dyDescent="0.25">
      <c r="B173" s="7" t="s">
        <v>40</v>
      </c>
      <c r="D173" s="3">
        <f>AVERAGE(D168:D169)</f>
        <v>325631.7315370295</v>
      </c>
      <c r="E173" s="3">
        <f t="shared" ref="E173:G173" si="28">AVERAGE(E168:E169)</f>
        <v>2665.5021605000002</v>
      </c>
      <c r="F173" s="4">
        <f t="shared" si="28"/>
        <v>5.4859776933863561E-4</v>
      </c>
      <c r="G173" s="4">
        <f t="shared" si="28"/>
        <v>2.6216084081661459E-3</v>
      </c>
    </row>
    <row r="174" spans="1:7" x14ac:dyDescent="0.25">
      <c r="B174" s="7" t="s">
        <v>41</v>
      </c>
      <c r="D174" s="3">
        <f>AVERAGE(D170:D171)</f>
        <v>309682.45708156133</v>
      </c>
      <c r="E174" s="3">
        <f t="shared" ref="E174:G174" si="29">AVERAGE(E170:E171)</f>
        <v>3025.1907961500001</v>
      </c>
      <c r="F174" s="4">
        <f t="shared" si="29"/>
        <v>3.4735028062601961E-4</v>
      </c>
      <c r="G174" s="4">
        <f t="shared" si="29"/>
        <v>1.6878553419920864E-3</v>
      </c>
    </row>
    <row r="176" spans="1:7" x14ac:dyDescent="0.25">
      <c r="C176" s="7" t="s">
        <v>42</v>
      </c>
      <c r="D176" s="3">
        <f>D173/D174</f>
        <v>1.0515020276116822</v>
      </c>
      <c r="E176" s="3">
        <f t="shared" ref="E176:G176" si="30">E173/E174</f>
        <v>0.88110216515673767</v>
      </c>
      <c r="F176" s="3">
        <f t="shared" si="30"/>
        <v>1.5793790877321685</v>
      </c>
      <c r="G176" s="3">
        <f t="shared" si="30"/>
        <v>1.5532186573951297</v>
      </c>
    </row>
    <row r="178" spans="1:12" x14ac:dyDescent="0.25">
      <c r="C178" s="2">
        <f>MAX(C168:C171)</f>
        <v>4</v>
      </c>
      <c r="D178" s="2">
        <f t="shared" ref="D178:G178" si="31">MAX(D168:D171)</f>
        <v>327266.01547195681</v>
      </c>
      <c r="E178" s="2">
        <f t="shared" si="31"/>
        <v>3256.4356082999998</v>
      </c>
      <c r="F178" s="2">
        <f t="shared" si="31"/>
        <v>6.5575458761258591E-4</v>
      </c>
      <c r="G178" s="2">
        <f t="shared" si="31"/>
        <v>4.2813564143465432E-3</v>
      </c>
    </row>
    <row r="179" spans="1:12" x14ac:dyDescent="0.25">
      <c r="C179" s="10" t="s">
        <v>43</v>
      </c>
      <c r="D179" s="10" t="s">
        <v>3</v>
      </c>
      <c r="E179" s="1" t="s">
        <v>4</v>
      </c>
      <c r="F179" s="1" t="s">
        <v>5</v>
      </c>
      <c r="G179" s="1" t="s">
        <v>6</v>
      </c>
      <c r="J179" s="2"/>
      <c r="K179" s="10" t="s">
        <v>44</v>
      </c>
      <c r="L179" s="10" t="s">
        <v>45</v>
      </c>
    </row>
    <row r="180" spans="1:12" x14ac:dyDescent="0.25">
      <c r="C180" s="2">
        <f t="shared" ref="C180:G183" si="32">C168/C$178</f>
        <v>0.5</v>
      </c>
      <c r="D180" s="2">
        <f t="shared" si="32"/>
        <v>1</v>
      </c>
      <c r="E180" s="2">
        <f t="shared" si="32"/>
        <v>0.84040363200323998</v>
      </c>
      <c r="F180" s="2">
        <f t="shared" si="32"/>
        <v>1</v>
      </c>
      <c r="G180" s="2">
        <f t="shared" si="32"/>
        <v>0.22466253890066659</v>
      </c>
      <c r="J180" s="10">
        <v>21</v>
      </c>
      <c r="K180" s="3">
        <f>0.5*(D165*E165+E165*F165+F165*G165+G165*D165)</f>
        <v>0.60262265902539602</v>
      </c>
      <c r="L180" s="3">
        <f>0.5*(D162*E162+E162*F162+F162*G162+G162*D162)</f>
        <v>0.52746402399944881</v>
      </c>
    </row>
    <row r="181" spans="1:12" x14ac:dyDescent="0.25">
      <c r="C181" s="2">
        <f t="shared" si="32"/>
        <v>0.75</v>
      </c>
      <c r="D181" s="2">
        <f t="shared" si="32"/>
        <v>0.99001250446019895</v>
      </c>
      <c r="E181" s="2">
        <f t="shared" si="32"/>
        <v>0.796663690136446</v>
      </c>
      <c r="F181" s="2">
        <f t="shared" si="32"/>
        <v>0.67318011860480464</v>
      </c>
      <c r="G181" s="2">
        <f t="shared" si="32"/>
        <v>1</v>
      </c>
      <c r="J181" s="2"/>
      <c r="K181" s="10"/>
      <c r="L181" s="10"/>
    </row>
    <row r="182" spans="1:12" x14ac:dyDescent="0.25">
      <c r="C182" s="2">
        <f t="shared" si="32"/>
        <v>1</v>
      </c>
      <c r="D182" s="2">
        <f t="shared" si="32"/>
        <v>0.98318460974903099</v>
      </c>
      <c r="E182" s="2">
        <f t="shared" si="32"/>
        <v>0.85797673286669429</v>
      </c>
      <c r="F182" s="2">
        <f t="shared" si="32"/>
        <v>0.47087156881956077</v>
      </c>
      <c r="G182" s="2">
        <f t="shared" si="32"/>
        <v>0.23502662946404326</v>
      </c>
      <c r="J182" s="10"/>
      <c r="K182" s="3"/>
      <c r="L182" s="3"/>
    </row>
    <row r="183" spans="1:12" x14ac:dyDescent="0.25">
      <c r="C183" s="2">
        <f t="shared" si="32"/>
        <v>0.25</v>
      </c>
      <c r="D183" s="2">
        <f t="shared" si="32"/>
        <v>0.90935810743449375</v>
      </c>
      <c r="E183" s="2">
        <f t="shared" si="32"/>
        <v>1</v>
      </c>
      <c r="F183" s="2">
        <f t="shared" si="32"/>
        <v>0.58851951189135643</v>
      </c>
      <c r="G183" s="2">
        <f t="shared" si="32"/>
        <v>0.55344093952236229</v>
      </c>
    </row>
    <row r="185" spans="1:12" x14ac:dyDescent="0.25">
      <c r="C185" s="10" t="s">
        <v>3</v>
      </c>
      <c r="D185" s="10" t="s">
        <v>43</v>
      </c>
      <c r="E185" s="10" t="s">
        <v>4</v>
      </c>
      <c r="F185" s="10" t="s">
        <v>5</v>
      </c>
      <c r="G185" s="10" t="s">
        <v>6</v>
      </c>
    </row>
    <row r="186" spans="1:12" x14ac:dyDescent="0.25">
      <c r="C186" s="3">
        <v>0.90935810743449375</v>
      </c>
      <c r="D186" s="2">
        <v>0.25</v>
      </c>
      <c r="E186" s="2">
        <v>1</v>
      </c>
      <c r="F186" s="2">
        <v>0.58851951189135643</v>
      </c>
      <c r="G186" s="2">
        <v>0.55344093952236229</v>
      </c>
    </row>
    <row r="187" spans="1:12" x14ac:dyDescent="0.25">
      <c r="C187" s="3">
        <v>0.98318460974903099</v>
      </c>
      <c r="D187" s="2">
        <v>1</v>
      </c>
      <c r="E187" s="2">
        <v>0.85797673286669429</v>
      </c>
      <c r="F187" s="2">
        <v>0.47087156881956077</v>
      </c>
      <c r="G187" s="2">
        <v>0.23502662946404326</v>
      </c>
    </row>
    <row r="188" spans="1:12" x14ac:dyDescent="0.25">
      <c r="C188" s="3">
        <v>0.99001250446019895</v>
      </c>
      <c r="D188" s="2">
        <v>0.75</v>
      </c>
      <c r="E188" s="2">
        <v>0.796663690136446</v>
      </c>
      <c r="F188" s="2">
        <v>0.67318011860480464</v>
      </c>
      <c r="G188" s="2">
        <v>1</v>
      </c>
    </row>
    <row r="189" spans="1:12" x14ac:dyDescent="0.25">
      <c r="C189" s="3">
        <v>1</v>
      </c>
      <c r="D189" s="2">
        <v>0.5</v>
      </c>
      <c r="E189" s="2">
        <v>0.84040363200323998</v>
      </c>
      <c r="F189" s="2">
        <v>1</v>
      </c>
      <c r="G189" s="2">
        <v>0.22466253890066659</v>
      </c>
    </row>
    <row r="191" spans="1:12" x14ac:dyDescent="0.25">
      <c r="A191" s="1" t="s">
        <v>0</v>
      </c>
      <c r="B191" s="1" t="s">
        <v>1</v>
      </c>
      <c r="C191" s="1" t="s">
        <v>2</v>
      </c>
      <c r="D191" s="1" t="s">
        <v>3</v>
      </c>
      <c r="E191" s="1" t="s">
        <v>4</v>
      </c>
      <c r="F191" s="1" t="s">
        <v>5</v>
      </c>
      <c r="G191" s="1" t="s">
        <v>6</v>
      </c>
    </row>
    <row r="192" spans="1:12" x14ac:dyDescent="0.25">
      <c r="A192" s="2" t="s">
        <v>21</v>
      </c>
      <c r="B192" s="8" t="s">
        <v>22</v>
      </c>
      <c r="C192" s="2">
        <v>4</v>
      </c>
      <c r="D192" s="3">
        <v>589836.07301855378</v>
      </c>
      <c r="E192" s="3">
        <v>3459.2387039999999</v>
      </c>
      <c r="F192" s="4">
        <v>2.6129124854981389E-3</v>
      </c>
      <c r="G192" s="4">
        <v>2.2962786554205951E-3</v>
      </c>
    </row>
    <row r="193" spans="1:12" x14ac:dyDescent="0.25">
      <c r="A193" s="2" t="s">
        <v>21</v>
      </c>
      <c r="B193" s="8" t="s">
        <v>22</v>
      </c>
      <c r="C193" s="2">
        <v>2</v>
      </c>
      <c r="D193" s="3">
        <v>585427.26654459862</v>
      </c>
      <c r="E193" s="3">
        <v>4854.6591208600003</v>
      </c>
      <c r="F193" s="4">
        <v>3.7612999688359748E-4</v>
      </c>
      <c r="G193" s="4">
        <v>2.0756040556386131E-3</v>
      </c>
    </row>
    <row r="194" spans="1:12" x14ac:dyDescent="0.25">
      <c r="A194" s="2" t="s">
        <v>21</v>
      </c>
      <c r="B194" s="8" t="s">
        <v>22</v>
      </c>
      <c r="C194" s="2">
        <v>3</v>
      </c>
      <c r="D194" s="3">
        <v>575669.32501484314</v>
      </c>
      <c r="E194" s="3">
        <v>4774.9529707199999</v>
      </c>
      <c r="F194" s="4">
        <v>2.8738600116371028E-4</v>
      </c>
      <c r="G194" s="4">
        <v>1.316480132589062E-3</v>
      </c>
    </row>
    <row r="195" spans="1:12" x14ac:dyDescent="0.25">
      <c r="A195" s="2" t="s">
        <v>21</v>
      </c>
      <c r="B195" s="8" t="s">
        <v>22</v>
      </c>
      <c r="C195" s="2">
        <v>1</v>
      </c>
      <c r="D195" s="3">
        <v>532258.74860418728</v>
      </c>
      <c r="E195" s="3">
        <v>5998.8555937799993</v>
      </c>
      <c r="F195" s="4">
        <v>3.3561812091085249E-3</v>
      </c>
      <c r="G195" s="4">
        <v>1.7434020366891251E-3</v>
      </c>
    </row>
    <row r="197" spans="1:12" x14ac:dyDescent="0.25">
      <c r="B197" s="7" t="s">
        <v>40</v>
      </c>
      <c r="D197" s="3">
        <f>AVERAGE(D192:D193)</f>
        <v>587631.66978157614</v>
      </c>
      <c r="E197" s="3">
        <f t="shared" ref="E197:G197" si="33">AVERAGE(E192:E193)</f>
        <v>4156.9489124299998</v>
      </c>
      <c r="F197" s="4">
        <f t="shared" si="33"/>
        <v>1.4945212411908682E-3</v>
      </c>
      <c r="G197" s="4">
        <f t="shared" si="33"/>
        <v>2.1859413555296043E-3</v>
      </c>
    </row>
    <row r="198" spans="1:12" x14ac:dyDescent="0.25">
      <c r="B198" s="7" t="s">
        <v>41</v>
      </c>
      <c r="D198" s="3">
        <f>AVERAGE(D194:D195)</f>
        <v>553964.03680951521</v>
      </c>
      <c r="E198" s="3">
        <f t="shared" ref="E198:G198" si="34">AVERAGE(E194:E195)</f>
        <v>5386.9042822499996</v>
      </c>
      <c r="F198" s="4">
        <f t="shared" si="34"/>
        <v>1.8217836051361176E-3</v>
      </c>
      <c r="G198" s="4">
        <f t="shared" si="34"/>
        <v>1.5299410846390934E-3</v>
      </c>
    </row>
    <row r="200" spans="1:12" x14ac:dyDescent="0.25">
      <c r="C200" s="7" t="s">
        <v>42</v>
      </c>
      <c r="D200" s="3">
        <f>D197/D198</f>
        <v>1.0607758459664012</v>
      </c>
      <c r="E200" s="3">
        <f t="shared" ref="E200:G200" si="35">E197/E198</f>
        <v>0.77167677289668257</v>
      </c>
      <c r="F200" s="3">
        <f t="shared" si="35"/>
        <v>0.82036156049346076</v>
      </c>
      <c r="G200" s="3">
        <f t="shared" si="35"/>
        <v>1.4287748577228767</v>
      </c>
    </row>
    <row r="202" spans="1:12" x14ac:dyDescent="0.25">
      <c r="C202" s="2">
        <f>MAX(C192:C195)</f>
        <v>4</v>
      </c>
      <c r="D202" s="2">
        <f t="shared" ref="D202:G202" si="36">MAX(D192:D195)</f>
        <v>589836.07301855378</v>
      </c>
      <c r="E202" s="2">
        <f t="shared" si="36"/>
        <v>5998.8555937799993</v>
      </c>
      <c r="F202" s="2">
        <f t="shared" si="36"/>
        <v>3.3561812091085249E-3</v>
      </c>
      <c r="G202" s="2">
        <f t="shared" si="36"/>
        <v>2.2962786554205951E-3</v>
      </c>
    </row>
    <row r="203" spans="1:12" x14ac:dyDescent="0.25">
      <c r="C203" s="10" t="s">
        <v>43</v>
      </c>
      <c r="D203" s="10" t="s">
        <v>3</v>
      </c>
      <c r="E203" s="1" t="s">
        <v>4</v>
      </c>
      <c r="F203" s="1" t="s">
        <v>5</v>
      </c>
      <c r="G203" s="1" t="s">
        <v>6</v>
      </c>
      <c r="J203" s="2"/>
      <c r="K203" s="10" t="s">
        <v>44</v>
      </c>
      <c r="L203" s="10" t="s">
        <v>45</v>
      </c>
    </row>
    <row r="204" spans="1:12" x14ac:dyDescent="0.25">
      <c r="C204" s="2">
        <f t="shared" ref="C204:G207" si="37">C192/C$202</f>
        <v>1</v>
      </c>
      <c r="D204" s="2">
        <f t="shared" si="37"/>
        <v>1</v>
      </c>
      <c r="E204" s="2">
        <f t="shared" si="37"/>
        <v>0.57664977093076919</v>
      </c>
      <c r="F204" s="2">
        <f t="shared" si="37"/>
        <v>0.77853736812744556</v>
      </c>
      <c r="G204" s="2">
        <f t="shared" si="37"/>
        <v>1</v>
      </c>
      <c r="J204" s="10">
        <v>22</v>
      </c>
      <c r="K204" s="3">
        <f>0.5*(D189*E189+E189*F189+F189*G189+G189*D189)</f>
        <v>0.79879962817792993</v>
      </c>
      <c r="L204" s="3">
        <f>0.5*(D186*E186+E186*F186+F186*G186+G186*D186)</f>
        <v>0.65129526918017067</v>
      </c>
    </row>
    <row r="205" spans="1:12" x14ac:dyDescent="0.25">
      <c r="C205" s="2">
        <f t="shared" si="37"/>
        <v>0.5</v>
      </c>
      <c r="D205" s="2">
        <f t="shared" si="37"/>
        <v>0.99252536988558093</v>
      </c>
      <c r="E205" s="2">
        <f t="shared" si="37"/>
        <v>0.80926420797553855</v>
      </c>
      <c r="F205" s="2">
        <f t="shared" si="37"/>
        <v>0.11207082497893665</v>
      </c>
      <c r="G205" s="2">
        <f t="shared" si="37"/>
        <v>0.9038990327846067</v>
      </c>
    </row>
    <row r="206" spans="1:12" x14ac:dyDescent="0.25">
      <c r="C206" s="2">
        <f t="shared" si="37"/>
        <v>0.75</v>
      </c>
      <c r="D206" s="2">
        <f t="shared" si="37"/>
        <v>0.97598188945750519</v>
      </c>
      <c r="E206" s="2">
        <f t="shared" si="37"/>
        <v>0.79597731535177796</v>
      </c>
      <c r="F206" s="2">
        <f t="shared" si="37"/>
        <v>8.5628869020468137E-2</v>
      </c>
      <c r="G206" s="2">
        <f t="shared" si="37"/>
        <v>0.57331026854314004</v>
      </c>
    </row>
    <row r="207" spans="1:12" x14ac:dyDescent="0.25">
      <c r="C207" s="2">
        <f t="shared" si="37"/>
        <v>0.25</v>
      </c>
      <c r="D207" s="2">
        <f t="shared" si="37"/>
        <v>0.90238419274747317</v>
      </c>
      <c r="E207" s="2">
        <f t="shared" si="37"/>
        <v>1</v>
      </c>
      <c r="F207" s="2">
        <f t="shared" si="37"/>
        <v>1</v>
      </c>
      <c r="G207" s="2">
        <f t="shared" si="37"/>
        <v>0.7592293002304622</v>
      </c>
    </row>
    <row r="209" spans="1:7" x14ac:dyDescent="0.25">
      <c r="C209" s="10" t="s">
        <v>3</v>
      </c>
      <c r="D209" s="10" t="s">
        <v>43</v>
      </c>
      <c r="E209" s="10" t="s">
        <v>4</v>
      </c>
      <c r="F209" s="10" t="s">
        <v>5</v>
      </c>
      <c r="G209" s="10" t="s">
        <v>6</v>
      </c>
    </row>
    <row r="210" spans="1:7" x14ac:dyDescent="0.25">
      <c r="C210" s="12">
        <v>0.90238419274747317</v>
      </c>
      <c r="D210" s="11">
        <v>0.25</v>
      </c>
      <c r="E210" s="11">
        <v>1</v>
      </c>
      <c r="F210" s="11">
        <v>1</v>
      </c>
      <c r="G210" s="11">
        <v>0.7592293002304622</v>
      </c>
    </row>
    <row r="211" spans="1:7" x14ac:dyDescent="0.25">
      <c r="C211" s="12">
        <v>0.97598188945750519</v>
      </c>
      <c r="D211" s="11">
        <v>0.75</v>
      </c>
      <c r="E211" s="11">
        <v>0.79597731535177796</v>
      </c>
      <c r="F211" s="11">
        <v>8.5628869020468137E-2</v>
      </c>
      <c r="G211" s="11">
        <v>0.57331026854314004</v>
      </c>
    </row>
    <row r="212" spans="1:7" x14ac:dyDescent="0.25">
      <c r="C212" s="12">
        <v>0.99252536988558093</v>
      </c>
      <c r="D212" s="11">
        <v>0.5</v>
      </c>
      <c r="E212" s="11">
        <v>0.80926420797553855</v>
      </c>
      <c r="F212" s="11">
        <v>0.11207082497893665</v>
      </c>
      <c r="G212" s="11">
        <v>0.9038990327846067</v>
      </c>
    </row>
    <row r="213" spans="1:7" x14ac:dyDescent="0.25">
      <c r="C213" s="12">
        <v>1</v>
      </c>
      <c r="D213" s="11">
        <v>1</v>
      </c>
      <c r="E213" s="11">
        <v>0.57664977093076919</v>
      </c>
      <c r="F213" s="11">
        <v>0.77853736812744556</v>
      </c>
      <c r="G213" s="11">
        <v>1</v>
      </c>
    </row>
    <row r="215" spans="1:7" x14ac:dyDescent="0.25">
      <c r="A215" s="1" t="s">
        <v>0</v>
      </c>
      <c r="B215" s="1" t="s">
        <v>1</v>
      </c>
      <c r="C215" s="1" t="s">
        <v>2</v>
      </c>
      <c r="D215" s="1" t="s">
        <v>3</v>
      </c>
      <c r="E215" s="1" t="s">
        <v>4</v>
      </c>
      <c r="F215" s="1" t="s">
        <v>5</v>
      </c>
      <c r="G215" s="1" t="s">
        <v>6</v>
      </c>
    </row>
    <row r="216" spans="1:7" x14ac:dyDescent="0.25">
      <c r="A216" s="2" t="s">
        <v>23</v>
      </c>
      <c r="B216" s="8" t="s">
        <v>24</v>
      </c>
      <c r="C216" s="2">
        <v>1</v>
      </c>
      <c r="D216" s="3">
        <v>2688475.9724428668</v>
      </c>
      <c r="E216" s="3">
        <v>22918.622383440001</v>
      </c>
      <c r="F216" s="4">
        <v>1.411209606183382E-2</v>
      </c>
      <c r="G216" s="4">
        <v>6.7540592802753808E-4</v>
      </c>
    </row>
    <row r="217" spans="1:7" x14ac:dyDescent="0.25">
      <c r="A217" s="2" t="s">
        <v>23</v>
      </c>
      <c r="B217" s="8" t="s">
        <v>24</v>
      </c>
      <c r="C217" s="2">
        <v>2</v>
      </c>
      <c r="D217" s="3">
        <v>2199098.9702055152</v>
      </c>
      <c r="E217" s="3">
        <v>27186.587841839999</v>
      </c>
      <c r="F217" s="4">
        <v>1.428164445640567E-2</v>
      </c>
      <c r="G217" s="4">
        <v>1.063284111568874E-3</v>
      </c>
    </row>
    <row r="218" spans="1:7" x14ac:dyDescent="0.25">
      <c r="A218" s="2" t="s">
        <v>23</v>
      </c>
      <c r="B218" s="8" t="s">
        <v>24</v>
      </c>
      <c r="C218" s="2">
        <v>3</v>
      </c>
      <c r="D218" s="3">
        <v>2110825.0242093089</v>
      </c>
      <c r="E218" s="3">
        <v>36820.330575920001</v>
      </c>
      <c r="F218" s="4">
        <v>1.1388913987487259E-2</v>
      </c>
      <c r="G218" s="4">
        <v>1.346627653376551E-3</v>
      </c>
    </row>
    <row r="219" spans="1:7" x14ac:dyDescent="0.25">
      <c r="A219" s="2" t="s">
        <v>23</v>
      </c>
      <c r="B219" s="8" t="s">
        <v>24</v>
      </c>
      <c r="C219" s="2">
        <v>4</v>
      </c>
      <c r="D219" s="3">
        <v>2060147.693651289</v>
      </c>
      <c r="E219" s="3">
        <v>24111.565200000001</v>
      </c>
      <c r="F219" s="4">
        <v>1.6816288641435851E-2</v>
      </c>
      <c r="G219" s="4">
        <v>4.7603910840263489E-4</v>
      </c>
    </row>
    <row r="221" spans="1:7" x14ac:dyDescent="0.25">
      <c r="B221" s="7" t="s">
        <v>40</v>
      </c>
      <c r="D221" s="3">
        <f>AVERAGE(D216:D217)</f>
        <v>2443787.471324191</v>
      </c>
      <c r="E221" s="3">
        <f t="shared" ref="E221:G221" si="38">AVERAGE(E216:E217)</f>
        <v>25052.605112639998</v>
      </c>
      <c r="F221" s="4">
        <f t="shared" si="38"/>
        <v>1.4196870259119745E-2</v>
      </c>
      <c r="G221" s="4">
        <f t="shared" si="38"/>
        <v>8.6934501979820604E-4</v>
      </c>
    </row>
    <row r="222" spans="1:7" x14ac:dyDescent="0.25">
      <c r="B222" s="7" t="s">
        <v>41</v>
      </c>
      <c r="D222" s="3">
        <f>AVERAGE(D218:D219)</f>
        <v>2085486.3589302991</v>
      </c>
      <c r="E222" s="3">
        <f t="shared" ref="E222:G222" si="39">AVERAGE(E218:E219)</f>
        <v>30465.947887959999</v>
      </c>
      <c r="F222" s="4">
        <f t="shared" si="39"/>
        <v>1.4102601314461555E-2</v>
      </c>
      <c r="G222" s="4">
        <f t="shared" si="39"/>
        <v>9.1133338088959293E-4</v>
      </c>
    </row>
    <row r="224" spans="1:7" x14ac:dyDescent="0.25">
      <c r="C224" s="7" t="s">
        <v>42</v>
      </c>
      <c r="D224" s="3">
        <f>D221/D222</f>
        <v>1.1718069796331221</v>
      </c>
      <c r="E224" s="3">
        <f t="shared" ref="E224:G224" si="40">E221/E222</f>
        <v>0.82231497292558131</v>
      </c>
      <c r="F224" s="3">
        <f t="shared" si="40"/>
        <v>1.0066845075285169</v>
      </c>
      <c r="G224" s="3">
        <f t="shared" si="40"/>
        <v>0.95392645329154935</v>
      </c>
    </row>
    <row r="226" spans="1:12" x14ac:dyDescent="0.25">
      <c r="C226" s="2">
        <f>MAX(C216:C219)</f>
        <v>4</v>
      </c>
      <c r="D226" s="2">
        <f t="shared" ref="D226:G226" si="41">MAX(D216:D219)</f>
        <v>2688475.9724428668</v>
      </c>
      <c r="E226" s="2">
        <f t="shared" si="41"/>
        <v>36820.330575920001</v>
      </c>
      <c r="F226" s="2">
        <f t="shared" si="41"/>
        <v>1.6816288641435851E-2</v>
      </c>
      <c r="G226" s="2">
        <f t="shared" si="41"/>
        <v>1.346627653376551E-3</v>
      </c>
    </row>
    <row r="227" spans="1:12" x14ac:dyDescent="0.25">
      <c r="C227" s="10" t="s">
        <v>43</v>
      </c>
      <c r="D227" s="10" t="s">
        <v>3</v>
      </c>
      <c r="E227" s="1" t="s">
        <v>4</v>
      </c>
      <c r="F227" s="1" t="s">
        <v>5</v>
      </c>
      <c r="G227" s="1" t="s">
        <v>6</v>
      </c>
      <c r="J227" s="2"/>
      <c r="K227" s="10" t="s">
        <v>44</v>
      </c>
      <c r="L227" s="10" t="s">
        <v>45</v>
      </c>
    </row>
    <row r="228" spans="1:12" x14ac:dyDescent="0.25">
      <c r="C228" s="2">
        <f t="shared" ref="C228:G231" si="42">C216/C$226</f>
        <v>0.25</v>
      </c>
      <c r="D228" s="2">
        <f t="shared" si="42"/>
        <v>1</v>
      </c>
      <c r="E228" s="2">
        <f t="shared" si="42"/>
        <v>0.62244477507294493</v>
      </c>
      <c r="F228" s="2">
        <f t="shared" si="42"/>
        <v>0.83919206923346823</v>
      </c>
      <c r="G228" s="2">
        <f t="shared" si="42"/>
        <v>0.50155358560624896</v>
      </c>
      <c r="J228" s="10">
        <v>23</v>
      </c>
      <c r="K228" s="3">
        <f>0.5*(D213*E213+E213*F213+F213*G213+G213*D213)</f>
        <v>1.4020652670249751</v>
      </c>
      <c r="L228" s="3">
        <f>0.5*(D210*E210+E210*F210+F210*G210+G210*D210)</f>
        <v>1.0995183126440389</v>
      </c>
    </row>
    <row r="229" spans="1:12" x14ac:dyDescent="0.25">
      <c r="C229" s="2">
        <f t="shared" si="42"/>
        <v>0.5</v>
      </c>
      <c r="D229" s="2">
        <f t="shared" si="42"/>
        <v>0.81797233553377002</v>
      </c>
      <c r="E229" s="2">
        <f t="shared" si="42"/>
        <v>0.73835805970790658</v>
      </c>
      <c r="F229" s="2">
        <f t="shared" si="42"/>
        <v>0.84927446007410101</v>
      </c>
      <c r="G229" s="2">
        <f t="shared" si="42"/>
        <v>0.78959028422057287</v>
      </c>
    </row>
    <row r="230" spans="1:12" x14ac:dyDescent="0.25">
      <c r="C230" s="2">
        <f t="shared" si="42"/>
        <v>0.75</v>
      </c>
      <c r="D230" s="2">
        <f t="shared" si="42"/>
        <v>0.78513813991475667</v>
      </c>
      <c r="E230" s="2">
        <f t="shared" si="42"/>
        <v>1</v>
      </c>
      <c r="F230" s="2">
        <f t="shared" si="42"/>
        <v>0.67725490625943618</v>
      </c>
      <c r="G230" s="2">
        <f t="shared" si="42"/>
        <v>1</v>
      </c>
    </row>
    <row r="231" spans="1:12" x14ac:dyDescent="0.25">
      <c r="C231" s="2">
        <f t="shared" si="42"/>
        <v>1</v>
      </c>
      <c r="D231" s="2">
        <f t="shared" si="42"/>
        <v>0.76628830414256921</v>
      </c>
      <c r="E231" s="2">
        <f t="shared" si="42"/>
        <v>0.65484380022836186</v>
      </c>
      <c r="F231" s="2">
        <f t="shared" si="42"/>
        <v>1</v>
      </c>
      <c r="G231" s="2">
        <f t="shared" si="42"/>
        <v>0.3535046285504449</v>
      </c>
    </row>
    <row r="233" spans="1:12" x14ac:dyDescent="0.25">
      <c r="C233" s="10" t="s">
        <v>3</v>
      </c>
      <c r="D233" s="10" t="s">
        <v>43</v>
      </c>
      <c r="E233" s="10" t="s">
        <v>4</v>
      </c>
      <c r="F233" s="10" t="s">
        <v>5</v>
      </c>
      <c r="G233" s="10" t="s">
        <v>6</v>
      </c>
    </row>
    <row r="234" spans="1:12" x14ac:dyDescent="0.25">
      <c r="C234" s="3">
        <v>0.76628830414256921</v>
      </c>
      <c r="D234" s="2">
        <v>1</v>
      </c>
      <c r="E234" s="2">
        <v>0.65484380022836186</v>
      </c>
      <c r="F234" s="2">
        <v>1</v>
      </c>
      <c r="G234" s="2">
        <v>0.3535046285504449</v>
      </c>
    </row>
    <row r="235" spans="1:12" x14ac:dyDescent="0.25">
      <c r="C235" s="3">
        <v>0.78513813991475667</v>
      </c>
      <c r="D235" s="2">
        <v>0.75</v>
      </c>
      <c r="E235" s="2">
        <v>1</v>
      </c>
      <c r="F235" s="2">
        <v>0.67725490625943618</v>
      </c>
      <c r="G235" s="2">
        <v>1</v>
      </c>
    </row>
    <row r="236" spans="1:12" x14ac:dyDescent="0.25">
      <c r="C236" s="3">
        <v>0.81797233553377002</v>
      </c>
      <c r="D236" s="2">
        <v>0.5</v>
      </c>
      <c r="E236" s="2">
        <v>0.73835805970790658</v>
      </c>
      <c r="F236" s="2">
        <v>0.84927446007410101</v>
      </c>
      <c r="G236" s="2">
        <v>0.78959028422057287</v>
      </c>
    </row>
    <row r="237" spans="1:12" x14ac:dyDescent="0.25">
      <c r="C237" s="3">
        <v>1</v>
      </c>
      <c r="D237" s="2">
        <v>0.25</v>
      </c>
      <c r="E237" s="2">
        <v>0.62244477507294493</v>
      </c>
      <c r="F237" s="2">
        <v>0.83919206923346823</v>
      </c>
      <c r="G237" s="2">
        <v>0.50155358560624896</v>
      </c>
    </row>
    <row r="239" spans="1:12" x14ac:dyDescent="0.25">
      <c r="A239" s="1" t="s">
        <v>0</v>
      </c>
      <c r="B239" s="1" t="s">
        <v>1</v>
      </c>
      <c r="C239" s="1" t="s">
        <v>2</v>
      </c>
      <c r="D239" s="1" t="s">
        <v>3</v>
      </c>
      <c r="E239" s="1" t="s">
        <v>4</v>
      </c>
      <c r="F239" s="1" t="s">
        <v>5</v>
      </c>
      <c r="G239" s="1" t="s">
        <v>6</v>
      </c>
    </row>
    <row r="240" spans="1:12" x14ac:dyDescent="0.25">
      <c r="A240" s="2" t="s">
        <v>25</v>
      </c>
      <c r="B240" s="8" t="s">
        <v>26</v>
      </c>
      <c r="C240" s="2">
        <v>4</v>
      </c>
      <c r="D240" s="3">
        <v>1079590.799601601</v>
      </c>
      <c r="E240" s="3">
        <v>29824.255583999999</v>
      </c>
      <c r="F240" s="4">
        <v>1.7700063980245699E-2</v>
      </c>
      <c r="G240" s="4">
        <v>1.8406361575525849E-2</v>
      </c>
    </row>
    <row r="241" spans="1:12" x14ac:dyDescent="0.25">
      <c r="A241" s="2" t="s">
        <v>25</v>
      </c>
      <c r="B241" s="8" t="s">
        <v>26</v>
      </c>
      <c r="C241" s="2">
        <v>3</v>
      </c>
      <c r="D241" s="3">
        <v>917032.53729645221</v>
      </c>
      <c r="E241" s="3">
        <v>21948.7441788</v>
      </c>
      <c r="F241" s="4">
        <v>5.1385668600091312E-2</v>
      </c>
      <c r="G241" s="4">
        <v>1.045825844659099E-3</v>
      </c>
    </row>
    <row r="242" spans="1:12" x14ac:dyDescent="0.25">
      <c r="A242" s="2" t="s">
        <v>25</v>
      </c>
      <c r="B242" s="8" t="s">
        <v>26</v>
      </c>
      <c r="C242" s="2">
        <v>2</v>
      </c>
      <c r="D242" s="3">
        <v>802566.08061441511</v>
      </c>
      <c r="E242" s="3">
        <v>12046.641059559999</v>
      </c>
      <c r="F242" s="4">
        <v>1.264319260007594E-2</v>
      </c>
      <c r="G242" s="4">
        <v>9.2646432850616075E-4</v>
      </c>
    </row>
    <row r="243" spans="1:12" x14ac:dyDescent="0.25">
      <c r="A243" s="2" t="s">
        <v>25</v>
      </c>
      <c r="B243" s="8" t="s">
        <v>26</v>
      </c>
      <c r="C243" s="2">
        <v>1</v>
      </c>
      <c r="D243" s="3">
        <v>774599.50938466226</v>
      </c>
      <c r="E243" s="3">
        <v>31768.917493320001</v>
      </c>
      <c r="F243" s="4">
        <v>4.5024994770462897E-3</v>
      </c>
      <c r="G243" s="4">
        <v>6.1504127372638605E-4</v>
      </c>
    </row>
    <row r="245" spans="1:12" x14ac:dyDescent="0.25">
      <c r="B245" s="7" t="s">
        <v>40</v>
      </c>
      <c r="D245" s="3">
        <f>AVERAGE(D240:D241)</f>
        <v>998311.66844902653</v>
      </c>
      <c r="E245" s="3">
        <f t="shared" ref="E245:G245" si="43">AVERAGE(E240:E241)</f>
        <v>25886.499881399999</v>
      </c>
      <c r="F245" s="4">
        <f t="shared" si="43"/>
        <v>3.4542866290168506E-2</v>
      </c>
      <c r="G245" s="4">
        <f t="shared" si="43"/>
        <v>9.7260937100924743E-3</v>
      </c>
    </row>
    <row r="246" spans="1:12" x14ac:dyDescent="0.25">
      <c r="B246" s="7" t="s">
        <v>41</v>
      </c>
      <c r="D246" s="3">
        <f>AVERAGE(D242:D243)</f>
        <v>788582.79499953869</v>
      </c>
      <c r="E246" s="3">
        <f t="shared" ref="E246:G246" si="44">AVERAGE(E242:E243)</f>
        <v>21907.77927644</v>
      </c>
      <c r="F246" s="4">
        <f t="shared" si="44"/>
        <v>8.5728460385611147E-3</v>
      </c>
      <c r="G246" s="4">
        <f t="shared" si="44"/>
        <v>7.7075280111627334E-4</v>
      </c>
    </row>
    <row r="248" spans="1:12" x14ac:dyDescent="0.25">
      <c r="C248" s="7" t="s">
        <v>42</v>
      </c>
      <c r="D248" s="3">
        <f>D245/D246</f>
        <v>1.2659566944389276</v>
      </c>
      <c r="E248" s="3">
        <f t="shared" ref="E248:G248" si="45">E245/E246</f>
        <v>1.1816122280015293</v>
      </c>
      <c r="F248" s="3">
        <f t="shared" si="45"/>
        <v>4.0293347314057506</v>
      </c>
      <c r="G248" s="3">
        <f t="shared" si="45"/>
        <v>12.618953438776055</v>
      </c>
    </row>
    <row r="250" spans="1:12" x14ac:dyDescent="0.25">
      <c r="C250" s="2">
        <f>MAX(C240:C243)</f>
        <v>4</v>
      </c>
      <c r="D250" s="2">
        <f t="shared" ref="D250:G250" si="46">MAX(D240:D243)</f>
        <v>1079590.799601601</v>
      </c>
      <c r="E250" s="2">
        <f t="shared" si="46"/>
        <v>31768.917493320001</v>
      </c>
      <c r="F250" s="2">
        <f t="shared" si="46"/>
        <v>5.1385668600091312E-2</v>
      </c>
      <c r="G250" s="2">
        <f t="shared" si="46"/>
        <v>1.8406361575525849E-2</v>
      </c>
    </row>
    <row r="251" spans="1:12" x14ac:dyDescent="0.25">
      <c r="C251" s="10" t="s">
        <v>43</v>
      </c>
      <c r="D251" s="10" t="s">
        <v>3</v>
      </c>
      <c r="E251" s="1" t="s">
        <v>4</v>
      </c>
      <c r="F251" s="1" t="s">
        <v>5</v>
      </c>
      <c r="G251" s="1" t="s">
        <v>6</v>
      </c>
      <c r="J251" s="2"/>
      <c r="K251" s="10" t="s">
        <v>44</v>
      </c>
      <c r="L251" s="10" t="s">
        <v>45</v>
      </c>
    </row>
    <row r="252" spans="1:12" x14ac:dyDescent="0.25">
      <c r="C252" s="2">
        <f t="shared" ref="C252:G255" si="47">C240/C$250</f>
        <v>1</v>
      </c>
      <c r="D252" s="2">
        <f t="shared" si="47"/>
        <v>1</v>
      </c>
      <c r="E252" s="2">
        <f t="shared" si="47"/>
        <v>0.93878727817122176</v>
      </c>
      <c r="F252" s="2">
        <f t="shared" si="47"/>
        <v>0.34445526276978805</v>
      </c>
      <c r="G252" s="2">
        <f t="shared" si="47"/>
        <v>1</v>
      </c>
      <c r="J252" s="10">
        <v>24</v>
      </c>
      <c r="K252" s="3">
        <f>0.5*(D237*E237+E237*F237+F237*G237+G237*D237)</f>
        <v>0.61212505014159868</v>
      </c>
      <c r="L252" s="3">
        <f>0.5*(D234*E234+E234*F234+F234*G234+G234*D234)</f>
        <v>1.0083484287788067</v>
      </c>
    </row>
    <row r="253" spans="1:12" x14ac:dyDescent="0.25">
      <c r="C253" s="2">
        <f t="shared" si="47"/>
        <v>0.75</v>
      </c>
      <c r="D253" s="2">
        <f t="shared" si="47"/>
        <v>0.84942603960209995</v>
      </c>
      <c r="E253" s="2">
        <f t="shared" si="47"/>
        <v>0.69088738020157991</v>
      </c>
      <c r="F253" s="2">
        <f t="shared" si="47"/>
        <v>1</v>
      </c>
      <c r="G253" s="2">
        <f t="shared" si="47"/>
        <v>5.6818716744632944E-2</v>
      </c>
    </row>
    <row r="254" spans="1:12" x14ac:dyDescent="0.25">
      <c r="C254" s="2">
        <f t="shared" si="47"/>
        <v>0.5</v>
      </c>
      <c r="D254" s="2">
        <f t="shared" si="47"/>
        <v>0.74339840698029691</v>
      </c>
      <c r="E254" s="2">
        <f t="shared" si="47"/>
        <v>0.37919583070757845</v>
      </c>
      <c r="F254" s="2">
        <f t="shared" si="47"/>
        <v>0.24604511227578876</v>
      </c>
      <c r="G254" s="2">
        <f t="shared" si="47"/>
        <v>5.0333919862687079E-2</v>
      </c>
    </row>
    <row r="255" spans="1:12" x14ac:dyDescent="0.25">
      <c r="C255" s="2">
        <f t="shared" si="47"/>
        <v>0.25</v>
      </c>
      <c r="D255" s="2">
        <f t="shared" si="47"/>
        <v>0.71749361857336225</v>
      </c>
      <c r="E255" s="2">
        <f t="shared" si="47"/>
        <v>1</v>
      </c>
      <c r="F255" s="2">
        <f t="shared" si="47"/>
        <v>8.7621696860402221E-2</v>
      </c>
      <c r="G255" s="2">
        <f t="shared" si="47"/>
        <v>3.3414603489272977E-2</v>
      </c>
    </row>
    <row r="257" spans="1:7" x14ac:dyDescent="0.25">
      <c r="C257" s="10" t="s">
        <v>3</v>
      </c>
      <c r="D257" s="10" t="s">
        <v>43</v>
      </c>
      <c r="E257" s="10" t="s">
        <v>4</v>
      </c>
      <c r="F257" s="10" t="s">
        <v>5</v>
      </c>
      <c r="G257" s="10" t="s">
        <v>6</v>
      </c>
    </row>
    <row r="258" spans="1:7" x14ac:dyDescent="0.25">
      <c r="C258" s="3">
        <v>0.71749361857336225</v>
      </c>
      <c r="D258" s="2">
        <v>0.25</v>
      </c>
      <c r="E258" s="2">
        <v>1</v>
      </c>
      <c r="F258" s="2">
        <v>8.7621696860402221E-2</v>
      </c>
      <c r="G258" s="2">
        <v>3.3414603489272977E-2</v>
      </c>
    </row>
    <row r="259" spans="1:7" x14ac:dyDescent="0.25">
      <c r="C259" s="3">
        <v>0.74339840698029691</v>
      </c>
      <c r="D259" s="2">
        <v>0.5</v>
      </c>
      <c r="E259" s="2">
        <v>0.37919583070757845</v>
      </c>
      <c r="F259" s="2">
        <v>0.24604511227578876</v>
      </c>
      <c r="G259" s="2">
        <v>5.0333919862687079E-2</v>
      </c>
    </row>
    <row r="260" spans="1:7" x14ac:dyDescent="0.25">
      <c r="C260" s="3">
        <v>0.84942603960209995</v>
      </c>
      <c r="D260" s="2">
        <v>0.75</v>
      </c>
      <c r="E260" s="2">
        <v>0.69088738020157991</v>
      </c>
      <c r="F260" s="2">
        <v>1</v>
      </c>
      <c r="G260" s="2">
        <v>5.6818716744632944E-2</v>
      </c>
    </row>
    <row r="261" spans="1:7" x14ac:dyDescent="0.25">
      <c r="C261" s="3">
        <v>1</v>
      </c>
      <c r="D261" s="2">
        <v>1</v>
      </c>
      <c r="E261" s="2">
        <v>0.93878727817122176</v>
      </c>
      <c r="F261" s="2">
        <v>0.34445526276978805</v>
      </c>
      <c r="G261" s="2">
        <v>1</v>
      </c>
    </row>
    <row r="263" spans="1:7" x14ac:dyDescent="0.25">
      <c r="A263" s="1" t="s">
        <v>0</v>
      </c>
      <c r="B263" s="1" t="s">
        <v>1</v>
      </c>
      <c r="C263" s="1" t="s">
        <v>2</v>
      </c>
      <c r="D263" s="1" t="s">
        <v>3</v>
      </c>
      <c r="E263" s="1" t="s">
        <v>4</v>
      </c>
      <c r="F263" s="1" t="s">
        <v>5</v>
      </c>
      <c r="G263" s="1" t="s">
        <v>6</v>
      </c>
    </row>
    <row r="264" spans="1:7" x14ac:dyDescent="0.25">
      <c r="A264" s="2" t="s">
        <v>27</v>
      </c>
      <c r="B264" s="8" t="s">
        <v>28</v>
      </c>
      <c r="C264" s="2">
        <v>4</v>
      </c>
      <c r="D264" s="3">
        <v>702640.28510284843</v>
      </c>
      <c r="E264" s="3">
        <v>24692.815392</v>
      </c>
      <c r="F264" s="4">
        <v>1.2473785395074479E-2</v>
      </c>
      <c r="G264" s="4">
        <v>1.210844187888221E-3</v>
      </c>
    </row>
    <row r="265" spans="1:7" x14ac:dyDescent="0.25">
      <c r="A265" s="2" t="s">
        <v>27</v>
      </c>
      <c r="B265" s="8" t="s">
        <v>28</v>
      </c>
      <c r="C265" s="2">
        <v>3</v>
      </c>
      <c r="D265" s="3">
        <v>648523.59030139784</v>
      </c>
      <c r="E265" s="3">
        <v>20365.73930736</v>
      </c>
      <c r="F265" s="4">
        <v>2.3285205202868371E-2</v>
      </c>
      <c r="G265" s="4">
        <v>1.5783067550306741E-3</v>
      </c>
    </row>
    <row r="266" spans="1:7" x14ac:dyDescent="0.25">
      <c r="A266" s="2" t="s">
        <v>27</v>
      </c>
      <c r="B266" s="8" t="s">
        <v>28</v>
      </c>
      <c r="C266" s="2">
        <v>2</v>
      </c>
      <c r="D266" s="3">
        <v>525586.90611574077</v>
      </c>
      <c r="E266" s="3">
        <v>57596.7124071</v>
      </c>
      <c r="F266" s="4">
        <v>6.9328647193893768E-4</v>
      </c>
      <c r="G266" s="4">
        <v>1.2640594598421069E-2</v>
      </c>
    </row>
    <row r="267" spans="1:7" x14ac:dyDescent="0.25">
      <c r="A267" s="2" t="s">
        <v>27</v>
      </c>
      <c r="B267" s="8" t="s">
        <v>28</v>
      </c>
      <c r="C267" s="2">
        <v>1</v>
      </c>
      <c r="D267" s="3">
        <v>489831.22166003252</v>
      </c>
      <c r="E267" s="3">
        <v>28233.8392518</v>
      </c>
      <c r="F267" s="4">
        <v>1.7629362658082969E-3</v>
      </c>
      <c r="G267" s="4">
        <v>1.091290811894655E-3</v>
      </c>
    </row>
    <row r="269" spans="1:7" x14ac:dyDescent="0.25">
      <c r="B269" s="7" t="s">
        <v>40</v>
      </c>
      <c r="D269" s="3">
        <f>AVERAGE(D264:D265)</f>
        <v>675581.93770212308</v>
      </c>
      <c r="E269" s="3">
        <f t="shared" ref="E269:G269" si="48">AVERAGE(E264:E265)</f>
        <v>22529.27734968</v>
      </c>
      <c r="F269" s="4">
        <f t="shared" si="48"/>
        <v>1.7879495298971426E-2</v>
      </c>
      <c r="G269" s="4">
        <f t="shared" si="48"/>
        <v>1.3945754714594475E-3</v>
      </c>
    </row>
    <row r="270" spans="1:7" x14ac:dyDescent="0.25">
      <c r="B270" s="7" t="s">
        <v>41</v>
      </c>
      <c r="D270" s="3">
        <f>AVERAGE(D266:D267)</f>
        <v>507709.06388788664</v>
      </c>
      <c r="E270" s="3">
        <f t="shared" ref="E270:G270" si="49">AVERAGE(E266:E267)</f>
        <v>42915.275829450002</v>
      </c>
      <c r="F270" s="4">
        <f t="shared" si="49"/>
        <v>1.2281113688736172E-3</v>
      </c>
      <c r="G270" s="4">
        <f t="shared" si="49"/>
        <v>6.8659427051578625E-3</v>
      </c>
    </row>
    <row r="272" spans="1:7" x14ac:dyDescent="0.25">
      <c r="C272" s="7" t="s">
        <v>42</v>
      </c>
      <c r="D272" s="3">
        <f>D269/D270</f>
        <v>1.3306477779394272</v>
      </c>
      <c r="E272" s="3">
        <f t="shared" ref="E272:G272" si="50">E269/E270</f>
        <v>0.52497104851926879</v>
      </c>
      <c r="F272" s="3">
        <f t="shared" si="50"/>
        <v>14.558529260558757</v>
      </c>
      <c r="G272" s="3">
        <f t="shared" si="50"/>
        <v>0.20311492992969613</v>
      </c>
    </row>
    <row r="274" spans="1:12" x14ac:dyDescent="0.25">
      <c r="C274" s="2">
        <f>MAX(C264:C267)</f>
        <v>4</v>
      </c>
      <c r="D274" s="2">
        <f t="shared" ref="D274:G274" si="51">MAX(D264:D267)</f>
        <v>702640.28510284843</v>
      </c>
      <c r="E274" s="2">
        <f t="shared" si="51"/>
        <v>57596.7124071</v>
      </c>
      <c r="F274" s="2">
        <f t="shared" si="51"/>
        <v>2.3285205202868371E-2</v>
      </c>
      <c r="G274" s="2">
        <f t="shared" si="51"/>
        <v>1.2640594598421069E-2</v>
      </c>
    </row>
    <row r="275" spans="1:12" x14ac:dyDescent="0.25">
      <c r="C275" s="10" t="s">
        <v>43</v>
      </c>
      <c r="D275" s="10" t="s">
        <v>3</v>
      </c>
      <c r="E275" s="1" t="s">
        <v>4</v>
      </c>
      <c r="F275" s="1" t="s">
        <v>5</v>
      </c>
      <c r="G275" s="1" t="s">
        <v>6</v>
      </c>
      <c r="J275" s="2"/>
      <c r="K275" s="10" t="s">
        <v>44</v>
      </c>
      <c r="L275" s="10" t="s">
        <v>45</v>
      </c>
    </row>
    <row r="276" spans="1:12" x14ac:dyDescent="0.25">
      <c r="C276" s="2">
        <f t="shared" ref="C276:G279" si="52">C264/C$274</f>
        <v>1</v>
      </c>
      <c r="D276" s="2">
        <f t="shared" si="52"/>
        <v>1</v>
      </c>
      <c r="E276" s="2">
        <f t="shared" si="52"/>
        <v>0.4287191813565403</v>
      </c>
      <c r="F276" s="2">
        <f t="shared" si="52"/>
        <v>0.53569574699465849</v>
      </c>
      <c r="G276" s="2">
        <f t="shared" si="52"/>
        <v>9.5790129052906028E-2</v>
      </c>
      <c r="J276" s="10">
        <v>25</v>
      </c>
      <c r="K276" s="3">
        <f>0.5*(D261*E261+E261*F261+F261*G261+G261*D261)</f>
        <v>1.3033063797642059</v>
      </c>
      <c r="L276" s="3">
        <f>0.5*(D258*E258+E258*F258+F258*G258+G258*D258)</f>
        <v>0.17445159599518406</v>
      </c>
    </row>
    <row r="277" spans="1:12" x14ac:dyDescent="0.25">
      <c r="C277" s="2">
        <f t="shared" si="52"/>
        <v>0.75</v>
      </c>
      <c r="D277" s="2">
        <f t="shared" si="52"/>
        <v>0.9229809392532492</v>
      </c>
      <c r="E277" s="2">
        <f t="shared" si="52"/>
        <v>0.3535920446884655</v>
      </c>
      <c r="F277" s="2">
        <f t="shared" si="52"/>
        <v>1</v>
      </c>
      <c r="G277" s="2">
        <f t="shared" si="52"/>
        <v>0.12486016719718387</v>
      </c>
    </row>
    <row r="278" spans="1:12" x14ac:dyDescent="0.25">
      <c r="C278" s="2">
        <f t="shared" si="52"/>
        <v>0.5</v>
      </c>
      <c r="D278" s="2">
        <f t="shared" si="52"/>
        <v>0.74801703981263812</v>
      </c>
      <c r="E278" s="2">
        <f t="shared" si="52"/>
        <v>1</v>
      </c>
      <c r="F278" s="2">
        <f t="shared" si="52"/>
        <v>2.9773689598128844E-2</v>
      </c>
      <c r="G278" s="2">
        <f t="shared" si="52"/>
        <v>1</v>
      </c>
    </row>
    <row r="279" spans="1:12" x14ac:dyDescent="0.25">
      <c r="C279" s="2">
        <f t="shared" si="52"/>
        <v>0.25</v>
      </c>
      <c r="D279" s="2">
        <f t="shared" si="52"/>
        <v>0.69712943030064645</v>
      </c>
      <c r="E279" s="2">
        <f t="shared" si="52"/>
        <v>0.49019879906061425</v>
      </c>
      <c r="F279" s="2">
        <f t="shared" si="52"/>
        <v>7.571057460945764E-2</v>
      </c>
      <c r="G279" s="2">
        <f t="shared" si="52"/>
        <v>8.6332237253377908E-2</v>
      </c>
    </row>
    <row r="281" spans="1:12" x14ac:dyDescent="0.25">
      <c r="C281" s="10" t="s">
        <v>3</v>
      </c>
      <c r="D281" s="10" t="s">
        <v>43</v>
      </c>
      <c r="E281" s="10" t="s">
        <v>4</v>
      </c>
      <c r="F281" s="10" t="s">
        <v>5</v>
      </c>
      <c r="G281" s="10" t="s">
        <v>6</v>
      </c>
    </row>
    <row r="282" spans="1:12" x14ac:dyDescent="0.25">
      <c r="C282" s="3">
        <v>0.69712943030064645</v>
      </c>
      <c r="D282" s="2">
        <v>0.25</v>
      </c>
      <c r="E282" s="2">
        <v>0.49019879906061425</v>
      </c>
      <c r="F282" s="2">
        <v>7.571057460945764E-2</v>
      </c>
      <c r="G282" s="2">
        <v>8.6332237253377908E-2</v>
      </c>
    </row>
    <row r="283" spans="1:12" x14ac:dyDescent="0.25">
      <c r="C283" s="3">
        <v>0.74801703981263812</v>
      </c>
      <c r="D283" s="2">
        <v>0.5</v>
      </c>
      <c r="E283" s="2">
        <v>1</v>
      </c>
      <c r="F283" s="2">
        <v>2.9773689598128844E-2</v>
      </c>
      <c r="G283" s="2">
        <v>1</v>
      </c>
    </row>
    <row r="284" spans="1:12" x14ac:dyDescent="0.25">
      <c r="C284" s="3">
        <v>0.9229809392532492</v>
      </c>
      <c r="D284" s="2">
        <v>0.75</v>
      </c>
      <c r="E284" s="2">
        <v>0.3535920446884655</v>
      </c>
      <c r="F284" s="2">
        <v>1</v>
      </c>
      <c r="G284" s="2">
        <v>0.12486016719718387</v>
      </c>
    </row>
    <row r="285" spans="1:12" x14ac:dyDescent="0.25">
      <c r="C285" s="3">
        <v>1</v>
      </c>
      <c r="D285" s="2">
        <v>1</v>
      </c>
      <c r="E285" s="2">
        <v>0.4287191813565403</v>
      </c>
      <c r="F285" s="2">
        <v>0.53569574699465849</v>
      </c>
      <c r="G285" s="2">
        <v>9.5790129052906028E-2</v>
      </c>
    </row>
    <row r="287" spans="1:12" x14ac:dyDescent="0.25">
      <c r="A287" s="1" t="s">
        <v>0</v>
      </c>
      <c r="B287" s="1" t="s">
        <v>1</v>
      </c>
      <c r="C287" s="1" t="s">
        <v>2</v>
      </c>
      <c r="D287" s="1" t="s">
        <v>3</v>
      </c>
      <c r="E287" s="1" t="s">
        <v>4</v>
      </c>
      <c r="F287" s="1" t="s">
        <v>5</v>
      </c>
      <c r="G287" s="1" t="s">
        <v>6</v>
      </c>
    </row>
    <row r="288" spans="1:12" x14ac:dyDescent="0.25">
      <c r="A288" s="2" t="s">
        <v>29</v>
      </c>
      <c r="B288" s="8" t="s">
        <v>30</v>
      </c>
      <c r="C288" s="2">
        <v>4</v>
      </c>
      <c r="D288" s="3">
        <v>333902.21266145178</v>
      </c>
      <c r="E288" s="3">
        <v>6590.0541599999997</v>
      </c>
      <c r="F288" s="4">
        <v>3.968817154607421E-3</v>
      </c>
      <c r="G288" s="4">
        <v>1.4273582237145071E-3</v>
      </c>
    </row>
    <row r="289" spans="1:12" x14ac:dyDescent="0.25">
      <c r="A289" s="2" t="s">
        <v>29</v>
      </c>
      <c r="B289" s="8" t="s">
        <v>30</v>
      </c>
      <c r="C289" s="2">
        <v>3</v>
      </c>
      <c r="D289" s="3">
        <v>289865.32010952412</v>
      </c>
      <c r="E289" s="3">
        <v>5130.8202951200001</v>
      </c>
      <c r="F289" s="4">
        <v>7.1409024001186736E-3</v>
      </c>
      <c r="G289" s="4">
        <v>1.6292149323472839E-3</v>
      </c>
    </row>
    <row r="290" spans="1:12" x14ac:dyDescent="0.25">
      <c r="A290" s="2" t="s">
        <v>29</v>
      </c>
      <c r="B290" s="8" t="s">
        <v>30</v>
      </c>
      <c r="C290" s="2">
        <v>2</v>
      </c>
      <c r="D290" s="3">
        <v>259818.50988372459</v>
      </c>
      <c r="E290" s="3">
        <v>45922.658233419999</v>
      </c>
      <c r="F290" s="4">
        <v>4.0433840100499702E-5</v>
      </c>
      <c r="G290" s="4">
        <v>1.5232724169502069E-4</v>
      </c>
    </row>
    <row r="291" spans="1:12" x14ac:dyDescent="0.25">
      <c r="A291" s="2" t="s">
        <v>29</v>
      </c>
      <c r="B291" s="8" t="s">
        <v>30</v>
      </c>
      <c r="C291" s="2">
        <v>1</v>
      </c>
      <c r="D291" s="3">
        <v>234189.89306239539</v>
      </c>
      <c r="E291" s="3">
        <v>4733.3383234200001</v>
      </c>
      <c r="F291" s="4">
        <v>6.6356632156617178E-4</v>
      </c>
      <c r="G291" s="4">
        <v>3.1476572520248271E-3</v>
      </c>
    </row>
    <row r="293" spans="1:12" x14ac:dyDescent="0.25">
      <c r="B293" s="7" t="s">
        <v>40</v>
      </c>
      <c r="D293" s="3">
        <f>AVERAGE(D288:D289)</f>
        <v>311883.76638548798</v>
      </c>
      <c r="E293" s="3">
        <f t="shared" ref="E293:G293" si="53">AVERAGE(E288:E289)</f>
        <v>5860.4372275599999</v>
      </c>
      <c r="F293" s="4">
        <f t="shared" si="53"/>
        <v>5.5548597773630477E-3</v>
      </c>
      <c r="G293" s="4">
        <f t="shared" si="53"/>
        <v>1.5282865780308955E-3</v>
      </c>
    </row>
    <row r="294" spans="1:12" x14ac:dyDescent="0.25">
      <c r="B294" s="7" t="s">
        <v>41</v>
      </c>
      <c r="D294" s="3">
        <f>AVERAGE(D290:D291)</f>
        <v>247004.20147306001</v>
      </c>
      <c r="E294" s="3">
        <f t="shared" ref="E294:G294" si="54">AVERAGE(E290:E291)</f>
        <v>25327.99827842</v>
      </c>
      <c r="F294" s="4">
        <f t="shared" si="54"/>
        <v>3.5200008083333573E-4</v>
      </c>
      <c r="G294" s="4">
        <f t="shared" si="54"/>
        <v>1.6499922468599239E-3</v>
      </c>
    </row>
    <row r="296" spans="1:12" x14ac:dyDescent="0.25">
      <c r="C296" s="7" t="s">
        <v>42</v>
      </c>
      <c r="D296" s="3">
        <f>D293/D294</f>
        <v>1.2626658353400688</v>
      </c>
      <c r="E296" s="3">
        <f t="shared" ref="E296:G296" si="55">E293/E294</f>
        <v>0.23138177613322164</v>
      </c>
      <c r="F296" s="3">
        <f t="shared" si="55"/>
        <v>15.780848016319494</v>
      </c>
      <c r="G296" s="3">
        <f t="shared" si="55"/>
        <v>0.9262386419932308</v>
      </c>
    </row>
    <row r="298" spans="1:12" x14ac:dyDescent="0.25">
      <c r="C298" s="2">
        <f>MAX(C288:C291)</f>
        <v>4</v>
      </c>
      <c r="D298" s="2">
        <f t="shared" ref="D298:G298" si="56">MAX(D288:D291)</f>
        <v>333902.21266145178</v>
      </c>
      <c r="E298" s="2">
        <f t="shared" si="56"/>
        <v>45922.658233419999</v>
      </c>
      <c r="F298" s="2">
        <f t="shared" si="56"/>
        <v>7.1409024001186736E-3</v>
      </c>
      <c r="G298" s="2">
        <f t="shared" si="56"/>
        <v>3.1476572520248271E-3</v>
      </c>
    </row>
    <row r="299" spans="1:12" x14ac:dyDescent="0.25">
      <c r="C299" s="10" t="s">
        <v>43</v>
      </c>
      <c r="D299" s="10" t="s">
        <v>3</v>
      </c>
      <c r="E299" s="1" t="s">
        <v>4</v>
      </c>
      <c r="F299" s="1" t="s">
        <v>5</v>
      </c>
      <c r="G299" s="1" t="s">
        <v>6</v>
      </c>
      <c r="J299" s="2"/>
      <c r="K299" s="10" t="s">
        <v>44</v>
      </c>
      <c r="L299" s="10" t="s">
        <v>45</v>
      </c>
    </row>
    <row r="300" spans="1:12" x14ac:dyDescent="0.25">
      <c r="C300" s="2">
        <f t="shared" ref="C300:G303" si="57">C288/C$298</f>
        <v>1</v>
      </c>
      <c r="D300" s="2">
        <f t="shared" si="57"/>
        <v>1</v>
      </c>
      <c r="E300" s="2">
        <f t="shared" si="57"/>
        <v>0.14350332523225146</v>
      </c>
      <c r="F300" s="2">
        <f t="shared" si="57"/>
        <v>0.55578650039264843</v>
      </c>
      <c r="G300" s="2">
        <f t="shared" si="57"/>
        <v>0.45346685151196658</v>
      </c>
      <c r="J300" s="10">
        <v>26</v>
      </c>
      <c r="K300" s="3">
        <f>0.5*(D285*E285+E285*F285+F285*G285+G285*D285)</f>
        <v>0.40274335862744398</v>
      </c>
      <c r="L300" s="3">
        <f>0.5*(D282*E282+E282*F282+F282*G282+G282*D282)</f>
        <v>9.3891127559008247E-2</v>
      </c>
    </row>
    <row r="301" spans="1:12" x14ac:dyDescent="0.25">
      <c r="C301" s="2">
        <f t="shared" si="57"/>
        <v>0.75</v>
      </c>
      <c r="D301" s="2">
        <f t="shared" si="57"/>
        <v>0.86811440331311229</v>
      </c>
      <c r="E301" s="2">
        <f t="shared" si="57"/>
        <v>0.11172742372709753</v>
      </c>
      <c r="F301" s="2">
        <f t="shared" si="57"/>
        <v>1</v>
      </c>
      <c r="G301" s="2">
        <f t="shared" si="57"/>
        <v>0.5175960410871423</v>
      </c>
    </row>
    <row r="302" spans="1:12" x14ac:dyDescent="0.25">
      <c r="C302" s="2">
        <f t="shared" si="57"/>
        <v>0.5</v>
      </c>
      <c r="D302" s="2">
        <f t="shared" si="57"/>
        <v>0.77812754762172931</v>
      </c>
      <c r="E302" s="2">
        <f t="shared" si="57"/>
        <v>1</v>
      </c>
      <c r="F302" s="2">
        <f t="shared" si="57"/>
        <v>5.6622871781342003E-3</v>
      </c>
      <c r="G302" s="2">
        <f t="shared" si="57"/>
        <v>4.8393846438341249E-2</v>
      </c>
    </row>
    <row r="303" spans="1:12" x14ac:dyDescent="0.25">
      <c r="C303" s="2">
        <f t="shared" si="57"/>
        <v>0.25</v>
      </c>
      <c r="D303" s="2">
        <f t="shared" si="57"/>
        <v>0.70137268991339052</v>
      </c>
      <c r="E303" s="2">
        <f t="shared" si="57"/>
        <v>0.10307195849510592</v>
      </c>
      <c r="F303" s="2">
        <f t="shared" si="57"/>
        <v>9.2924715166971622E-2</v>
      </c>
      <c r="G303" s="2">
        <f t="shared" si="57"/>
        <v>1</v>
      </c>
    </row>
    <row r="305" spans="1:7" x14ac:dyDescent="0.25">
      <c r="C305" s="10" t="s">
        <v>3</v>
      </c>
      <c r="D305" s="10" t="s">
        <v>43</v>
      </c>
      <c r="E305" s="10" t="s">
        <v>4</v>
      </c>
      <c r="F305" s="10" t="s">
        <v>5</v>
      </c>
      <c r="G305" s="10" t="s">
        <v>6</v>
      </c>
    </row>
    <row r="306" spans="1:7" x14ac:dyDescent="0.25">
      <c r="C306" s="3">
        <v>0.70137268991339052</v>
      </c>
      <c r="D306" s="2">
        <v>0.25</v>
      </c>
      <c r="E306" s="2">
        <v>0.10307195849510592</v>
      </c>
      <c r="F306" s="2">
        <v>9.2924715166971622E-2</v>
      </c>
      <c r="G306" s="2">
        <v>1</v>
      </c>
    </row>
    <row r="307" spans="1:7" x14ac:dyDescent="0.25">
      <c r="C307" s="3">
        <v>0.77812754762172931</v>
      </c>
      <c r="D307" s="2">
        <v>0.5</v>
      </c>
      <c r="E307" s="2">
        <v>1</v>
      </c>
      <c r="F307" s="2">
        <v>5.6622871781342003E-3</v>
      </c>
      <c r="G307" s="2">
        <v>4.8393846438341249E-2</v>
      </c>
    </row>
    <row r="308" spans="1:7" x14ac:dyDescent="0.25">
      <c r="C308" s="3">
        <v>0.86811440331311229</v>
      </c>
      <c r="D308" s="2">
        <v>0.75</v>
      </c>
      <c r="E308" s="2">
        <v>0.11172742372709753</v>
      </c>
      <c r="F308" s="2">
        <v>1</v>
      </c>
      <c r="G308" s="2">
        <v>0.5175960410871423</v>
      </c>
    </row>
    <row r="309" spans="1:7" x14ac:dyDescent="0.25">
      <c r="C309" s="3">
        <v>1</v>
      </c>
      <c r="D309" s="2">
        <v>1</v>
      </c>
      <c r="E309" s="2">
        <v>0.14350332523225146</v>
      </c>
      <c r="F309" s="2">
        <v>0.55578650039264843</v>
      </c>
      <c r="G309" s="2">
        <v>0.45346685151196658</v>
      </c>
    </row>
    <row r="311" spans="1:7" x14ac:dyDescent="0.25">
      <c r="A311" s="1" t="s">
        <v>0</v>
      </c>
      <c r="B311" s="1" t="s">
        <v>1</v>
      </c>
      <c r="C311" s="1" t="s">
        <v>2</v>
      </c>
      <c r="D311" s="1" t="s">
        <v>3</v>
      </c>
      <c r="E311" s="1" t="s">
        <v>4</v>
      </c>
      <c r="F311" s="1" t="s">
        <v>5</v>
      </c>
      <c r="G311" s="1" t="s">
        <v>6</v>
      </c>
    </row>
    <row r="312" spans="1:7" x14ac:dyDescent="0.25">
      <c r="A312" s="2" t="s">
        <v>31</v>
      </c>
      <c r="B312" s="8" t="s">
        <v>32</v>
      </c>
      <c r="C312" s="2">
        <v>4</v>
      </c>
      <c r="D312" s="3">
        <v>615324.90182869229</v>
      </c>
      <c r="E312" s="3">
        <v>12188.037840000001</v>
      </c>
      <c r="F312" s="4">
        <v>3.5563801629943082E-3</v>
      </c>
      <c r="G312" s="4">
        <v>2.3262126662383252E-3</v>
      </c>
    </row>
    <row r="313" spans="1:7" x14ac:dyDescent="0.25">
      <c r="A313" s="2" t="s">
        <v>31</v>
      </c>
      <c r="B313" s="8" t="s">
        <v>32</v>
      </c>
      <c r="C313" s="2">
        <v>3</v>
      </c>
      <c r="D313" s="3">
        <v>463470.71898289572</v>
      </c>
      <c r="E313" s="3">
        <v>9380.3853557600014</v>
      </c>
      <c r="F313" s="4">
        <v>2.4821681068467739E-3</v>
      </c>
      <c r="G313" s="4">
        <v>1.7821392198706289E-3</v>
      </c>
    </row>
    <row r="314" spans="1:7" x14ac:dyDescent="0.25">
      <c r="A314" s="2" t="s">
        <v>31</v>
      </c>
      <c r="B314" s="8" t="s">
        <v>32</v>
      </c>
      <c r="C314" s="2">
        <v>2</v>
      </c>
      <c r="D314" s="3">
        <v>441905.15975913568</v>
      </c>
      <c r="E314" s="3">
        <v>8680.9984719799995</v>
      </c>
      <c r="F314" s="4">
        <v>5.3628300774693723E-2</v>
      </c>
      <c r="G314" s="4">
        <v>1.9809359137092151E-3</v>
      </c>
    </row>
    <row r="315" spans="1:7" x14ac:dyDescent="0.25">
      <c r="A315" s="2" t="s">
        <v>31</v>
      </c>
      <c r="B315" s="8" t="s">
        <v>32</v>
      </c>
      <c r="C315" s="2">
        <v>1</v>
      </c>
      <c r="D315" s="3">
        <v>396416.47748978873</v>
      </c>
      <c r="E315" s="3">
        <v>10615.43888874</v>
      </c>
      <c r="F315" s="4">
        <v>5.7122249315871114E-3</v>
      </c>
      <c r="G315" s="4">
        <v>1.223257961926933E-3</v>
      </c>
    </row>
    <row r="317" spans="1:7" x14ac:dyDescent="0.25">
      <c r="B317" s="7" t="s">
        <v>40</v>
      </c>
      <c r="D317" s="3">
        <f>AVERAGE(D312:D313)</f>
        <v>539397.81040579407</v>
      </c>
      <c r="E317" s="3">
        <f t="shared" ref="E317:G317" si="58">AVERAGE(E312:E313)</f>
        <v>10784.211597880001</v>
      </c>
      <c r="F317" s="4">
        <f t="shared" si="58"/>
        <v>3.0192741349205411E-3</v>
      </c>
      <c r="G317" s="4">
        <f t="shared" si="58"/>
        <v>2.0541759430544771E-3</v>
      </c>
    </row>
    <row r="318" spans="1:7" x14ac:dyDescent="0.25">
      <c r="B318" s="7" t="s">
        <v>41</v>
      </c>
      <c r="D318" s="3">
        <f>AVERAGE(D314:D315)</f>
        <v>419160.81862446223</v>
      </c>
      <c r="E318" s="3">
        <f t="shared" ref="E318:G318" si="59">AVERAGE(E314:E315)</f>
        <v>9648.2186803599998</v>
      </c>
      <c r="F318" s="4">
        <f t="shared" si="59"/>
        <v>2.9670262853140415E-2</v>
      </c>
      <c r="G318" s="4">
        <f t="shared" si="59"/>
        <v>1.602096937818074E-3</v>
      </c>
    </row>
    <row r="320" spans="1:7" x14ac:dyDescent="0.25">
      <c r="C320" s="7" t="s">
        <v>42</v>
      </c>
      <c r="D320" s="3">
        <f>D317/D318</f>
        <v>1.2868516961482879</v>
      </c>
      <c r="E320" s="3">
        <f t="shared" ref="E320:G320" si="60">E317/E318</f>
        <v>1.1177412074865631</v>
      </c>
      <c r="F320" s="3">
        <f t="shared" si="60"/>
        <v>0.10176095000792922</v>
      </c>
      <c r="G320" s="3">
        <f t="shared" si="60"/>
        <v>1.2821795576565411</v>
      </c>
    </row>
    <row r="322" spans="1:12" x14ac:dyDescent="0.25">
      <c r="C322" s="2">
        <f>MAX(C312:C315)</f>
        <v>4</v>
      </c>
      <c r="D322" s="2">
        <f t="shared" ref="D322:G322" si="61">MAX(D312:D315)</f>
        <v>615324.90182869229</v>
      </c>
      <c r="E322" s="2">
        <f t="shared" si="61"/>
        <v>12188.037840000001</v>
      </c>
      <c r="F322" s="2">
        <f t="shared" si="61"/>
        <v>5.3628300774693723E-2</v>
      </c>
      <c r="G322" s="2">
        <f t="shared" si="61"/>
        <v>2.3262126662383252E-3</v>
      </c>
    </row>
    <row r="323" spans="1:12" x14ac:dyDescent="0.25">
      <c r="C323" s="10" t="s">
        <v>43</v>
      </c>
      <c r="D323" s="10" t="s">
        <v>3</v>
      </c>
      <c r="E323" s="1" t="s">
        <v>4</v>
      </c>
      <c r="F323" s="1" t="s">
        <v>5</v>
      </c>
      <c r="G323" s="1" t="s">
        <v>6</v>
      </c>
      <c r="J323" s="2"/>
      <c r="K323" s="10" t="s">
        <v>44</v>
      </c>
      <c r="L323" s="10" t="s">
        <v>45</v>
      </c>
    </row>
    <row r="324" spans="1:12" x14ac:dyDescent="0.25">
      <c r="C324" s="2">
        <f t="shared" ref="C324:G327" si="62">C312/C$322</f>
        <v>1</v>
      </c>
      <c r="D324" s="2">
        <f t="shared" si="62"/>
        <v>1</v>
      </c>
      <c r="E324" s="2">
        <f t="shared" si="62"/>
        <v>1</v>
      </c>
      <c r="F324" s="2">
        <f t="shared" si="62"/>
        <v>6.6315361695601274E-2</v>
      </c>
      <c r="G324" s="2">
        <f t="shared" si="62"/>
        <v>1</v>
      </c>
      <c r="J324" s="10">
        <v>27</v>
      </c>
      <c r="K324" s="3">
        <f>0.5*(D309*E309+E309*F309+F309*G309+G309*D309)</f>
        <v>0.46437907105783394</v>
      </c>
      <c r="L324" s="3">
        <f>0.5*(D306*E306+E306*F306+F306*G306+G306*D306)</f>
        <v>0.18913531858780386</v>
      </c>
    </row>
    <row r="325" spans="1:12" x14ac:dyDescent="0.25">
      <c r="C325" s="2">
        <f t="shared" si="62"/>
        <v>0.75</v>
      </c>
      <c r="D325" s="2">
        <f t="shared" si="62"/>
        <v>0.75321300601601027</v>
      </c>
      <c r="E325" s="2">
        <f t="shared" si="62"/>
        <v>0.76963868006501046</v>
      </c>
      <c r="F325" s="2">
        <f t="shared" si="62"/>
        <v>4.6284668188071074E-2</v>
      </c>
      <c r="G325" s="2">
        <f t="shared" si="62"/>
        <v>0.76611190616225677</v>
      </c>
    </row>
    <row r="326" spans="1:12" x14ac:dyDescent="0.25">
      <c r="C326" s="2">
        <f t="shared" si="62"/>
        <v>0.5</v>
      </c>
      <c r="D326" s="2">
        <f t="shared" si="62"/>
        <v>0.71816557146611792</v>
      </c>
      <c r="E326" s="2">
        <f t="shared" si="62"/>
        <v>0.71225562194184977</v>
      </c>
      <c r="F326" s="2">
        <f t="shared" si="62"/>
        <v>1</v>
      </c>
      <c r="G326" s="2">
        <f t="shared" si="62"/>
        <v>0.85157128686456229</v>
      </c>
    </row>
    <row r="327" spans="1:12" x14ac:dyDescent="0.25">
      <c r="C327" s="2">
        <f t="shared" si="62"/>
        <v>0.25</v>
      </c>
      <c r="D327" s="2">
        <f t="shared" si="62"/>
        <v>0.64423928937651198</v>
      </c>
      <c r="E327" s="2">
        <f t="shared" si="62"/>
        <v>0.87097193396472083</v>
      </c>
      <c r="F327" s="2">
        <f t="shared" si="62"/>
        <v>0.10651512073048215</v>
      </c>
      <c r="G327" s="2">
        <f t="shared" si="62"/>
        <v>0.52585818127499084</v>
      </c>
    </row>
    <row r="329" spans="1:12" x14ac:dyDescent="0.25">
      <c r="C329" s="10" t="s">
        <v>3</v>
      </c>
      <c r="D329" s="10" t="s">
        <v>43</v>
      </c>
      <c r="E329" s="10" t="s">
        <v>4</v>
      </c>
      <c r="F329" s="10" t="s">
        <v>5</v>
      </c>
      <c r="G329" s="10" t="s">
        <v>6</v>
      </c>
    </row>
    <row r="330" spans="1:12" x14ac:dyDescent="0.25">
      <c r="C330" s="3">
        <v>0.64423928937651198</v>
      </c>
      <c r="D330" s="2">
        <v>0.25</v>
      </c>
      <c r="E330" s="2">
        <v>0.87097193396472083</v>
      </c>
      <c r="F330" s="2">
        <v>0.10651512073048215</v>
      </c>
      <c r="G330" s="2">
        <v>0.52585818127499084</v>
      </c>
    </row>
    <row r="331" spans="1:12" x14ac:dyDescent="0.25">
      <c r="C331" s="3">
        <v>0.71816557146611792</v>
      </c>
      <c r="D331" s="2">
        <v>0.5</v>
      </c>
      <c r="E331" s="2">
        <v>0.71225562194184977</v>
      </c>
      <c r="F331" s="2">
        <v>1</v>
      </c>
      <c r="G331" s="2">
        <v>0.85157128686456229</v>
      </c>
    </row>
    <row r="332" spans="1:12" x14ac:dyDescent="0.25">
      <c r="C332" s="3">
        <v>0.75321300601601027</v>
      </c>
      <c r="D332" s="2">
        <v>0.75</v>
      </c>
      <c r="E332" s="2">
        <v>0.76963868006501046</v>
      </c>
      <c r="F332" s="2">
        <v>4.6284668188071074E-2</v>
      </c>
      <c r="G332" s="2">
        <v>0.76611190616225677</v>
      </c>
    </row>
    <row r="333" spans="1:12" x14ac:dyDescent="0.25">
      <c r="C333" s="3">
        <v>1</v>
      </c>
      <c r="D333" s="2">
        <v>1</v>
      </c>
      <c r="E333" s="2">
        <v>1</v>
      </c>
      <c r="F333" s="2">
        <v>6.6315361695601274E-2</v>
      </c>
      <c r="G333" s="2">
        <v>1</v>
      </c>
    </row>
    <row r="335" spans="1:12" x14ac:dyDescent="0.25">
      <c r="A335" s="1" t="s">
        <v>0</v>
      </c>
      <c r="B335" s="1" t="s">
        <v>1</v>
      </c>
      <c r="C335" s="1" t="s">
        <v>2</v>
      </c>
      <c r="D335" s="1" t="s">
        <v>3</v>
      </c>
      <c r="E335" s="1" t="s">
        <v>4</v>
      </c>
      <c r="F335" s="1" t="s">
        <v>5</v>
      </c>
      <c r="G335" s="1" t="s">
        <v>6</v>
      </c>
    </row>
    <row r="336" spans="1:12" x14ac:dyDescent="0.25">
      <c r="A336" s="2" t="s">
        <v>33</v>
      </c>
      <c r="B336" s="8" t="s">
        <v>34</v>
      </c>
      <c r="C336" s="2">
        <v>1</v>
      </c>
      <c r="D336" s="3">
        <v>480752.63075950177</v>
      </c>
      <c r="E336" s="3">
        <v>13713.99982974</v>
      </c>
      <c r="F336" s="4">
        <v>1.8909555433829729E-4</v>
      </c>
      <c r="G336" s="4">
        <v>1.421912259449817E-2</v>
      </c>
    </row>
    <row r="337" spans="1:12" x14ac:dyDescent="0.25">
      <c r="A337" s="2" t="s">
        <v>33</v>
      </c>
      <c r="B337" s="8" t="s">
        <v>34</v>
      </c>
      <c r="C337" s="2">
        <v>4</v>
      </c>
      <c r="D337" s="3">
        <v>430680.74778667098</v>
      </c>
      <c r="E337" s="3">
        <v>9650.7308639999992</v>
      </c>
      <c r="F337" s="4">
        <v>3.2382873836611008E-4</v>
      </c>
      <c r="G337" s="4">
        <v>1.307147425181787E-3</v>
      </c>
    </row>
    <row r="338" spans="1:12" x14ac:dyDescent="0.25">
      <c r="A338" s="2" t="s">
        <v>33</v>
      </c>
      <c r="B338" s="8" t="s">
        <v>34</v>
      </c>
      <c r="C338" s="2">
        <v>3</v>
      </c>
      <c r="D338" s="3">
        <v>344818.33344279532</v>
      </c>
      <c r="E338" s="3">
        <v>7766.5175531200011</v>
      </c>
      <c r="F338" s="4">
        <v>5.6879237956854514E-4</v>
      </c>
      <c r="G338" s="4">
        <v>9.2862762115340628E-4</v>
      </c>
    </row>
    <row r="339" spans="1:12" x14ac:dyDescent="0.25">
      <c r="A339" s="2" t="s">
        <v>33</v>
      </c>
      <c r="B339" s="8" t="s">
        <v>34</v>
      </c>
      <c r="C339" s="2">
        <v>2</v>
      </c>
      <c r="D339" s="3">
        <v>310794.74797233898</v>
      </c>
      <c r="E339" s="3">
        <v>8210.8821614400003</v>
      </c>
      <c r="F339" s="4">
        <v>1.515288413031857E-4</v>
      </c>
      <c r="G339" s="4">
        <v>1.134724744407487E-2</v>
      </c>
    </row>
    <row r="341" spans="1:12" x14ac:dyDescent="0.25">
      <c r="B341" s="7" t="s">
        <v>40</v>
      </c>
      <c r="D341" s="3">
        <f>AVERAGE(D336:D337)</f>
        <v>455716.68927308638</v>
      </c>
      <c r="E341" s="3">
        <f t="shared" ref="E341:G341" si="63">AVERAGE(E336:E337)</f>
        <v>11682.365346869999</v>
      </c>
      <c r="F341" s="4">
        <f t="shared" si="63"/>
        <v>2.5646214635220368E-4</v>
      </c>
      <c r="G341" s="4">
        <f t="shared" si="63"/>
        <v>7.7631350098399787E-3</v>
      </c>
    </row>
    <row r="342" spans="1:12" x14ac:dyDescent="0.25">
      <c r="B342" s="7" t="s">
        <v>41</v>
      </c>
      <c r="D342" s="3">
        <f>AVERAGE(D338:D339)</f>
        <v>327806.54070756712</v>
      </c>
      <c r="E342" s="3">
        <f t="shared" ref="E342:G342" si="64">AVERAGE(E338:E339)</f>
        <v>7988.6998572800003</v>
      </c>
      <c r="F342" s="4">
        <f t="shared" si="64"/>
        <v>3.6016061043586542E-4</v>
      </c>
      <c r="G342" s="4">
        <f t="shared" si="64"/>
        <v>6.1379375326141381E-3</v>
      </c>
    </row>
    <row r="344" spans="1:12" x14ac:dyDescent="0.25">
      <c r="C344" s="7" t="s">
        <v>42</v>
      </c>
      <c r="D344" s="3">
        <f>D341/D342</f>
        <v>1.3902001109844437</v>
      </c>
      <c r="E344" s="3">
        <f t="shared" ref="E344:G344" si="65">E341/E342</f>
        <v>1.462361279754929</v>
      </c>
      <c r="F344" s="3">
        <f t="shared" si="65"/>
        <v>0.71207716480109773</v>
      </c>
      <c r="G344" s="3">
        <f t="shared" si="65"/>
        <v>1.2647790839496653</v>
      </c>
    </row>
    <row r="346" spans="1:12" x14ac:dyDescent="0.25">
      <c r="C346" s="2">
        <f>MAX(C336:C339)</f>
        <v>4</v>
      </c>
      <c r="D346" s="2">
        <f t="shared" ref="D346:G346" si="66">MAX(D336:D339)</f>
        <v>480752.63075950177</v>
      </c>
      <c r="E346" s="2">
        <f t="shared" si="66"/>
        <v>13713.99982974</v>
      </c>
      <c r="F346" s="2">
        <f t="shared" si="66"/>
        <v>5.6879237956854514E-4</v>
      </c>
      <c r="G346" s="2">
        <f t="shared" si="66"/>
        <v>1.421912259449817E-2</v>
      </c>
    </row>
    <row r="347" spans="1:12" x14ac:dyDescent="0.25">
      <c r="C347" s="10" t="s">
        <v>43</v>
      </c>
      <c r="D347" s="10" t="s">
        <v>3</v>
      </c>
      <c r="E347" s="1" t="s">
        <v>4</v>
      </c>
      <c r="F347" s="1" t="s">
        <v>5</v>
      </c>
      <c r="G347" s="1" t="s">
        <v>6</v>
      </c>
      <c r="J347" s="2"/>
      <c r="K347" s="10" t="s">
        <v>44</v>
      </c>
      <c r="L347" s="10" t="s">
        <v>45</v>
      </c>
    </row>
    <row r="348" spans="1:12" x14ac:dyDescent="0.25">
      <c r="C348" s="2">
        <f t="shared" ref="C348:G351" si="67">C336/C$346</f>
        <v>0.25</v>
      </c>
      <c r="D348" s="2">
        <f t="shared" si="67"/>
        <v>1</v>
      </c>
      <c r="E348" s="2">
        <f t="shared" si="67"/>
        <v>1</v>
      </c>
      <c r="F348" s="2">
        <f t="shared" si="67"/>
        <v>0.33245092784424229</v>
      </c>
      <c r="G348" s="2">
        <f t="shared" si="67"/>
        <v>1</v>
      </c>
      <c r="J348" s="10">
        <v>28</v>
      </c>
      <c r="K348" s="3">
        <f>0.5*(D333*E333+E333*F333+F333*G333+G333*D333)</f>
        <v>1.0663153616956014</v>
      </c>
      <c r="L348" s="3">
        <f>0.5*(D330*E330+E330*F330+F330*G330+G330*D330)</f>
        <v>0.24899552858732954</v>
      </c>
    </row>
    <row r="349" spans="1:12" x14ac:dyDescent="0.25">
      <c r="C349" s="2">
        <f t="shared" si="67"/>
        <v>1</v>
      </c>
      <c r="D349" s="2">
        <f t="shared" si="67"/>
        <v>0.89584688721572603</v>
      </c>
      <c r="E349" s="2">
        <f t="shared" si="67"/>
        <v>0.70371379494052133</v>
      </c>
      <c r="F349" s="2">
        <f t="shared" si="67"/>
        <v>0.56932678776700363</v>
      </c>
      <c r="G349" s="2">
        <f t="shared" si="67"/>
        <v>9.1928838540822747E-2</v>
      </c>
    </row>
    <row r="350" spans="1:12" x14ac:dyDescent="0.25">
      <c r="C350" s="2">
        <f t="shared" si="67"/>
        <v>0.75</v>
      </c>
      <c r="D350" s="2">
        <f t="shared" si="67"/>
        <v>0.7172468986764462</v>
      </c>
      <c r="E350" s="2">
        <f t="shared" si="67"/>
        <v>0.56632037695360282</v>
      </c>
      <c r="F350" s="2">
        <f t="shared" si="67"/>
        <v>1</v>
      </c>
      <c r="G350" s="2">
        <f t="shared" si="67"/>
        <v>6.5308363085126067E-2</v>
      </c>
    </row>
    <row r="351" spans="1:12" x14ac:dyDescent="0.25">
      <c r="C351" s="2">
        <f t="shared" si="67"/>
        <v>0.5</v>
      </c>
      <c r="D351" s="2">
        <f t="shared" si="67"/>
        <v>0.64647539729806525</v>
      </c>
      <c r="E351" s="2">
        <f t="shared" si="67"/>
        <v>0.59872263842631746</v>
      </c>
      <c r="F351" s="2">
        <f t="shared" si="67"/>
        <v>0.26640448561938757</v>
      </c>
      <c r="G351" s="2">
        <f t="shared" si="67"/>
        <v>0.798027260026964</v>
      </c>
    </row>
    <row r="353" spans="1:7" x14ac:dyDescent="0.25">
      <c r="C353" s="10" t="s">
        <v>3</v>
      </c>
      <c r="D353" s="10" t="s">
        <v>43</v>
      </c>
      <c r="E353" s="10" t="s">
        <v>4</v>
      </c>
      <c r="F353" s="10" t="s">
        <v>5</v>
      </c>
      <c r="G353" s="10" t="s">
        <v>6</v>
      </c>
    </row>
    <row r="354" spans="1:7" x14ac:dyDescent="0.25">
      <c r="C354" s="3">
        <v>0.64647539729806525</v>
      </c>
      <c r="D354" s="2">
        <v>0.5</v>
      </c>
      <c r="E354" s="2">
        <v>0.59872263842631746</v>
      </c>
      <c r="F354" s="2">
        <v>0.26640448561938757</v>
      </c>
      <c r="G354" s="2">
        <v>0.798027260026964</v>
      </c>
    </row>
    <row r="355" spans="1:7" x14ac:dyDescent="0.25">
      <c r="C355" s="3">
        <v>0.7172468986764462</v>
      </c>
      <c r="D355" s="2">
        <v>0.75</v>
      </c>
      <c r="E355" s="2">
        <v>0.56632037695360282</v>
      </c>
      <c r="F355" s="2">
        <v>1</v>
      </c>
      <c r="G355" s="2">
        <v>6.5308363085126067E-2</v>
      </c>
    </row>
    <row r="356" spans="1:7" x14ac:dyDescent="0.25">
      <c r="C356" s="3">
        <v>0.89584688721572603</v>
      </c>
      <c r="D356" s="2">
        <v>1</v>
      </c>
      <c r="E356" s="2">
        <v>0.70371379494052133</v>
      </c>
      <c r="F356" s="2">
        <v>0.56932678776700363</v>
      </c>
      <c r="G356" s="2">
        <v>9.1928838540822747E-2</v>
      </c>
    </row>
    <row r="357" spans="1:7" x14ac:dyDescent="0.25">
      <c r="C357" s="3">
        <v>1</v>
      </c>
      <c r="D357" s="2">
        <v>0.25</v>
      </c>
      <c r="E357" s="2">
        <v>1</v>
      </c>
      <c r="F357" s="2">
        <v>0.33245092784424229</v>
      </c>
      <c r="G357" s="2">
        <v>1</v>
      </c>
    </row>
    <row r="359" spans="1:7" x14ac:dyDescent="0.25">
      <c r="A359" s="1" t="s">
        <v>0</v>
      </c>
      <c r="B359" s="1" t="s">
        <v>1</v>
      </c>
      <c r="C359" s="1" t="s">
        <v>2</v>
      </c>
      <c r="D359" s="1" t="s">
        <v>3</v>
      </c>
      <c r="E359" s="1" t="s">
        <v>4</v>
      </c>
      <c r="F359" s="1" t="s">
        <v>5</v>
      </c>
      <c r="G359" s="1" t="s">
        <v>6</v>
      </c>
    </row>
    <row r="360" spans="1:7" x14ac:dyDescent="0.25">
      <c r="A360" s="2" t="s">
        <v>35</v>
      </c>
      <c r="B360" s="8" t="s">
        <v>36</v>
      </c>
      <c r="C360" s="2">
        <v>4</v>
      </c>
      <c r="D360" s="3">
        <v>624490.81179662514</v>
      </c>
      <c r="E360" s="3">
        <v>23490.718752000001</v>
      </c>
      <c r="F360" s="4">
        <v>1.927088927244758E-3</v>
      </c>
      <c r="G360" s="4">
        <v>1.8760825696850091E-3</v>
      </c>
    </row>
    <row r="361" spans="1:7" x14ac:dyDescent="0.25">
      <c r="A361" s="2" t="s">
        <v>35</v>
      </c>
      <c r="B361" s="8" t="s">
        <v>36</v>
      </c>
      <c r="C361" s="2">
        <v>3</v>
      </c>
      <c r="D361" s="3">
        <v>615005.46689121344</v>
      </c>
      <c r="E361" s="3">
        <v>18304.5266156</v>
      </c>
      <c r="F361" s="4">
        <v>2.0544865338363899E-3</v>
      </c>
      <c r="G361" s="4">
        <v>2.397692315221963E-3</v>
      </c>
    </row>
    <row r="362" spans="1:7" x14ac:dyDescent="0.25">
      <c r="A362" s="2" t="s">
        <v>35</v>
      </c>
      <c r="B362" s="8" t="s">
        <v>36</v>
      </c>
      <c r="C362" s="2">
        <v>1</v>
      </c>
      <c r="D362" s="3">
        <v>557880.96074185451</v>
      </c>
      <c r="E362" s="3">
        <v>17673.58753398</v>
      </c>
      <c r="F362" s="4">
        <v>1.2639185721094849E-3</v>
      </c>
      <c r="G362" s="4">
        <v>7.224852054202324E-4</v>
      </c>
    </row>
    <row r="363" spans="1:7" x14ac:dyDescent="0.25">
      <c r="A363" s="2" t="s">
        <v>35</v>
      </c>
      <c r="B363" s="8" t="s">
        <v>36</v>
      </c>
      <c r="C363" s="2">
        <v>2</v>
      </c>
      <c r="D363" s="3">
        <v>528936.59684355662</v>
      </c>
      <c r="E363" s="3">
        <v>14840.029964359999</v>
      </c>
      <c r="F363" s="4">
        <v>3.348617336982791E-3</v>
      </c>
      <c r="G363" s="4">
        <v>9.7700369843055682E-4</v>
      </c>
    </row>
    <row r="365" spans="1:7" x14ac:dyDescent="0.25">
      <c r="B365" s="7" t="s">
        <v>40</v>
      </c>
      <c r="D365" s="3">
        <f>AVERAGE(D360:D361)</f>
        <v>619748.13934391923</v>
      </c>
      <c r="E365" s="3">
        <f t="shared" ref="E365:G365" si="68">AVERAGE(E360:E361)</f>
        <v>20897.6226838</v>
      </c>
      <c r="F365" s="4">
        <f t="shared" si="68"/>
        <v>1.9907877305405742E-3</v>
      </c>
      <c r="G365" s="4">
        <f t="shared" si="68"/>
        <v>2.1368874424534858E-3</v>
      </c>
    </row>
    <row r="366" spans="1:7" x14ac:dyDescent="0.25">
      <c r="B366" s="7" t="s">
        <v>41</v>
      </c>
      <c r="D366" s="3">
        <f>AVERAGE(D362:D363)</f>
        <v>543408.77879270562</v>
      </c>
      <c r="E366" s="3">
        <f t="shared" ref="E366:G366" si="69">AVERAGE(E362:E363)</f>
        <v>16256.808749169999</v>
      </c>
      <c r="F366" s="4">
        <f t="shared" si="69"/>
        <v>2.3062679545461382E-3</v>
      </c>
      <c r="G366" s="4">
        <f t="shared" si="69"/>
        <v>8.4974445192539461E-4</v>
      </c>
    </row>
    <row r="368" spans="1:7" x14ac:dyDescent="0.25">
      <c r="C368" s="7" t="s">
        <v>42</v>
      </c>
      <c r="D368" s="3">
        <f>D365/D366</f>
        <v>1.1404823836685474</v>
      </c>
      <c r="E368" s="3">
        <f t="shared" ref="E368:G368" si="70">E365/E366</f>
        <v>1.2854689383527957</v>
      </c>
      <c r="F368" s="3">
        <f t="shared" si="70"/>
        <v>0.8632074718882139</v>
      </c>
      <c r="G368" s="3">
        <f t="shared" si="70"/>
        <v>2.5147412702861627</v>
      </c>
    </row>
    <row r="370" spans="1:12" x14ac:dyDescent="0.25">
      <c r="C370" s="2">
        <f>MAX(C360:C363)</f>
        <v>4</v>
      </c>
      <c r="D370" s="2">
        <f t="shared" ref="D370:G370" si="71">MAX(D360:D363)</f>
        <v>624490.81179662514</v>
      </c>
      <c r="E370" s="2">
        <f t="shared" si="71"/>
        <v>23490.718752000001</v>
      </c>
      <c r="F370" s="2">
        <f t="shared" si="71"/>
        <v>3.348617336982791E-3</v>
      </c>
      <c r="G370" s="2">
        <f t="shared" si="71"/>
        <v>2.397692315221963E-3</v>
      </c>
    </row>
    <row r="371" spans="1:12" x14ac:dyDescent="0.25">
      <c r="C371" s="10" t="s">
        <v>43</v>
      </c>
      <c r="D371" s="10" t="s">
        <v>3</v>
      </c>
      <c r="E371" s="1" t="s">
        <v>4</v>
      </c>
      <c r="F371" s="1" t="s">
        <v>5</v>
      </c>
      <c r="G371" s="1" t="s">
        <v>6</v>
      </c>
      <c r="J371" s="2"/>
      <c r="K371" s="10" t="s">
        <v>44</v>
      </c>
      <c r="L371" s="10" t="s">
        <v>45</v>
      </c>
    </row>
    <row r="372" spans="1:12" x14ac:dyDescent="0.25">
      <c r="C372" s="2">
        <f t="shared" ref="C372:G375" si="72">C360/C$370</f>
        <v>1</v>
      </c>
      <c r="D372" s="2">
        <f t="shared" si="72"/>
        <v>1</v>
      </c>
      <c r="E372" s="2">
        <f t="shared" si="72"/>
        <v>1</v>
      </c>
      <c r="F372" s="2">
        <f t="shared" si="72"/>
        <v>0.57548795019413157</v>
      </c>
      <c r="G372" s="2">
        <f t="shared" si="72"/>
        <v>0.78245342731197487</v>
      </c>
      <c r="J372" s="10">
        <v>29</v>
      </c>
      <c r="K372" s="3">
        <f>0.5*(D357*E357+E357*F357+F357*G357+G357*D357)</f>
        <v>0.58245092784424224</v>
      </c>
      <c r="L372" s="3">
        <f>0.5*(D354*E354+E354*F354+F354*G354+G354*D354)</f>
        <v>0.53523769373150953</v>
      </c>
    </row>
    <row r="373" spans="1:12" x14ac:dyDescent="0.25">
      <c r="C373" s="2">
        <f t="shared" si="72"/>
        <v>0.75</v>
      </c>
      <c r="D373" s="2">
        <f t="shared" si="72"/>
        <v>0.98481107371600407</v>
      </c>
      <c r="E373" s="2">
        <f t="shared" si="72"/>
        <v>0.77922377807369358</v>
      </c>
      <c r="F373" s="2">
        <f t="shared" si="72"/>
        <v>0.61353278893537189</v>
      </c>
      <c r="G373" s="2">
        <f t="shared" si="72"/>
        <v>1</v>
      </c>
    </row>
    <row r="374" spans="1:12" x14ac:dyDescent="0.25">
      <c r="C374" s="2">
        <f t="shared" si="72"/>
        <v>0.25</v>
      </c>
      <c r="D374" s="2">
        <f t="shared" si="72"/>
        <v>0.89333734012332733</v>
      </c>
      <c r="E374" s="2">
        <f t="shared" si="72"/>
        <v>0.7523646986099678</v>
      </c>
      <c r="F374" s="2">
        <f t="shared" si="72"/>
        <v>0.3774449108145379</v>
      </c>
      <c r="G374" s="2">
        <f t="shared" si="72"/>
        <v>0.30132523711798664</v>
      </c>
    </row>
    <row r="375" spans="1:12" x14ac:dyDescent="0.25">
      <c r="C375" s="2">
        <f t="shared" si="72"/>
        <v>0.5</v>
      </c>
      <c r="D375" s="2">
        <f t="shared" si="72"/>
        <v>0.84698859751328548</v>
      </c>
      <c r="E375" s="2">
        <f t="shared" si="72"/>
        <v>0.63174014047980198</v>
      </c>
      <c r="F375" s="2">
        <f t="shared" si="72"/>
        <v>1</v>
      </c>
      <c r="G375" s="2">
        <f t="shared" si="72"/>
        <v>0.40747667756532474</v>
      </c>
    </row>
    <row r="377" spans="1:12" x14ac:dyDescent="0.25">
      <c r="C377" s="10" t="s">
        <v>3</v>
      </c>
      <c r="D377" s="10" t="s">
        <v>43</v>
      </c>
      <c r="E377" s="10" t="s">
        <v>4</v>
      </c>
      <c r="F377" s="10" t="s">
        <v>5</v>
      </c>
      <c r="G377" s="10" t="s">
        <v>6</v>
      </c>
    </row>
    <row r="378" spans="1:12" x14ac:dyDescent="0.25">
      <c r="C378" s="3">
        <v>0.84698859751328548</v>
      </c>
      <c r="D378" s="2">
        <v>0.5</v>
      </c>
      <c r="E378" s="2">
        <v>0.63174014047980198</v>
      </c>
      <c r="F378" s="2">
        <v>1</v>
      </c>
      <c r="G378" s="2">
        <v>0.40747667756532474</v>
      </c>
    </row>
    <row r="379" spans="1:12" x14ac:dyDescent="0.25">
      <c r="C379" s="3">
        <v>0.89333734012332733</v>
      </c>
      <c r="D379" s="2">
        <v>0.25</v>
      </c>
      <c r="E379" s="2">
        <v>0.7523646986099678</v>
      </c>
      <c r="F379" s="2">
        <v>0.3774449108145379</v>
      </c>
      <c r="G379" s="2">
        <v>0.30132523711798664</v>
      </c>
    </row>
    <row r="380" spans="1:12" x14ac:dyDescent="0.25">
      <c r="C380" s="3">
        <v>0.98481107371600407</v>
      </c>
      <c r="D380" s="2">
        <v>0.75</v>
      </c>
      <c r="E380" s="2">
        <v>0.77922377807369358</v>
      </c>
      <c r="F380" s="2">
        <v>0.61353278893537189</v>
      </c>
      <c r="G380" s="2">
        <v>1</v>
      </c>
    </row>
    <row r="381" spans="1:12" x14ac:dyDescent="0.25">
      <c r="C381" s="3">
        <v>1</v>
      </c>
      <c r="D381" s="2">
        <v>1</v>
      </c>
      <c r="E381" s="2">
        <v>1</v>
      </c>
      <c r="F381" s="2">
        <v>0.57548795019413157</v>
      </c>
      <c r="G381" s="2">
        <v>0.78245342731197487</v>
      </c>
    </row>
    <row r="383" spans="1:12" x14ac:dyDescent="0.25">
      <c r="A383" s="1" t="s">
        <v>0</v>
      </c>
      <c r="B383" s="1" t="s">
        <v>1</v>
      </c>
      <c r="C383" s="1" t="s">
        <v>2</v>
      </c>
      <c r="D383" s="1" t="s">
        <v>3</v>
      </c>
      <c r="E383" s="1" t="s">
        <v>4</v>
      </c>
      <c r="F383" s="1" t="s">
        <v>5</v>
      </c>
      <c r="G383" s="1" t="s">
        <v>6</v>
      </c>
    </row>
    <row r="384" spans="1:12" x14ac:dyDescent="0.25">
      <c r="A384" s="2" t="s">
        <v>37</v>
      </c>
      <c r="B384" s="8" t="s">
        <v>38</v>
      </c>
      <c r="C384" s="2">
        <v>1</v>
      </c>
      <c r="D384" s="3">
        <v>496312.33844584553</v>
      </c>
      <c r="E384" s="3">
        <v>6058.6276942799996</v>
      </c>
      <c r="F384" s="4">
        <v>1.149126975828702E-3</v>
      </c>
      <c r="G384" s="4">
        <v>4.3326889923906344E-3</v>
      </c>
    </row>
    <row r="385" spans="1:12" x14ac:dyDescent="0.25">
      <c r="A385" s="5" t="s">
        <v>37</v>
      </c>
      <c r="B385" s="9" t="s">
        <v>38</v>
      </c>
      <c r="C385" s="5">
        <v>3</v>
      </c>
      <c r="D385" s="3">
        <v>481190.63450056087</v>
      </c>
      <c r="E385" s="3">
        <v>5659.2905294400007</v>
      </c>
      <c r="F385" s="4">
        <v>2.7642536319032169E-4</v>
      </c>
      <c r="G385" s="4">
        <v>2.609783923120391E-3</v>
      </c>
    </row>
    <row r="386" spans="1:12" x14ac:dyDescent="0.25">
      <c r="A386" s="2" t="s">
        <v>37</v>
      </c>
      <c r="B386" s="8" t="s">
        <v>38</v>
      </c>
      <c r="C386" s="2">
        <v>2</v>
      </c>
      <c r="D386" s="3">
        <v>463554.2380744408</v>
      </c>
      <c r="E386" s="3">
        <v>6405.1162323599992</v>
      </c>
      <c r="F386" s="4">
        <v>1.36542870460566E-3</v>
      </c>
      <c r="G386" s="4">
        <v>1.06191448730258E-3</v>
      </c>
    </row>
    <row r="387" spans="1:12" x14ac:dyDescent="0.25">
      <c r="A387" s="2" t="s">
        <v>37</v>
      </c>
      <c r="B387" s="8" t="s">
        <v>38</v>
      </c>
      <c r="C387" s="2">
        <v>4</v>
      </c>
      <c r="D387" s="3">
        <v>463215.01884109463</v>
      </c>
      <c r="E387" s="3">
        <v>6600.4823040000001</v>
      </c>
      <c r="F387" s="4">
        <v>1.0184783005820781E-3</v>
      </c>
      <c r="G387" s="4">
        <v>1.1952508372333631E-3</v>
      </c>
    </row>
    <row r="389" spans="1:12" x14ac:dyDescent="0.25">
      <c r="B389" s="7" t="s">
        <v>40</v>
      </c>
      <c r="D389" s="3">
        <f>AVERAGE(D384:D385)</f>
        <v>488751.48647320317</v>
      </c>
      <c r="E389" s="3">
        <f t="shared" ref="E389:G389" si="73">AVERAGE(E384:E385)</f>
        <v>5858.9591118600001</v>
      </c>
      <c r="F389" s="4">
        <f t="shared" si="73"/>
        <v>7.1277616950951182E-4</v>
      </c>
      <c r="G389" s="4">
        <f t="shared" si="73"/>
        <v>3.4712364577555127E-3</v>
      </c>
    </row>
    <row r="390" spans="1:12" x14ac:dyDescent="0.25">
      <c r="B390" s="7" t="s">
        <v>41</v>
      </c>
      <c r="D390" s="3">
        <f>AVERAGE(D386:D387)</f>
        <v>463384.62845776771</v>
      </c>
      <c r="E390" s="3">
        <f t="shared" ref="E390:G390" si="74">AVERAGE(E386:E387)</f>
        <v>6502.7992681799997</v>
      </c>
      <c r="F390" s="4">
        <f t="shared" si="74"/>
        <v>1.191953502593869E-3</v>
      </c>
      <c r="G390" s="4">
        <f t="shared" si="74"/>
        <v>1.1285826622679715E-3</v>
      </c>
    </row>
    <row r="392" spans="1:12" x14ac:dyDescent="0.25">
      <c r="C392" s="7" t="s">
        <v>42</v>
      </c>
      <c r="D392" s="3">
        <f>D389/D390</f>
        <v>1.0547425539337831</v>
      </c>
      <c r="E392" s="3">
        <f t="shared" ref="E392:G392" si="75">E389/E390</f>
        <v>0.9009903074402914</v>
      </c>
      <c r="F392" s="3">
        <f t="shared" si="75"/>
        <v>0.59798991148430225</v>
      </c>
      <c r="G392" s="3">
        <f t="shared" si="75"/>
        <v>3.0757485240645135</v>
      </c>
    </row>
    <row r="394" spans="1:12" x14ac:dyDescent="0.25">
      <c r="C394" s="2">
        <f>MAX(C384:C387)</f>
        <v>4</v>
      </c>
      <c r="D394" s="2">
        <f t="shared" ref="D394:G394" si="76">MAX(D384:D387)</f>
        <v>496312.33844584553</v>
      </c>
      <c r="E394" s="2">
        <f t="shared" si="76"/>
        <v>6600.4823040000001</v>
      </c>
      <c r="F394" s="2">
        <f t="shared" si="76"/>
        <v>1.36542870460566E-3</v>
      </c>
      <c r="G394" s="2">
        <f t="shared" si="76"/>
        <v>4.3326889923906344E-3</v>
      </c>
    </row>
    <row r="395" spans="1:12" x14ac:dyDescent="0.25">
      <c r="C395" s="10" t="s">
        <v>43</v>
      </c>
      <c r="D395" s="10" t="s">
        <v>3</v>
      </c>
      <c r="E395" s="1" t="s">
        <v>4</v>
      </c>
      <c r="F395" s="1" t="s">
        <v>5</v>
      </c>
      <c r="G395" s="1" t="s">
        <v>6</v>
      </c>
      <c r="J395" s="2"/>
      <c r="K395" s="10" t="s">
        <v>44</v>
      </c>
      <c r="L395" s="10" t="s">
        <v>45</v>
      </c>
    </row>
    <row r="396" spans="1:12" x14ac:dyDescent="0.25">
      <c r="C396" s="2">
        <f t="shared" ref="C396:G399" si="77">C384/C$394</f>
        <v>0.25</v>
      </c>
      <c r="D396" s="2">
        <f t="shared" si="77"/>
        <v>1</v>
      </c>
      <c r="E396" s="2">
        <f t="shared" si="77"/>
        <v>0.91790681578047295</v>
      </c>
      <c r="F396" s="2">
        <f t="shared" si="77"/>
        <v>0.84158694771293341</v>
      </c>
      <c r="G396" s="2">
        <f t="shared" si="77"/>
        <v>1</v>
      </c>
      <c r="J396" s="10">
        <v>30</v>
      </c>
      <c r="K396" s="3">
        <f>0.5*(D381*E381+E381*F381+F381*G381+G381*D381)</f>
        <v>1.404116948256124</v>
      </c>
      <c r="L396" s="3">
        <f>0.5*(D378*E378+E378*F378+F378*G378+G378*D378)</f>
        <v>0.77941261353384506</v>
      </c>
    </row>
    <row r="397" spans="1:12" x14ac:dyDescent="0.25">
      <c r="C397" s="2">
        <f t="shared" si="77"/>
        <v>0.75</v>
      </c>
      <c r="D397" s="2">
        <f t="shared" si="77"/>
        <v>0.96953187987903577</v>
      </c>
      <c r="E397" s="2">
        <f t="shared" si="77"/>
        <v>0.85740560595251925</v>
      </c>
      <c r="F397" s="2">
        <f t="shared" si="77"/>
        <v>0.20244584155725229</v>
      </c>
      <c r="G397" s="2">
        <f t="shared" si="77"/>
        <v>0.60234739389415504</v>
      </c>
    </row>
    <row r="398" spans="1:12" x14ac:dyDescent="0.25">
      <c r="C398" s="2">
        <f t="shared" si="77"/>
        <v>0.5</v>
      </c>
      <c r="D398" s="2">
        <f t="shared" si="77"/>
        <v>0.93399700584921264</v>
      </c>
      <c r="E398" s="2">
        <f t="shared" si="77"/>
        <v>0.97040124302407327</v>
      </c>
      <c r="F398" s="2">
        <f t="shared" si="77"/>
        <v>1</v>
      </c>
      <c r="G398" s="2">
        <f t="shared" si="77"/>
        <v>0.24509363334584758</v>
      </c>
    </row>
    <row r="399" spans="1:12" x14ac:dyDescent="0.25">
      <c r="C399" s="2">
        <f t="shared" si="77"/>
        <v>1</v>
      </c>
      <c r="D399" s="2">
        <f t="shared" si="77"/>
        <v>0.93331352650149302</v>
      </c>
      <c r="E399" s="2">
        <f t="shared" si="77"/>
        <v>1</v>
      </c>
      <c r="F399" s="2">
        <f t="shared" si="77"/>
        <v>0.7459036836904771</v>
      </c>
      <c r="G399" s="2">
        <f t="shared" si="77"/>
        <v>0.27586813623884487</v>
      </c>
    </row>
    <row r="401" spans="3:7" x14ac:dyDescent="0.25">
      <c r="C401" s="10" t="s">
        <v>3</v>
      </c>
      <c r="D401" s="10" t="s">
        <v>43</v>
      </c>
      <c r="E401" s="10" t="s">
        <v>4</v>
      </c>
      <c r="F401" s="10" t="s">
        <v>5</v>
      </c>
      <c r="G401" s="10" t="s">
        <v>6</v>
      </c>
    </row>
    <row r="402" spans="3:7" x14ac:dyDescent="0.25">
      <c r="C402" s="3">
        <v>0.93331352650149302</v>
      </c>
      <c r="D402" s="2">
        <v>1</v>
      </c>
      <c r="E402" s="2">
        <v>1</v>
      </c>
      <c r="F402" s="2">
        <v>0.7459036836904771</v>
      </c>
      <c r="G402" s="2">
        <v>0.27586813623884487</v>
      </c>
    </row>
    <row r="403" spans="3:7" x14ac:dyDescent="0.25">
      <c r="C403" s="3">
        <v>0.93399700584921264</v>
      </c>
      <c r="D403" s="2">
        <v>0.5</v>
      </c>
      <c r="E403" s="2">
        <v>0.97040124302407327</v>
      </c>
      <c r="F403" s="2">
        <v>1</v>
      </c>
      <c r="G403" s="2">
        <v>0.24509363334584758</v>
      </c>
    </row>
    <row r="404" spans="3:7" x14ac:dyDescent="0.25">
      <c r="C404" s="3">
        <v>0.96953187987903577</v>
      </c>
      <c r="D404" s="2">
        <v>0.75</v>
      </c>
      <c r="E404" s="2">
        <v>0.85740560595251925</v>
      </c>
      <c r="F404" s="2">
        <v>0.20244584155725229</v>
      </c>
      <c r="G404" s="2">
        <v>0.60234739389415504</v>
      </c>
    </row>
    <row r="405" spans="3:7" x14ac:dyDescent="0.25">
      <c r="C405" s="3">
        <v>1</v>
      </c>
      <c r="D405" s="2">
        <v>0.25</v>
      </c>
      <c r="E405" s="2">
        <v>0.91790681578047295</v>
      </c>
      <c r="F405" s="2">
        <v>0.84158694771293341</v>
      </c>
      <c r="G405" s="2">
        <v>1</v>
      </c>
    </row>
    <row r="415" spans="3:7" x14ac:dyDescent="0.25">
      <c r="C415" s="2"/>
      <c r="D415" s="2"/>
      <c r="E415" s="2"/>
      <c r="F415" s="2"/>
      <c r="G415" s="2"/>
    </row>
    <row r="419" spans="10:12" x14ac:dyDescent="0.25">
      <c r="J419" s="2"/>
      <c r="K419" s="10" t="s">
        <v>44</v>
      </c>
      <c r="L419" s="10" t="s">
        <v>45</v>
      </c>
    </row>
    <row r="420" spans="10:12" x14ac:dyDescent="0.25">
      <c r="J420" s="10">
        <v>33</v>
      </c>
      <c r="K420" s="3">
        <f>0.5*(D405*E405+E405*F405+F405*G405+G405*D405)</f>
        <v>1.046781023517819</v>
      </c>
      <c r="L420" s="3">
        <f>0.5*(D402*E402+E402*F402+F402*G402+G402*D402)</f>
        <v>1.1137714394813514</v>
      </c>
    </row>
    <row r="421" spans="10:12" x14ac:dyDescent="0.25">
      <c r="J421" s="10"/>
    </row>
  </sheetData>
  <conditionalFormatting sqref="D2:D62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2:D75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2:E75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2:F75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2:G75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7:D78">
    <cfRule type="colorScale" priority="1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7:E78">
    <cfRule type="colorScale" priority="1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7:F78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7:G78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96:D99">
    <cfRule type="colorScale" priority="1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96:E99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96:F99">
    <cfRule type="colorScale" priority="1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6:G99">
    <cfRule type="colorScale" priority="1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1:D102">
    <cfRule type="colorScale" priority="1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01:E102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1:F102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1:G102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0:D123">
    <cfRule type="colorScale" priority="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0:E12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0:F123">
    <cfRule type="colorScale" priority="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0:G12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5:D126">
    <cfRule type="colorScale" priority="9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5:E126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5:F126">
    <cfRule type="colorScale" priority="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5:G126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4:D147">
    <cfRule type="colorScale" priority="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4:E147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4:F147">
    <cfRule type="colorScale" priority="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4:G147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9:D150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9:E150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9:F150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9:G150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68:D171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68:E171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68:F171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68:G171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3:D174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3:E174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3:F174">
    <cfRule type="colorScale" priority="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3:G174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2:D195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2:E195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2:F195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2:G195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7:D198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7:E198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7:F19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7:G198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16:D21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16:E219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16:F21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16:G219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1:D222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1:E222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1:F222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1:G222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0:D24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0:E243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0:F24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0:G243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5:D246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5:E246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5:F246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5:G246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4:D26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4:E267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4:F26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4:G26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9:D27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9:E270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9:F27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9:G270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8:D291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8:E291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8:F291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8:G291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3:D29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3:E294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3:F29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3:G294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2:D31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2:E31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2:F31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2:G31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7:D3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7:E3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7:F3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7:G3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6:D33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36:E33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36:F33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36:G33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1:D34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1:E34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1:F34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41:G34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0:D36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0:E36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0:F36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0:G36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65:D36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5:E36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65:F36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65:G36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4:D38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4:E38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4:F38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4:G38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9:D39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9:E39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9:F39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9:G39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Original</vt:lpstr>
      <vt:lpstr>Only best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2026-05-14T07:10:32Z</dcterms:created>
  <dcterms:modified xsi:type="dcterms:W3CDTF">2026-06-08T11:04:54Z</dcterms:modified>
</cp:coreProperties>
</file>