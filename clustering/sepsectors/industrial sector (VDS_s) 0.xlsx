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clustering\sepsectors\"/>
    </mc:Choice>
  </mc:AlternateContent>
  <bookViews>
    <workbookView xWindow="0" yWindow="0" windowWidth="28800" windowHeight="1288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G221" i="1" l="1"/>
  <c r="F221" i="1"/>
  <c r="E221" i="1"/>
  <c r="D221" i="1"/>
  <c r="G220" i="1"/>
  <c r="G223" i="1" s="1"/>
  <c r="F220" i="1"/>
  <c r="F223" i="1" s="1"/>
  <c r="E220" i="1"/>
  <c r="E223" i="1" s="1"/>
  <c r="D220" i="1"/>
  <c r="D223" i="1" s="1"/>
  <c r="G210" i="1"/>
  <c r="F210" i="1"/>
  <c r="E210" i="1"/>
  <c r="D210" i="1"/>
  <c r="G209" i="1"/>
  <c r="G212" i="1" s="1"/>
  <c r="F209" i="1"/>
  <c r="F212" i="1" s="1"/>
  <c r="E209" i="1"/>
  <c r="E212" i="1" s="1"/>
  <c r="D209" i="1"/>
  <c r="D212" i="1" s="1"/>
  <c r="G199" i="1"/>
  <c r="F199" i="1"/>
  <c r="E199" i="1"/>
  <c r="D199" i="1"/>
  <c r="G198" i="1"/>
  <c r="G201" i="1" s="1"/>
  <c r="F198" i="1"/>
  <c r="F201" i="1" s="1"/>
  <c r="E198" i="1"/>
  <c r="E201" i="1" s="1"/>
  <c r="D198" i="1"/>
  <c r="D201" i="1" s="1"/>
  <c r="F190" i="1"/>
  <c r="G188" i="1"/>
  <c r="F188" i="1"/>
  <c r="E188" i="1"/>
  <c r="D188" i="1"/>
  <c r="G187" i="1"/>
  <c r="G190" i="1" s="1"/>
  <c r="F187" i="1"/>
  <c r="E187" i="1"/>
  <c r="E190" i="1" s="1"/>
  <c r="D187" i="1"/>
  <c r="D190" i="1" s="1"/>
  <c r="G177" i="1"/>
  <c r="F177" i="1"/>
  <c r="E177" i="1"/>
  <c r="D177" i="1"/>
  <c r="G176" i="1"/>
  <c r="G179" i="1" s="1"/>
  <c r="F176" i="1"/>
  <c r="F179" i="1" s="1"/>
  <c r="E176" i="1"/>
  <c r="E179" i="1" s="1"/>
  <c r="D176" i="1"/>
  <c r="D179" i="1" s="1"/>
  <c r="G166" i="1"/>
  <c r="F166" i="1"/>
  <c r="E166" i="1"/>
  <c r="D166" i="1"/>
  <c r="G165" i="1"/>
  <c r="G168" i="1" s="1"/>
  <c r="F165" i="1"/>
  <c r="F168" i="1" s="1"/>
  <c r="E165" i="1"/>
  <c r="E168" i="1" s="1"/>
  <c r="D165" i="1"/>
  <c r="D168" i="1" s="1"/>
  <c r="G155" i="1"/>
  <c r="F155" i="1"/>
  <c r="E155" i="1"/>
  <c r="D155" i="1"/>
  <c r="G154" i="1"/>
  <c r="G157" i="1" s="1"/>
  <c r="F154" i="1"/>
  <c r="F157" i="1" s="1"/>
  <c r="E154" i="1"/>
  <c r="E157" i="1" s="1"/>
  <c r="D154" i="1"/>
  <c r="D157" i="1" s="1"/>
  <c r="G144" i="1"/>
  <c r="F144" i="1"/>
  <c r="E144" i="1"/>
  <c r="D144" i="1"/>
  <c r="G143" i="1"/>
  <c r="G146" i="1" s="1"/>
  <c r="F143" i="1"/>
  <c r="F146" i="1" s="1"/>
  <c r="E143" i="1"/>
  <c r="E146" i="1" s="1"/>
  <c r="D143" i="1"/>
  <c r="D146" i="1" s="1"/>
  <c r="G133" i="1"/>
  <c r="F133" i="1"/>
  <c r="E133" i="1"/>
  <c r="D133" i="1"/>
  <c r="G132" i="1"/>
  <c r="G135" i="1" s="1"/>
  <c r="F132" i="1"/>
  <c r="F135" i="1" s="1"/>
  <c r="E132" i="1"/>
  <c r="E135" i="1" s="1"/>
  <c r="D132" i="1"/>
  <c r="D135" i="1" s="1"/>
  <c r="G122" i="1"/>
  <c r="F122" i="1"/>
  <c r="E122" i="1"/>
  <c r="D122" i="1"/>
  <c r="G121" i="1"/>
  <c r="G124" i="1" s="1"/>
  <c r="F121" i="1"/>
  <c r="F124" i="1" s="1"/>
  <c r="E121" i="1"/>
  <c r="E124" i="1" s="1"/>
  <c r="D121" i="1"/>
  <c r="D124" i="1" s="1"/>
  <c r="G111" i="1"/>
  <c r="F111" i="1"/>
  <c r="E111" i="1"/>
  <c r="D111" i="1"/>
  <c r="G110" i="1"/>
  <c r="G113" i="1" s="1"/>
  <c r="F110" i="1"/>
  <c r="F113" i="1" s="1"/>
  <c r="E110" i="1"/>
  <c r="E113" i="1" s="1"/>
  <c r="D110" i="1"/>
  <c r="D113" i="1" s="1"/>
  <c r="G100" i="1"/>
  <c r="F100" i="1"/>
  <c r="E100" i="1"/>
  <c r="D100" i="1"/>
  <c r="G99" i="1"/>
  <c r="G102" i="1" s="1"/>
  <c r="F99" i="1"/>
  <c r="F102" i="1" s="1"/>
  <c r="E99" i="1"/>
  <c r="E102" i="1" s="1"/>
  <c r="D99" i="1"/>
  <c r="D102" i="1" s="1"/>
  <c r="G89" i="1"/>
  <c r="F89" i="1"/>
  <c r="E89" i="1"/>
  <c r="D89" i="1"/>
  <c r="G88" i="1"/>
  <c r="G91" i="1" s="1"/>
  <c r="F88" i="1"/>
  <c r="F91" i="1" s="1"/>
  <c r="E88" i="1"/>
  <c r="E91" i="1" s="1"/>
  <c r="D88" i="1"/>
  <c r="D91" i="1" s="1"/>
  <c r="E78" i="1"/>
  <c r="F78" i="1"/>
  <c r="G78" i="1"/>
  <c r="D78" i="1"/>
  <c r="D80" i="1" s="1"/>
  <c r="E77" i="1"/>
  <c r="F77" i="1"/>
  <c r="G77" i="1"/>
  <c r="D77" i="1"/>
  <c r="G80" i="1"/>
  <c r="F80" i="1"/>
  <c r="E80" i="1" l="1"/>
  <c r="E67" i="1"/>
  <c r="F67" i="1"/>
  <c r="G67" i="1"/>
  <c r="D67" i="1"/>
  <c r="E66" i="1"/>
  <c r="F66" i="1"/>
  <c r="G66" i="1"/>
  <c r="G69" i="1" s="1"/>
  <c r="D66" i="1"/>
  <c r="D69" i="1" s="1"/>
  <c r="D64" i="1"/>
  <c r="F69" i="1" l="1"/>
  <c r="E69" i="1"/>
</calcChain>
</file>

<file path=xl/sharedStrings.xml><?xml version="1.0" encoding="utf-8"?>
<sst xmlns="http://schemas.openxmlformats.org/spreadsheetml/2006/main" count="385" uniqueCount="43">
  <si>
    <t>sector</t>
  </si>
  <si>
    <t>okved2</t>
  </si>
  <si>
    <t>year</t>
  </si>
  <si>
    <t>VDS_s</t>
  </si>
  <si>
    <t>ITcosts_s</t>
  </si>
  <si>
    <t>skvozcosts_s</t>
  </si>
  <si>
    <t>trainingcosts_s</t>
  </si>
  <si>
    <t xml:space="preserve">Обработка древесины и производство изделий из дерева и пробки, кроме мебели, производство изделий из соломки и материалов для плетения </t>
  </si>
  <si>
    <t>16</t>
  </si>
  <si>
    <t>Производство бумаги и бумажных изделий</t>
  </si>
  <si>
    <t>17</t>
  </si>
  <si>
    <t>Деятельность полиграфическая и копирование носителей информации</t>
  </si>
  <si>
    <t>18</t>
  </si>
  <si>
    <t xml:space="preserve"> Производство кокса и нефтепродуктов</t>
  </si>
  <si>
    <t>19</t>
  </si>
  <si>
    <t xml:space="preserve"> Производство химических веществ и химических продуктов</t>
  </si>
  <si>
    <t>20</t>
  </si>
  <si>
    <t>Производство лекарственных средств и материалов, применяемых в медицинских целях</t>
  </si>
  <si>
    <t>21</t>
  </si>
  <si>
    <t xml:space="preserve"> Производство резиновых и пластмассовых изделий</t>
  </si>
  <si>
    <t>22</t>
  </si>
  <si>
    <t>Производство прочей неметаллической минеральной продукции</t>
  </si>
  <si>
    <t>23</t>
  </si>
  <si>
    <t xml:space="preserve"> Производство металлургическое</t>
  </si>
  <si>
    <t>24</t>
  </si>
  <si>
    <t>Производство готовых металлических изделий, кроме машин и оборудования</t>
  </si>
  <si>
    <t>25</t>
  </si>
  <si>
    <t>Производство компьютеров, электронных и оптических изделий</t>
  </si>
  <si>
    <t>26</t>
  </si>
  <si>
    <t>Производство электрического оборудования</t>
  </si>
  <si>
    <t>27</t>
  </si>
  <si>
    <t>Производство машин и оборудования, не включенных в другие группировки</t>
  </si>
  <si>
    <t>28</t>
  </si>
  <si>
    <t xml:space="preserve"> Производство автотранспортных средств, прицепов и полуприцепов</t>
  </si>
  <si>
    <t>29</t>
  </si>
  <si>
    <t>Производство прочих транспортных средств и оборудования</t>
  </si>
  <si>
    <t>30</t>
  </si>
  <si>
    <t>Ремонт и монтаж машин и оборудования</t>
  </si>
  <si>
    <t>33</t>
  </si>
  <si>
    <t>медиана ВДС:</t>
  </si>
  <si>
    <t>верхний кластер:</t>
  </si>
  <si>
    <t>нижний кластер:</t>
  </si>
  <si>
    <t>разница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</si>
</sst>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49" fontId="0" fillId="0" borderId="0" xfId="0" applyNumberFormat="1" applyAlignment="1">
      <alignment horizontal="center"/>
    </xf>
    <xf numFmtId="49" fontId="0" fillId="2" borderId="0" xfId="0" applyNumberFormat="1" applyFill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3"/>
  <sheetViews>
    <sheetView tabSelected="1" zoomScale="85" zoomScaleNormal="85" workbookViewId="0">
      <selection activeCell="L14" sqref="L14"/>
    </sheetView>
  </sheetViews>
  <sheetFormatPr defaultRowHeight="15" x14ac:dyDescent="0.25"/>
  <cols>
    <col min="1" max="1" width="107.42578125" customWidth="1"/>
    <col min="2" max="2" width="8.7109375" customWidth="1"/>
    <col min="4" max="4" width="13.28515625" customWidth="1"/>
    <col min="5" max="5" width="14.85546875" customWidth="1"/>
    <col min="6" max="6" width="14.28515625" customWidth="1"/>
    <col min="7" max="7" width="17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23</v>
      </c>
      <c r="B2" s="8" t="s">
        <v>24</v>
      </c>
      <c r="C2" s="2">
        <v>2021</v>
      </c>
      <c r="D2" s="3">
        <v>2688475.9724428668</v>
      </c>
      <c r="E2" s="3">
        <v>22918.622383440001</v>
      </c>
      <c r="F2" s="4">
        <v>1.411209606183382E-2</v>
      </c>
      <c r="G2" s="4">
        <v>6.7540592802753808E-4</v>
      </c>
    </row>
    <row r="3" spans="1:7" x14ac:dyDescent="0.25">
      <c r="A3" s="2" t="s">
        <v>13</v>
      </c>
      <c r="B3" s="8" t="s">
        <v>14</v>
      </c>
      <c r="C3" s="2">
        <v>2022</v>
      </c>
      <c r="D3" s="3">
        <v>2237559.59010129</v>
      </c>
      <c r="E3" s="3">
        <v>28962.7912646</v>
      </c>
      <c r="F3" s="4">
        <v>0.18094518011478611</v>
      </c>
      <c r="G3" s="4">
        <v>2.339677504868966E-4</v>
      </c>
    </row>
    <row r="4" spans="1:7" x14ac:dyDescent="0.25">
      <c r="A4" s="2" t="s">
        <v>23</v>
      </c>
      <c r="B4" s="8" t="s">
        <v>24</v>
      </c>
      <c r="C4" s="2">
        <v>2022</v>
      </c>
      <c r="D4" s="3">
        <v>2199098.9702055152</v>
      </c>
      <c r="E4" s="3">
        <v>27186.587841839999</v>
      </c>
      <c r="F4" s="4">
        <v>1.428164445640567E-2</v>
      </c>
      <c r="G4" s="4">
        <v>1.063284111568874E-3</v>
      </c>
    </row>
    <row r="5" spans="1:7" x14ac:dyDescent="0.25">
      <c r="A5" s="2" t="s">
        <v>13</v>
      </c>
      <c r="B5" s="8" t="s">
        <v>14</v>
      </c>
      <c r="C5" s="2">
        <v>2021</v>
      </c>
      <c r="D5" s="3">
        <v>2136662.9096641121</v>
      </c>
      <c r="E5" s="3">
        <v>34419.6404244</v>
      </c>
      <c r="F5" s="4">
        <v>1.2450489874850871E-3</v>
      </c>
      <c r="G5" s="4">
        <v>2.6914455891389468E-4</v>
      </c>
    </row>
    <row r="6" spans="1:7" x14ac:dyDescent="0.25">
      <c r="A6" s="2" t="s">
        <v>23</v>
      </c>
      <c r="B6" s="8" t="s">
        <v>24</v>
      </c>
      <c r="C6" s="2">
        <v>2023</v>
      </c>
      <c r="D6" s="3">
        <v>2110825.0242093089</v>
      </c>
      <c r="E6" s="3">
        <v>36820.330575920001</v>
      </c>
      <c r="F6" s="4">
        <v>1.1388913987487259E-2</v>
      </c>
      <c r="G6" s="4">
        <v>1.346627653376551E-3</v>
      </c>
    </row>
    <row r="7" spans="1:7" x14ac:dyDescent="0.25">
      <c r="A7" s="2" t="s">
        <v>23</v>
      </c>
      <c r="B7" s="8" t="s">
        <v>24</v>
      </c>
      <c r="C7" s="2">
        <v>2024</v>
      </c>
      <c r="D7" s="3">
        <v>2060147.693651289</v>
      </c>
      <c r="E7" s="3">
        <v>24111.565200000001</v>
      </c>
      <c r="F7" s="4">
        <v>1.6816288641435851E-2</v>
      </c>
      <c r="G7" s="4">
        <v>4.7603910840263489E-4</v>
      </c>
    </row>
    <row r="8" spans="1:7" x14ac:dyDescent="0.25">
      <c r="A8" s="2" t="s">
        <v>13</v>
      </c>
      <c r="B8" s="8" t="s">
        <v>14</v>
      </c>
      <c r="C8" s="2">
        <v>2023</v>
      </c>
      <c r="D8" s="3">
        <v>1963532.5336935241</v>
      </c>
      <c r="E8" s="3">
        <v>38266.632667600003</v>
      </c>
      <c r="F8" s="4">
        <v>0.1254843771395045</v>
      </c>
      <c r="G8" s="4">
        <v>3.2594779133939081E-4</v>
      </c>
    </row>
    <row r="9" spans="1:7" x14ac:dyDescent="0.25">
      <c r="A9" s="2" t="s">
        <v>15</v>
      </c>
      <c r="B9" s="8" t="s">
        <v>16</v>
      </c>
      <c r="C9" s="2">
        <v>2022</v>
      </c>
      <c r="D9" s="3">
        <v>1501058.080583167</v>
      </c>
      <c r="E9" s="3">
        <v>10016.90090194</v>
      </c>
      <c r="F9" s="4">
        <v>4.8543989239808157E-3</v>
      </c>
      <c r="G9" s="4">
        <v>2.722411311338672E-3</v>
      </c>
    </row>
    <row r="10" spans="1:7" x14ac:dyDescent="0.25">
      <c r="A10" s="2" t="s">
        <v>13</v>
      </c>
      <c r="B10" s="8" t="s">
        <v>14</v>
      </c>
      <c r="C10" s="2">
        <v>2024</v>
      </c>
      <c r="D10" s="3">
        <v>1438073.2884498299</v>
      </c>
      <c r="E10" s="3">
        <v>33002.728752000003</v>
      </c>
      <c r="F10" s="4">
        <v>1.2530342781881009E-2</v>
      </c>
      <c r="G10" s="4">
        <v>4.7058508757579111E-4</v>
      </c>
    </row>
    <row r="11" spans="1:7" x14ac:dyDescent="0.25">
      <c r="A11" s="2" t="s">
        <v>15</v>
      </c>
      <c r="B11" s="8" t="s">
        <v>16</v>
      </c>
      <c r="C11" s="2">
        <v>2021</v>
      </c>
      <c r="D11" s="3">
        <v>1291276.529800517</v>
      </c>
      <c r="E11" s="3">
        <v>12420.628572240001</v>
      </c>
      <c r="F11" s="4">
        <v>9.5505969516812179E-3</v>
      </c>
      <c r="G11" s="4">
        <v>7.1947529628030547E-3</v>
      </c>
    </row>
    <row r="12" spans="1:7" x14ac:dyDescent="0.25">
      <c r="A12" s="2" t="s">
        <v>15</v>
      </c>
      <c r="B12" s="8" t="s">
        <v>16</v>
      </c>
      <c r="C12" s="2">
        <v>2024</v>
      </c>
      <c r="D12" s="3">
        <v>1235191.2922385989</v>
      </c>
      <c r="E12" s="3">
        <v>17766.839759999999</v>
      </c>
      <c r="F12" s="4">
        <v>9.3958949512133153E-4</v>
      </c>
      <c r="G12" s="4">
        <v>8.8262764857625984E-4</v>
      </c>
    </row>
    <row r="13" spans="1:7" x14ac:dyDescent="0.25">
      <c r="A13" s="2" t="s">
        <v>15</v>
      </c>
      <c r="B13" s="8" t="s">
        <v>16</v>
      </c>
      <c r="C13" s="2">
        <v>2023</v>
      </c>
      <c r="D13" s="3">
        <v>1202957.7138338401</v>
      </c>
      <c r="E13" s="3">
        <v>13409.25543712</v>
      </c>
      <c r="F13" s="4">
        <v>1.2431315547808089E-3</v>
      </c>
      <c r="G13" s="4">
        <v>1.4794270549193711E-3</v>
      </c>
    </row>
    <row r="14" spans="1:7" x14ac:dyDescent="0.25">
      <c r="A14" s="2" t="s">
        <v>25</v>
      </c>
      <c r="B14" s="8" t="s">
        <v>26</v>
      </c>
      <c r="C14" s="2">
        <v>2024</v>
      </c>
      <c r="D14" s="3">
        <v>1079590.799601601</v>
      </c>
      <c r="E14" s="3">
        <v>29824.255583999999</v>
      </c>
      <c r="F14" s="4">
        <v>1.7700063980245699E-2</v>
      </c>
      <c r="G14" s="4">
        <v>1.8406361575525849E-2</v>
      </c>
    </row>
    <row r="15" spans="1:7" x14ac:dyDescent="0.25">
      <c r="A15" s="2" t="s">
        <v>25</v>
      </c>
      <c r="B15" s="8" t="s">
        <v>26</v>
      </c>
      <c r="C15" s="2">
        <v>2023</v>
      </c>
      <c r="D15" s="3">
        <v>917032.53729645221</v>
      </c>
      <c r="E15" s="3">
        <v>21948.7441788</v>
      </c>
      <c r="F15" s="4">
        <v>5.1385668600091312E-2</v>
      </c>
      <c r="G15" s="4">
        <v>1.045825844659099E-3</v>
      </c>
    </row>
    <row r="16" spans="1:7" x14ac:dyDescent="0.25">
      <c r="A16" s="2" t="s">
        <v>25</v>
      </c>
      <c r="B16" s="8" t="s">
        <v>26</v>
      </c>
      <c r="C16" s="2">
        <v>2022</v>
      </c>
      <c r="D16" s="3">
        <v>802566.08061441511</v>
      </c>
      <c r="E16" s="3">
        <v>12046.641059559999</v>
      </c>
      <c r="F16" s="4">
        <v>1.264319260007594E-2</v>
      </c>
      <c r="G16" s="4">
        <v>9.2646432850616075E-4</v>
      </c>
    </row>
    <row r="17" spans="1:7" x14ac:dyDescent="0.25">
      <c r="A17" s="2" t="s">
        <v>25</v>
      </c>
      <c r="B17" s="8" t="s">
        <v>26</v>
      </c>
      <c r="C17" s="2">
        <v>2021</v>
      </c>
      <c r="D17" s="3">
        <v>774599.50938466226</v>
      </c>
      <c r="E17" s="3">
        <v>31768.917493320001</v>
      </c>
      <c r="F17" s="4">
        <v>4.5024994770462897E-3</v>
      </c>
      <c r="G17" s="4">
        <v>6.1504127372638605E-4</v>
      </c>
    </row>
    <row r="18" spans="1:7" x14ac:dyDescent="0.25">
      <c r="A18" s="2" t="s">
        <v>27</v>
      </c>
      <c r="B18" s="8" t="s">
        <v>28</v>
      </c>
      <c r="C18" s="2">
        <v>2024</v>
      </c>
      <c r="D18" s="3">
        <v>702640.28510284843</v>
      </c>
      <c r="E18" s="3">
        <v>24692.815392</v>
      </c>
      <c r="F18" s="4">
        <v>1.2473785395074479E-2</v>
      </c>
      <c r="G18" s="4">
        <v>1.210844187888221E-3</v>
      </c>
    </row>
    <row r="19" spans="1:7" x14ac:dyDescent="0.25">
      <c r="A19" s="2" t="s">
        <v>27</v>
      </c>
      <c r="B19" s="8" t="s">
        <v>28</v>
      </c>
      <c r="C19" s="2">
        <v>2023</v>
      </c>
      <c r="D19" s="3">
        <v>648523.59030139784</v>
      </c>
      <c r="E19" s="3">
        <v>20365.73930736</v>
      </c>
      <c r="F19" s="4">
        <v>2.3285205202868371E-2</v>
      </c>
      <c r="G19" s="4">
        <v>1.5783067550306741E-3</v>
      </c>
    </row>
    <row r="20" spans="1:7" x14ac:dyDescent="0.25">
      <c r="A20" s="2" t="s">
        <v>35</v>
      </c>
      <c r="B20" s="8" t="s">
        <v>36</v>
      </c>
      <c r="C20" s="2">
        <v>2024</v>
      </c>
      <c r="D20" s="3">
        <v>624490.81179662514</v>
      </c>
      <c r="E20" s="3">
        <v>23490.718752000001</v>
      </c>
      <c r="F20" s="4">
        <v>1.927088927244758E-3</v>
      </c>
      <c r="G20" s="4">
        <v>1.8760825696850091E-3</v>
      </c>
    </row>
    <row r="21" spans="1:7" x14ac:dyDescent="0.25">
      <c r="A21" s="2" t="s">
        <v>31</v>
      </c>
      <c r="B21" s="8" t="s">
        <v>32</v>
      </c>
      <c r="C21" s="2">
        <v>2024</v>
      </c>
      <c r="D21" s="3">
        <v>615324.90182869229</v>
      </c>
      <c r="E21" s="3">
        <v>12188.037840000001</v>
      </c>
      <c r="F21" s="4">
        <v>3.5563801629943082E-3</v>
      </c>
      <c r="G21" s="4">
        <v>2.3262126662383252E-3</v>
      </c>
    </row>
    <row r="22" spans="1:7" x14ac:dyDescent="0.25">
      <c r="A22" s="2" t="s">
        <v>35</v>
      </c>
      <c r="B22" s="8" t="s">
        <v>36</v>
      </c>
      <c r="C22" s="2">
        <v>2023</v>
      </c>
      <c r="D22" s="3">
        <v>615005.46689121344</v>
      </c>
      <c r="E22" s="3">
        <v>18304.5266156</v>
      </c>
      <c r="F22" s="4">
        <v>2.0544865338363899E-3</v>
      </c>
      <c r="G22" s="4">
        <v>2.397692315221963E-3</v>
      </c>
    </row>
    <row r="23" spans="1:7" x14ac:dyDescent="0.25">
      <c r="A23" s="2" t="s">
        <v>21</v>
      </c>
      <c r="B23" s="8" t="s">
        <v>22</v>
      </c>
      <c r="C23" s="2">
        <v>2024</v>
      </c>
      <c r="D23" s="3">
        <v>589836.07301855378</v>
      </c>
      <c r="E23" s="3">
        <v>3459.2387039999999</v>
      </c>
      <c r="F23" s="4">
        <v>2.6129124854981389E-3</v>
      </c>
      <c r="G23" s="4">
        <v>2.2962786554205951E-3</v>
      </c>
    </row>
    <row r="24" spans="1:7" x14ac:dyDescent="0.25">
      <c r="A24" s="2" t="s">
        <v>21</v>
      </c>
      <c r="B24" s="8" t="s">
        <v>22</v>
      </c>
      <c r="C24" s="2">
        <v>2022</v>
      </c>
      <c r="D24" s="3">
        <v>585427.26654459862</v>
      </c>
      <c r="E24" s="3">
        <v>4854.6591208600003</v>
      </c>
      <c r="F24" s="4">
        <v>3.7612999688359748E-4</v>
      </c>
      <c r="G24" s="4">
        <v>2.0756040556386131E-3</v>
      </c>
    </row>
    <row r="25" spans="1:7" x14ac:dyDescent="0.25">
      <c r="A25" s="2" t="s">
        <v>21</v>
      </c>
      <c r="B25" s="8" t="s">
        <v>22</v>
      </c>
      <c r="C25" s="2">
        <v>2023</v>
      </c>
      <c r="D25" s="3">
        <v>575669.32501484314</v>
      </c>
      <c r="E25" s="3">
        <v>4774.9529707199999</v>
      </c>
      <c r="F25" s="4">
        <v>2.8738600116371028E-4</v>
      </c>
      <c r="G25" s="4">
        <v>1.316480132589062E-3</v>
      </c>
    </row>
    <row r="26" spans="1:7" x14ac:dyDescent="0.25">
      <c r="A26" s="2" t="s">
        <v>35</v>
      </c>
      <c r="B26" s="8" t="s">
        <v>36</v>
      </c>
      <c r="C26" s="2">
        <v>2021</v>
      </c>
      <c r="D26" s="3">
        <v>557880.96074185451</v>
      </c>
      <c r="E26" s="3">
        <v>17673.58753398</v>
      </c>
      <c r="F26" s="4">
        <v>1.2639185721094849E-3</v>
      </c>
      <c r="G26" s="4">
        <v>7.224852054202324E-4</v>
      </c>
    </row>
    <row r="27" spans="1:7" x14ac:dyDescent="0.25">
      <c r="A27" s="2" t="s">
        <v>21</v>
      </c>
      <c r="B27" s="8" t="s">
        <v>22</v>
      </c>
      <c r="C27" s="2">
        <v>2021</v>
      </c>
      <c r="D27" s="3">
        <v>532258.74860418728</v>
      </c>
      <c r="E27" s="3">
        <v>5998.8555937799993</v>
      </c>
      <c r="F27" s="4">
        <v>3.3561812091085249E-3</v>
      </c>
      <c r="G27" s="4">
        <v>1.7434020366891251E-3</v>
      </c>
    </row>
    <row r="28" spans="1:7" x14ac:dyDescent="0.25">
      <c r="A28" s="2" t="s">
        <v>35</v>
      </c>
      <c r="B28" s="8" t="s">
        <v>36</v>
      </c>
      <c r="C28" s="2">
        <v>2022</v>
      </c>
      <c r="D28" s="3">
        <v>528936.59684355662</v>
      </c>
      <c r="E28" s="3">
        <v>14840.029964359999</v>
      </c>
      <c r="F28" s="4">
        <v>3.348617336982791E-3</v>
      </c>
      <c r="G28" s="4">
        <v>9.7700369843055682E-4</v>
      </c>
    </row>
    <row r="29" spans="1:7" x14ac:dyDescent="0.25">
      <c r="A29" s="2" t="s">
        <v>27</v>
      </c>
      <c r="B29" s="8" t="s">
        <v>28</v>
      </c>
      <c r="C29" s="2">
        <v>2022</v>
      </c>
      <c r="D29" s="3">
        <v>525586.90611574077</v>
      </c>
      <c r="E29" s="3">
        <v>57596.7124071</v>
      </c>
      <c r="F29" s="4">
        <v>6.9328647193893768E-4</v>
      </c>
      <c r="G29" s="4">
        <v>1.2640594598421069E-2</v>
      </c>
    </row>
    <row r="30" spans="1:7" x14ac:dyDescent="0.25">
      <c r="A30" s="2" t="s">
        <v>37</v>
      </c>
      <c r="B30" s="8" t="s">
        <v>38</v>
      </c>
      <c r="C30" s="2">
        <v>2021</v>
      </c>
      <c r="D30" s="3">
        <v>496312.33844584553</v>
      </c>
      <c r="E30" s="3">
        <v>6058.6276942799996</v>
      </c>
      <c r="F30" s="4">
        <v>1.149126975828702E-3</v>
      </c>
      <c r="G30" s="4">
        <v>4.3326889923906344E-3</v>
      </c>
    </row>
    <row r="31" spans="1:7" x14ac:dyDescent="0.25">
      <c r="A31" s="2" t="s">
        <v>27</v>
      </c>
      <c r="B31" s="8" t="s">
        <v>28</v>
      </c>
      <c r="C31" s="2">
        <v>2021</v>
      </c>
      <c r="D31" s="3">
        <v>489831.22166003252</v>
      </c>
      <c r="E31" s="3">
        <v>28233.8392518</v>
      </c>
      <c r="F31" s="4">
        <v>1.7629362658082969E-3</v>
      </c>
      <c r="G31" s="4">
        <v>1.091290811894655E-3</v>
      </c>
    </row>
    <row r="32" spans="1:7" x14ac:dyDescent="0.25">
      <c r="A32" s="5" t="s">
        <v>37</v>
      </c>
      <c r="B32" s="9" t="s">
        <v>38</v>
      </c>
      <c r="C32" s="5">
        <v>2023</v>
      </c>
      <c r="D32" s="3">
        <v>481190.63450056087</v>
      </c>
      <c r="E32" s="3">
        <v>5659.2905294400007</v>
      </c>
      <c r="F32" s="4">
        <v>2.7642536319032169E-4</v>
      </c>
      <c r="G32" s="4">
        <v>2.609783923120391E-3</v>
      </c>
    </row>
    <row r="33" spans="1:7" x14ac:dyDescent="0.25">
      <c r="A33" s="2" t="s">
        <v>33</v>
      </c>
      <c r="B33" s="8" t="s">
        <v>34</v>
      </c>
      <c r="C33" s="2">
        <v>2021</v>
      </c>
      <c r="D33" s="3">
        <v>480752.63075950177</v>
      </c>
      <c r="E33" s="3">
        <v>13713.99982974</v>
      </c>
      <c r="F33" s="4">
        <v>1.8909555433829729E-4</v>
      </c>
      <c r="G33" s="4">
        <v>1.421912259449817E-2</v>
      </c>
    </row>
    <row r="34" spans="1:7" x14ac:dyDescent="0.25">
      <c r="A34" s="2" t="s">
        <v>37</v>
      </c>
      <c r="B34" s="8" t="s">
        <v>38</v>
      </c>
      <c r="C34" s="2">
        <v>2022</v>
      </c>
      <c r="D34" s="3">
        <v>463554.2380744408</v>
      </c>
      <c r="E34" s="3">
        <v>6405.1162323599992</v>
      </c>
      <c r="F34" s="4">
        <v>1.36542870460566E-3</v>
      </c>
      <c r="G34" s="4">
        <v>1.06191448730258E-3</v>
      </c>
    </row>
    <row r="35" spans="1:7" x14ac:dyDescent="0.25">
      <c r="A35" s="2" t="s">
        <v>31</v>
      </c>
      <c r="B35" s="8" t="s">
        <v>32</v>
      </c>
      <c r="C35" s="2">
        <v>2023</v>
      </c>
      <c r="D35" s="3">
        <v>463470.71898289572</v>
      </c>
      <c r="E35" s="3">
        <v>9380.3853557600014</v>
      </c>
      <c r="F35" s="4">
        <v>2.4821681068467739E-3</v>
      </c>
      <c r="G35" s="4">
        <v>1.7821392198706289E-3</v>
      </c>
    </row>
    <row r="36" spans="1:7" x14ac:dyDescent="0.25">
      <c r="A36" s="2" t="s">
        <v>37</v>
      </c>
      <c r="B36" s="8" t="s">
        <v>38</v>
      </c>
      <c r="C36" s="2">
        <v>2024</v>
      </c>
      <c r="D36" s="3">
        <v>463215.01884109463</v>
      </c>
      <c r="E36" s="3">
        <v>6600.4823040000001</v>
      </c>
      <c r="F36" s="4">
        <v>1.0184783005820781E-3</v>
      </c>
      <c r="G36" s="4">
        <v>1.1952508372333631E-3</v>
      </c>
    </row>
    <row r="37" spans="1:7" x14ac:dyDescent="0.25">
      <c r="A37" s="2" t="s">
        <v>31</v>
      </c>
      <c r="B37" s="8" t="s">
        <v>32</v>
      </c>
      <c r="C37" s="2">
        <v>2022</v>
      </c>
      <c r="D37" s="3">
        <v>441905.15975913568</v>
      </c>
      <c r="E37" s="3">
        <v>8680.9984719799995</v>
      </c>
      <c r="F37" s="4">
        <v>5.3628300774693723E-2</v>
      </c>
      <c r="G37" s="4">
        <v>1.9809359137092151E-3</v>
      </c>
    </row>
    <row r="38" spans="1:7" x14ac:dyDescent="0.25">
      <c r="A38" s="2" t="s">
        <v>33</v>
      </c>
      <c r="B38" s="8" t="s">
        <v>34</v>
      </c>
      <c r="C38" s="2">
        <v>2024</v>
      </c>
      <c r="D38" s="3">
        <v>430680.74778667098</v>
      </c>
      <c r="E38" s="3">
        <v>9650.7308639999992</v>
      </c>
      <c r="F38" s="4">
        <v>3.2382873836611008E-4</v>
      </c>
      <c r="G38" s="4">
        <v>1.307147425181787E-3</v>
      </c>
    </row>
    <row r="39" spans="1:7" x14ac:dyDescent="0.25">
      <c r="A39" s="2" t="s">
        <v>31</v>
      </c>
      <c r="B39" s="8" t="s">
        <v>32</v>
      </c>
      <c r="C39" s="2">
        <v>2021</v>
      </c>
      <c r="D39" s="3">
        <v>396416.47748978873</v>
      </c>
      <c r="E39" s="3">
        <v>10615.43888874</v>
      </c>
      <c r="F39" s="4">
        <v>5.7122249315871114E-3</v>
      </c>
      <c r="G39" s="4">
        <v>1.223257961926933E-3</v>
      </c>
    </row>
    <row r="40" spans="1:7" x14ac:dyDescent="0.25">
      <c r="A40" s="2" t="s">
        <v>17</v>
      </c>
      <c r="B40" s="8" t="s">
        <v>18</v>
      </c>
      <c r="C40" s="2">
        <v>2021</v>
      </c>
      <c r="D40" s="3">
        <v>391236.03926557873</v>
      </c>
      <c r="E40" s="3">
        <v>9174.7777388399991</v>
      </c>
      <c r="F40" s="4">
        <v>7.2720955318134649E-3</v>
      </c>
      <c r="G40" s="4">
        <v>4.0538663342816288E-4</v>
      </c>
    </row>
    <row r="41" spans="1:7" x14ac:dyDescent="0.25">
      <c r="A41" s="2" t="s">
        <v>33</v>
      </c>
      <c r="B41" s="8" t="s">
        <v>34</v>
      </c>
      <c r="C41" s="2">
        <v>2023</v>
      </c>
      <c r="D41" s="3">
        <v>344818.33344279532</v>
      </c>
      <c r="E41" s="3">
        <v>7766.5175531200011</v>
      </c>
      <c r="F41" s="4">
        <v>5.6879237956854514E-4</v>
      </c>
      <c r="G41" s="4">
        <v>9.2862762115340628E-4</v>
      </c>
    </row>
    <row r="42" spans="1:7" x14ac:dyDescent="0.25">
      <c r="A42" s="2" t="s">
        <v>29</v>
      </c>
      <c r="B42" s="8" t="s">
        <v>30</v>
      </c>
      <c r="C42" s="2">
        <v>2024</v>
      </c>
      <c r="D42" s="3">
        <v>333902.21266145178</v>
      </c>
      <c r="E42" s="3">
        <v>6590.0541599999997</v>
      </c>
      <c r="F42" s="4">
        <v>3.968817154607421E-3</v>
      </c>
      <c r="G42" s="4">
        <v>1.4273582237145071E-3</v>
      </c>
    </row>
    <row r="43" spans="1:7" x14ac:dyDescent="0.25">
      <c r="A43" s="2" t="s">
        <v>7</v>
      </c>
      <c r="B43" s="8" t="s">
        <v>8</v>
      </c>
      <c r="C43" s="2">
        <v>2021</v>
      </c>
      <c r="D43" s="3">
        <v>332033.64455055603</v>
      </c>
      <c r="E43" s="3">
        <v>1720.9347523199999</v>
      </c>
      <c r="F43" s="4">
        <v>5.4438237053266124E-4</v>
      </c>
      <c r="G43" s="4">
        <v>1.095196036606934E-3</v>
      </c>
    </row>
    <row r="44" spans="1:7" x14ac:dyDescent="0.25">
      <c r="A44" s="2" t="s">
        <v>17</v>
      </c>
      <c r="B44" s="8" t="s">
        <v>18</v>
      </c>
      <c r="C44" s="2">
        <v>2022</v>
      </c>
      <c r="D44" s="3">
        <v>331000.25434189721</v>
      </c>
      <c r="E44" s="3">
        <v>7502.6813292799998</v>
      </c>
      <c r="F44" s="4">
        <v>1.753601618218082E-3</v>
      </c>
      <c r="G44" s="4">
        <v>3.3407912051630981E-4</v>
      </c>
    </row>
    <row r="45" spans="1:7" x14ac:dyDescent="0.25">
      <c r="A45" s="2" t="s">
        <v>19</v>
      </c>
      <c r="B45" s="8" t="s">
        <v>20</v>
      </c>
      <c r="C45" s="2">
        <v>2022</v>
      </c>
      <c r="D45" s="3">
        <v>327266.01547195681</v>
      </c>
      <c r="E45" s="3">
        <v>2736.7203125999999</v>
      </c>
      <c r="F45" s="4">
        <v>6.5575458761258591E-4</v>
      </c>
      <c r="G45" s="4">
        <v>9.6186040198574876E-4</v>
      </c>
    </row>
    <row r="46" spans="1:7" x14ac:dyDescent="0.25">
      <c r="A46" s="2" t="s">
        <v>19</v>
      </c>
      <c r="B46" s="8" t="s">
        <v>20</v>
      </c>
      <c r="C46" s="2">
        <v>2023</v>
      </c>
      <c r="D46" s="3">
        <v>323997.44760210218</v>
      </c>
      <c r="E46" s="3">
        <v>2594.2840083999999</v>
      </c>
      <c r="F46" s="4">
        <v>4.4144095106468531E-4</v>
      </c>
      <c r="G46" s="4">
        <v>4.2813564143465432E-3</v>
      </c>
    </row>
    <row r="47" spans="1:7" x14ac:dyDescent="0.25">
      <c r="A47" s="2" t="s">
        <v>19</v>
      </c>
      <c r="B47" s="8" t="s">
        <v>20</v>
      </c>
      <c r="C47" s="2">
        <v>2024</v>
      </c>
      <c r="D47" s="3">
        <v>321762.90970591619</v>
      </c>
      <c r="E47" s="3">
        <v>2793.945984</v>
      </c>
      <c r="F47" s="4">
        <v>3.0877619142976242E-4</v>
      </c>
      <c r="G47" s="4">
        <v>1.0062327675981299E-3</v>
      </c>
    </row>
    <row r="48" spans="1:7" x14ac:dyDescent="0.25">
      <c r="A48" s="2" t="s">
        <v>9</v>
      </c>
      <c r="B48" s="8" t="s">
        <v>10</v>
      </c>
      <c r="C48" s="2">
        <v>2021</v>
      </c>
      <c r="D48" s="3">
        <v>320449.11322310509</v>
      </c>
      <c r="E48" s="3">
        <v>3164.1185242800002</v>
      </c>
      <c r="F48" s="4">
        <v>6.7699852441129374E-3</v>
      </c>
      <c r="G48" s="4">
        <v>2.6803313639870169E-3</v>
      </c>
    </row>
    <row r="49" spans="1:7" x14ac:dyDescent="0.25">
      <c r="A49" s="2" t="s">
        <v>17</v>
      </c>
      <c r="B49" s="8" t="s">
        <v>18</v>
      </c>
      <c r="C49" s="2">
        <v>2024</v>
      </c>
      <c r="D49" s="3">
        <v>315114.80271184049</v>
      </c>
      <c r="E49" s="3">
        <v>3780.5631839999992</v>
      </c>
      <c r="F49" s="4">
        <v>1.04121883656369E-2</v>
      </c>
      <c r="G49" s="4">
        <v>1.4970467955548929E-3</v>
      </c>
    </row>
    <row r="50" spans="1:7" x14ac:dyDescent="0.25">
      <c r="A50" s="2" t="s">
        <v>17</v>
      </c>
      <c r="B50" s="8" t="s">
        <v>18</v>
      </c>
      <c r="C50" s="2">
        <v>2023</v>
      </c>
      <c r="D50" s="3">
        <v>311812.99097068148</v>
      </c>
      <c r="E50" s="3">
        <v>3403.6800820799999</v>
      </c>
      <c r="F50" s="4">
        <v>7.8396110552474759E-4</v>
      </c>
      <c r="G50" s="4">
        <v>1.35821810761219E-3</v>
      </c>
    </row>
    <row r="51" spans="1:7" x14ac:dyDescent="0.25">
      <c r="A51" s="2" t="s">
        <v>33</v>
      </c>
      <c r="B51" s="8" t="s">
        <v>34</v>
      </c>
      <c r="C51" s="2">
        <v>2022</v>
      </c>
      <c r="D51" s="3">
        <v>310794.74797233898</v>
      </c>
      <c r="E51" s="3">
        <v>8210.8821614400003</v>
      </c>
      <c r="F51" s="4">
        <v>1.515288413031857E-4</v>
      </c>
      <c r="G51" s="4">
        <v>1.134724744407487E-2</v>
      </c>
    </row>
    <row r="52" spans="1:7" x14ac:dyDescent="0.25">
      <c r="A52" s="2" t="s">
        <v>19</v>
      </c>
      <c r="B52" s="8" t="s">
        <v>20</v>
      </c>
      <c r="C52" s="2">
        <v>2021</v>
      </c>
      <c r="D52" s="3">
        <v>297602.00445720641</v>
      </c>
      <c r="E52" s="3">
        <v>3256.4356082999998</v>
      </c>
      <c r="F52" s="4">
        <v>3.8592436982227681E-4</v>
      </c>
      <c r="G52" s="4">
        <v>2.369477916386043E-3</v>
      </c>
    </row>
    <row r="53" spans="1:7" x14ac:dyDescent="0.25">
      <c r="A53" s="2" t="s">
        <v>29</v>
      </c>
      <c r="B53" s="8" t="s">
        <v>30</v>
      </c>
      <c r="C53" s="2">
        <v>2023</v>
      </c>
      <c r="D53" s="3">
        <v>289865.32010952412</v>
      </c>
      <c r="E53" s="3">
        <v>5130.8202951200001</v>
      </c>
      <c r="F53" s="4">
        <v>7.1409024001186736E-3</v>
      </c>
      <c r="G53" s="4">
        <v>1.6292149323472839E-3</v>
      </c>
    </row>
    <row r="54" spans="1:7" x14ac:dyDescent="0.25">
      <c r="A54" s="2" t="s">
        <v>9</v>
      </c>
      <c r="B54" s="8" t="s">
        <v>10</v>
      </c>
      <c r="C54" s="2">
        <v>2024</v>
      </c>
      <c r="D54" s="3">
        <v>269939.47590449912</v>
      </c>
      <c r="E54" s="3">
        <v>2592.956784</v>
      </c>
      <c r="F54" s="4">
        <v>1.8052595511364291E-3</v>
      </c>
      <c r="G54" s="4">
        <v>8.4950123873718997E-4</v>
      </c>
    </row>
    <row r="55" spans="1:7" x14ac:dyDescent="0.25">
      <c r="A55" s="2" t="s">
        <v>7</v>
      </c>
      <c r="B55" s="8" t="s">
        <v>8</v>
      </c>
      <c r="C55" s="2">
        <v>2022</v>
      </c>
      <c r="D55" s="3">
        <v>262055.5197426404</v>
      </c>
      <c r="E55" s="3">
        <v>1735.1564722600001</v>
      </c>
      <c r="F55" s="4">
        <v>3.0591654094954831E-3</v>
      </c>
      <c r="G55" s="4">
        <v>7.4264450532327117E-4</v>
      </c>
    </row>
    <row r="56" spans="1:7" x14ac:dyDescent="0.25">
      <c r="A56" s="2" t="s">
        <v>29</v>
      </c>
      <c r="B56" s="8" t="s">
        <v>30</v>
      </c>
      <c r="C56" s="2">
        <v>2022</v>
      </c>
      <c r="D56" s="3">
        <v>259818.50988372459</v>
      </c>
      <c r="E56" s="3">
        <v>45922.658233419999</v>
      </c>
      <c r="F56" s="4">
        <v>4.0433840100499702E-5</v>
      </c>
      <c r="G56" s="4">
        <v>1.5232724169502069E-4</v>
      </c>
    </row>
    <row r="57" spans="1:7" x14ac:dyDescent="0.25">
      <c r="A57" s="2" t="s">
        <v>29</v>
      </c>
      <c r="B57" s="8" t="s">
        <v>30</v>
      </c>
      <c r="C57" s="2">
        <v>2021</v>
      </c>
      <c r="D57" s="3">
        <v>234189.89306239539</v>
      </c>
      <c r="E57" s="3">
        <v>4733.3383234200001</v>
      </c>
      <c r="F57" s="4">
        <v>6.6356632156617178E-4</v>
      </c>
      <c r="G57" s="4">
        <v>3.1476572520248271E-3</v>
      </c>
    </row>
    <row r="58" spans="1:7" x14ac:dyDescent="0.25">
      <c r="A58" s="2" t="s">
        <v>7</v>
      </c>
      <c r="B58" s="8" t="s">
        <v>8</v>
      </c>
      <c r="C58" s="2">
        <v>2024</v>
      </c>
      <c r="D58" s="3">
        <v>208604.95707132079</v>
      </c>
      <c r="E58" s="3">
        <v>1402.2910079999999</v>
      </c>
      <c r="F58" s="4">
        <v>2.940331198358508E-3</v>
      </c>
      <c r="G58" s="4">
        <v>9.1745863922704425E-4</v>
      </c>
    </row>
    <row r="59" spans="1:7" x14ac:dyDescent="0.25">
      <c r="A59" s="2" t="s">
        <v>7</v>
      </c>
      <c r="B59" s="8" t="s">
        <v>8</v>
      </c>
      <c r="C59" s="2">
        <v>2023</v>
      </c>
      <c r="D59" s="3">
        <v>201018.8383422663</v>
      </c>
      <c r="E59" s="3">
        <v>1914.6587492000001</v>
      </c>
      <c r="F59" s="4">
        <v>2.4675821537253392E-3</v>
      </c>
      <c r="G59" s="4">
        <v>4.9806477545852595E-4</v>
      </c>
    </row>
    <row r="60" spans="1:7" x14ac:dyDescent="0.25">
      <c r="A60" s="2" t="s">
        <v>11</v>
      </c>
      <c r="B60" s="8" t="s">
        <v>12</v>
      </c>
      <c r="C60" s="2">
        <v>2022</v>
      </c>
      <c r="D60" s="3">
        <v>97959.145876195587</v>
      </c>
      <c r="E60" s="3">
        <v>683.65838265999992</v>
      </c>
      <c r="F60" s="4">
        <v>5.6993377084615887E-5</v>
      </c>
      <c r="G60" s="4">
        <v>2.003412193486057E-3</v>
      </c>
    </row>
    <row r="61" spans="1:7" x14ac:dyDescent="0.25">
      <c r="A61" s="2" t="s">
        <v>11</v>
      </c>
      <c r="B61" s="8" t="s">
        <v>12</v>
      </c>
      <c r="C61" s="2">
        <v>2023</v>
      </c>
      <c r="D61" s="3">
        <v>95591.120637130909</v>
      </c>
      <c r="E61" s="3">
        <v>1766.41918304</v>
      </c>
      <c r="F61" s="4">
        <v>1.0827214844375309E-3</v>
      </c>
      <c r="G61" s="4">
        <v>1.157616504413661E-3</v>
      </c>
    </row>
    <row r="62" spans="1:7" x14ac:dyDescent="0.25">
      <c r="A62" s="2" t="s">
        <v>11</v>
      </c>
      <c r="B62" s="8" t="s">
        <v>12</v>
      </c>
      <c r="C62" s="2">
        <v>2021</v>
      </c>
      <c r="D62" s="3">
        <v>82867.321381128873</v>
      </c>
      <c r="E62" s="3">
        <v>2276.6300928000001</v>
      </c>
      <c r="F62" s="4">
        <v>2.6907058899788261E-3</v>
      </c>
      <c r="G62" s="4">
        <v>8.8722397476340717E-4</v>
      </c>
    </row>
    <row r="64" spans="1:7" x14ac:dyDescent="0.25">
      <c r="B64" s="6" t="s">
        <v>39</v>
      </c>
      <c r="D64" s="3">
        <f>MEDIAN(D2:D62)</f>
        <v>481190.63450056087</v>
      </c>
    </row>
    <row r="65" spans="1:7" x14ac:dyDescent="0.25">
      <c r="B65" s="7"/>
    </row>
    <row r="66" spans="1:7" x14ac:dyDescent="0.25">
      <c r="B66" s="7" t="s">
        <v>40</v>
      </c>
      <c r="D66" s="3">
        <f>AVERAGE(D2:D31)</f>
        <v>1124212.4339560324</v>
      </c>
      <c r="E66" s="3">
        <f t="shared" ref="E66:G66" si="0">AVERAGE(E2:E31)</f>
        <v>21247.447441487337</v>
      </c>
      <c r="F66" s="4">
        <f t="shared" si="0"/>
        <v>1.7925682509706109E-2</v>
      </c>
      <c r="G66" s="4">
        <f t="shared" si="0"/>
        <v>2.4906293556901716E-3</v>
      </c>
    </row>
    <row r="67" spans="1:7" x14ac:dyDescent="0.25">
      <c r="B67" s="7" t="s">
        <v>41</v>
      </c>
      <c r="D67" s="3">
        <f>AVERAGE(D33:D62)</f>
        <v>313456.52033605945</v>
      </c>
      <c r="E67" s="3">
        <f t="shared" ref="E67:G67" si="1">AVERAGE(E33:E62)</f>
        <v>6530.0444956386673</v>
      </c>
      <c r="F67" s="4">
        <f t="shared" si="1"/>
        <v>4.0228145149423019E-3</v>
      </c>
      <c r="G67" s="4">
        <f t="shared" si="1"/>
        <v>2.1482436181387908E-3</v>
      </c>
    </row>
    <row r="69" spans="1:7" x14ac:dyDescent="0.25">
      <c r="C69" s="7" t="s">
        <v>42</v>
      </c>
      <c r="D69" s="3">
        <f>D66/D67</f>
        <v>3.5865019899753703</v>
      </c>
      <c r="E69" s="3">
        <f t="shared" ref="E69:G69" si="2">E66/E67</f>
        <v>3.2537982636532159</v>
      </c>
      <c r="F69" s="3">
        <f t="shared" si="2"/>
        <v>4.4560052279624465</v>
      </c>
      <c r="G69" s="3">
        <f t="shared" si="2"/>
        <v>1.1593793807464068</v>
      </c>
    </row>
    <row r="71" spans="1:7" x14ac:dyDescent="0.25">
      <c r="A71" s="1" t="s">
        <v>0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6</v>
      </c>
    </row>
    <row r="72" spans="1:7" x14ac:dyDescent="0.25">
      <c r="A72" s="2" t="s">
        <v>7</v>
      </c>
      <c r="B72" s="8" t="s">
        <v>8</v>
      </c>
      <c r="C72" s="2">
        <v>2021</v>
      </c>
      <c r="D72" s="3">
        <v>332033.64455055603</v>
      </c>
      <c r="E72" s="3">
        <v>1720.9347523199999</v>
      </c>
      <c r="F72" s="4">
        <v>5.4438237053266124E-4</v>
      </c>
      <c r="G72" s="4">
        <v>1.095196036606934E-3</v>
      </c>
    </row>
    <row r="73" spans="1:7" x14ac:dyDescent="0.25">
      <c r="A73" s="2" t="s">
        <v>7</v>
      </c>
      <c r="B73" s="8" t="s">
        <v>8</v>
      </c>
      <c r="C73" s="2">
        <v>2022</v>
      </c>
      <c r="D73" s="3">
        <v>262055.5197426404</v>
      </c>
      <c r="E73" s="3">
        <v>1735.1564722600001</v>
      </c>
      <c r="F73" s="4">
        <v>3.0591654094954831E-3</v>
      </c>
      <c r="G73" s="4">
        <v>7.4264450532327117E-4</v>
      </c>
    </row>
    <row r="74" spans="1:7" x14ac:dyDescent="0.25">
      <c r="A74" s="2" t="s">
        <v>7</v>
      </c>
      <c r="B74" s="8" t="s">
        <v>8</v>
      </c>
      <c r="C74" s="2">
        <v>2024</v>
      </c>
      <c r="D74" s="3">
        <v>208604.95707132079</v>
      </c>
      <c r="E74" s="3">
        <v>1402.2910079999999</v>
      </c>
      <c r="F74" s="4">
        <v>2.940331198358508E-3</v>
      </c>
      <c r="G74" s="4">
        <v>9.1745863922704425E-4</v>
      </c>
    </row>
    <row r="75" spans="1:7" x14ac:dyDescent="0.25">
      <c r="A75" s="2" t="s">
        <v>7</v>
      </c>
      <c r="B75" s="8" t="s">
        <v>8</v>
      </c>
      <c r="C75" s="2">
        <v>2023</v>
      </c>
      <c r="D75" s="3">
        <v>201018.8383422663</v>
      </c>
      <c r="E75" s="3">
        <v>1914.6587492000001</v>
      </c>
      <c r="F75" s="4">
        <v>2.4675821537253392E-3</v>
      </c>
      <c r="G75" s="4">
        <v>4.9806477545852595E-4</v>
      </c>
    </row>
    <row r="77" spans="1:7" x14ac:dyDescent="0.25">
      <c r="B77" s="7" t="s">
        <v>40</v>
      </c>
      <c r="D77" s="3">
        <f>AVERAGE(D72:D73)</f>
        <v>297044.5821465982</v>
      </c>
      <c r="E77" s="3">
        <f t="shared" ref="E77:G77" si="3">AVERAGE(E72:E73)</f>
        <v>1728.04561229</v>
      </c>
      <c r="F77" s="4">
        <f t="shared" si="3"/>
        <v>1.8017738900140722E-3</v>
      </c>
      <c r="G77" s="4">
        <f t="shared" si="3"/>
        <v>9.1892027096510251E-4</v>
      </c>
    </row>
    <row r="78" spans="1:7" x14ac:dyDescent="0.25">
      <c r="B78" s="7" t="s">
        <v>41</v>
      </c>
      <c r="D78" s="3">
        <f>AVERAGE(D74:D75)</f>
        <v>204811.89770679356</v>
      </c>
      <c r="E78" s="3">
        <f t="shared" ref="E78:G78" si="4">AVERAGE(E74:E75)</f>
        <v>1658.4748786</v>
      </c>
      <c r="F78" s="4">
        <f t="shared" si="4"/>
        <v>2.7039566760419234E-3</v>
      </c>
      <c r="G78" s="4">
        <f t="shared" si="4"/>
        <v>7.0776170734278515E-4</v>
      </c>
    </row>
    <row r="80" spans="1:7" x14ac:dyDescent="0.25">
      <c r="C80" s="7" t="s">
        <v>42</v>
      </c>
      <c r="D80" s="3">
        <f>D77/D78</f>
        <v>1.4503287429709963</v>
      </c>
      <c r="E80" s="3">
        <f t="shared" ref="E80:G80" si="5">E77/E78</f>
        <v>1.0419486207404769</v>
      </c>
      <c r="F80" s="3">
        <f t="shared" si="5"/>
        <v>0.6663471741165341</v>
      </c>
      <c r="G80" s="3">
        <f t="shared" si="5"/>
        <v>1.2983469738919464</v>
      </c>
    </row>
    <row r="82" spans="1:7" x14ac:dyDescent="0.25">
      <c r="A82" s="1" t="s">
        <v>0</v>
      </c>
      <c r="B82" s="1" t="s">
        <v>1</v>
      </c>
      <c r="C82" s="1" t="s">
        <v>2</v>
      </c>
      <c r="D82" s="1" t="s">
        <v>3</v>
      </c>
      <c r="E82" s="1" t="s">
        <v>4</v>
      </c>
      <c r="F82" s="1" t="s">
        <v>5</v>
      </c>
      <c r="G82" s="1" t="s">
        <v>6</v>
      </c>
    </row>
    <row r="83" spans="1:7" x14ac:dyDescent="0.25">
      <c r="A83" s="2" t="s">
        <v>13</v>
      </c>
      <c r="B83" s="8" t="s">
        <v>14</v>
      </c>
      <c r="C83" s="2">
        <v>2022</v>
      </c>
      <c r="D83" s="3">
        <v>2237559.59010129</v>
      </c>
      <c r="E83" s="3">
        <v>28962.7912646</v>
      </c>
      <c r="F83" s="4">
        <v>0.18094518011478611</v>
      </c>
      <c r="G83" s="4">
        <v>2.339677504868966E-4</v>
      </c>
    </row>
    <row r="84" spans="1:7" x14ac:dyDescent="0.25">
      <c r="A84" s="2" t="s">
        <v>13</v>
      </c>
      <c r="B84" s="8" t="s">
        <v>14</v>
      </c>
      <c r="C84" s="2">
        <v>2021</v>
      </c>
      <c r="D84" s="3">
        <v>2136662.9096641121</v>
      </c>
      <c r="E84" s="3">
        <v>34419.6404244</v>
      </c>
      <c r="F84" s="4">
        <v>1.2450489874850871E-3</v>
      </c>
      <c r="G84" s="4">
        <v>2.6914455891389468E-4</v>
      </c>
    </row>
    <row r="85" spans="1:7" x14ac:dyDescent="0.25">
      <c r="A85" s="2" t="s">
        <v>13</v>
      </c>
      <c r="B85" s="8" t="s">
        <v>14</v>
      </c>
      <c r="C85" s="2">
        <v>2023</v>
      </c>
      <c r="D85" s="3">
        <v>1963532.5336935241</v>
      </c>
      <c r="E85" s="3">
        <v>38266.632667600003</v>
      </c>
      <c r="F85" s="4">
        <v>0.1254843771395045</v>
      </c>
      <c r="G85" s="4">
        <v>3.2594779133939081E-4</v>
      </c>
    </row>
    <row r="86" spans="1:7" x14ac:dyDescent="0.25">
      <c r="A86" s="2" t="s">
        <v>13</v>
      </c>
      <c r="B86" s="8" t="s">
        <v>14</v>
      </c>
      <c r="C86" s="2">
        <v>2024</v>
      </c>
      <c r="D86" s="3">
        <v>1438073.2884498299</v>
      </c>
      <c r="E86" s="3">
        <v>33002.728752000003</v>
      </c>
      <c r="F86" s="4">
        <v>1.2530342781881009E-2</v>
      </c>
      <c r="G86" s="4">
        <v>4.7058508757579111E-4</v>
      </c>
    </row>
    <row r="88" spans="1:7" x14ac:dyDescent="0.25">
      <c r="B88" s="7" t="s">
        <v>40</v>
      </c>
      <c r="D88" s="3">
        <f>AVERAGE(D83:D84)</f>
        <v>2187111.2498827009</v>
      </c>
      <c r="E88" s="3">
        <f t="shared" ref="E88:G88" si="6">AVERAGE(E83:E84)</f>
        <v>31691.215844500002</v>
      </c>
      <c r="F88" s="4">
        <f t="shared" si="6"/>
        <v>9.10951145511356E-2</v>
      </c>
      <c r="G88" s="4">
        <f t="shared" si="6"/>
        <v>2.5155615470039562E-4</v>
      </c>
    </row>
    <row r="89" spans="1:7" x14ac:dyDescent="0.25">
      <c r="B89" s="7" t="s">
        <v>41</v>
      </c>
      <c r="D89" s="3">
        <f>AVERAGE(D85:D86)</f>
        <v>1700802.911071677</v>
      </c>
      <c r="E89" s="3">
        <f t="shared" ref="E89:G89" si="7">AVERAGE(E85:E86)</f>
        <v>35634.680709799999</v>
      </c>
      <c r="F89" s="4">
        <f t="shared" si="7"/>
        <v>6.9007359960692752E-2</v>
      </c>
      <c r="G89" s="4">
        <f t="shared" si="7"/>
        <v>3.9826643945759096E-4</v>
      </c>
    </row>
    <row r="91" spans="1:7" x14ac:dyDescent="0.25">
      <c r="C91" s="7" t="s">
        <v>42</v>
      </c>
      <c r="D91" s="3">
        <f>D88/D89</f>
        <v>1.2859286844144691</v>
      </c>
      <c r="E91" s="3">
        <f t="shared" ref="E91:G91" si="8">E88/E89</f>
        <v>0.88933632105715787</v>
      </c>
      <c r="F91" s="3">
        <f t="shared" si="8"/>
        <v>1.3200782438717298</v>
      </c>
      <c r="G91" s="3">
        <f t="shared" si="8"/>
        <v>0.63162779932699387</v>
      </c>
    </row>
    <row r="93" spans="1:7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 x14ac:dyDescent="0.25">
      <c r="A94" s="2" t="s">
        <v>15</v>
      </c>
      <c r="B94" s="8" t="s">
        <v>16</v>
      </c>
      <c r="C94" s="2">
        <v>2022</v>
      </c>
      <c r="D94" s="3">
        <v>1501058.080583167</v>
      </c>
      <c r="E94" s="3">
        <v>10016.90090194</v>
      </c>
      <c r="F94" s="4">
        <v>4.8543989239808157E-3</v>
      </c>
      <c r="G94" s="4">
        <v>2.722411311338672E-3</v>
      </c>
    </row>
    <row r="95" spans="1:7" x14ac:dyDescent="0.25">
      <c r="A95" s="2" t="s">
        <v>15</v>
      </c>
      <c r="B95" s="8" t="s">
        <v>16</v>
      </c>
      <c r="C95" s="2">
        <v>2021</v>
      </c>
      <c r="D95" s="3">
        <v>1291276.529800517</v>
      </c>
      <c r="E95" s="3">
        <v>12420.628572240001</v>
      </c>
      <c r="F95" s="4">
        <v>9.5505969516812179E-3</v>
      </c>
      <c r="G95" s="4">
        <v>7.1947529628030547E-3</v>
      </c>
    </row>
    <row r="96" spans="1:7" x14ac:dyDescent="0.25">
      <c r="A96" s="2" t="s">
        <v>15</v>
      </c>
      <c r="B96" s="8" t="s">
        <v>16</v>
      </c>
      <c r="C96" s="2">
        <v>2024</v>
      </c>
      <c r="D96" s="3">
        <v>1235191.2922385989</v>
      </c>
      <c r="E96" s="3">
        <v>17766.839759999999</v>
      </c>
      <c r="F96" s="4">
        <v>9.3958949512133153E-4</v>
      </c>
      <c r="G96" s="4">
        <v>8.8262764857625984E-4</v>
      </c>
    </row>
    <row r="97" spans="1:7" x14ac:dyDescent="0.25">
      <c r="A97" s="2" t="s">
        <v>15</v>
      </c>
      <c r="B97" s="8" t="s">
        <v>16</v>
      </c>
      <c r="C97" s="2">
        <v>2023</v>
      </c>
      <c r="D97" s="3">
        <v>1202957.7138338401</v>
      </c>
      <c r="E97" s="3">
        <v>13409.25543712</v>
      </c>
      <c r="F97" s="4">
        <v>1.2431315547808089E-3</v>
      </c>
      <c r="G97" s="4">
        <v>1.4794270549193711E-3</v>
      </c>
    </row>
    <row r="99" spans="1:7" x14ac:dyDescent="0.25">
      <c r="B99" s="7" t="s">
        <v>40</v>
      </c>
      <c r="D99" s="3">
        <f>AVERAGE(D94:D95)</f>
        <v>1396167.3051918419</v>
      </c>
      <c r="E99" s="3">
        <f t="shared" ref="E99:G99" si="9">AVERAGE(E94:E95)</f>
        <v>11218.764737090001</v>
      </c>
      <c r="F99" s="4">
        <f t="shared" si="9"/>
        <v>7.2024979378310164E-3</v>
      </c>
      <c r="G99" s="4">
        <f t="shared" si="9"/>
        <v>4.9585821370708629E-3</v>
      </c>
    </row>
    <row r="100" spans="1:7" x14ac:dyDescent="0.25">
      <c r="B100" s="7" t="s">
        <v>41</v>
      </c>
      <c r="D100" s="3">
        <f>AVERAGE(D96:D97)</f>
        <v>1219074.5030362196</v>
      </c>
      <c r="E100" s="3">
        <f t="shared" ref="E100:G100" si="10">AVERAGE(E96:E97)</f>
        <v>15588.047598559999</v>
      </c>
      <c r="F100" s="4">
        <f t="shared" si="10"/>
        <v>1.0913605249510702E-3</v>
      </c>
      <c r="G100" s="4">
        <f t="shared" si="10"/>
        <v>1.1810273517478154E-3</v>
      </c>
    </row>
    <row r="102" spans="1:7" x14ac:dyDescent="0.25">
      <c r="C102" s="7" t="s">
        <v>42</v>
      </c>
      <c r="D102" s="3">
        <f>D99/D100</f>
        <v>1.1452682356283854</v>
      </c>
      <c r="E102" s="3">
        <f t="shared" ref="E102:G102" si="11">E99/E100</f>
        <v>0.71970300745850779</v>
      </c>
      <c r="F102" s="3">
        <f t="shared" si="11"/>
        <v>6.5995587829731441</v>
      </c>
      <c r="G102" s="3">
        <f t="shared" si="11"/>
        <v>4.1985328533946333</v>
      </c>
    </row>
    <row r="104" spans="1:7" x14ac:dyDescent="0.25">
      <c r="A104" s="1" t="s">
        <v>0</v>
      </c>
      <c r="B104" s="1" t="s">
        <v>1</v>
      </c>
      <c r="C104" s="1" t="s">
        <v>2</v>
      </c>
      <c r="D104" s="1" t="s">
        <v>3</v>
      </c>
      <c r="E104" s="1" t="s">
        <v>4</v>
      </c>
      <c r="F104" s="1" t="s">
        <v>5</v>
      </c>
      <c r="G104" s="1" t="s">
        <v>6</v>
      </c>
    </row>
    <row r="105" spans="1:7" x14ac:dyDescent="0.25">
      <c r="A105" s="2" t="s">
        <v>17</v>
      </c>
      <c r="B105" s="8" t="s">
        <v>18</v>
      </c>
      <c r="C105" s="2">
        <v>2021</v>
      </c>
      <c r="D105" s="3">
        <v>391236.03926557873</v>
      </c>
      <c r="E105" s="3">
        <v>9174.7777388399991</v>
      </c>
      <c r="F105" s="4">
        <v>7.2720955318134649E-3</v>
      </c>
      <c r="G105" s="4">
        <v>4.0538663342816288E-4</v>
      </c>
    </row>
    <row r="106" spans="1:7" x14ac:dyDescent="0.25">
      <c r="A106" s="2" t="s">
        <v>17</v>
      </c>
      <c r="B106" s="8" t="s">
        <v>18</v>
      </c>
      <c r="C106" s="2">
        <v>2022</v>
      </c>
      <c r="D106" s="3">
        <v>331000.25434189721</v>
      </c>
      <c r="E106" s="3">
        <v>7502.6813292799998</v>
      </c>
      <c r="F106" s="4">
        <v>1.753601618218082E-3</v>
      </c>
      <c r="G106" s="4">
        <v>3.3407912051630981E-4</v>
      </c>
    </row>
    <row r="107" spans="1:7" x14ac:dyDescent="0.25">
      <c r="A107" s="2" t="s">
        <v>17</v>
      </c>
      <c r="B107" s="8" t="s">
        <v>18</v>
      </c>
      <c r="C107" s="2">
        <v>2024</v>
      </c>
      <c r="D107" s="3">
        <v>315114.80271184049</v>
      </c>
      <c r="E107" s="3">
        <v>3780.5631839999992</v>
      </c>
      <c r="F107" s="4">
        <v>1.04121883656369E-2</v>
      </c>
      <c r="G107" s="4">
        <v>1.4970467955548929E-3</v>
      </c>
    </row>
    <row r="108" spans="1:7" x14ac:dyDescent="0.25">
      <c r="A108" s="2" t="s">
        <v>17</v>
      </c>
      <c r="B108" s="8" t="s">
        <v>18</v>
      </c>
      <c r="C108" s="2">
        <v>2023</v>
      </c>
      <c r="D108" s="3">
        <v>311812.99097068148</v>
      </c>
      <c r="E108" s="3">
        <v>3403.6800820799999</v>
      </c>
      <c r="F108" s="4">
        <v>7.8396110552474759E-4</v>
      </c>
      <c r="G108" s="4">
        <v>1.35821810761219E-3</v>
      </c>
    </row>
    <row r="110" spans="1:7" x14ac:dyDescent="0.25">
      <c r="B110" s="7" t="s">
        <v>40</v>
      </c>
      <c r="D110" s="3">
        <f>AVERAGE(D105:D106)</f>
        <v>361118.14680373797</v>
      </c>
      <c r="E110" s="3">
        <f t="shared" ref="E110:G110" si="12">AVERAGE(E105:E106)</f>
        <v>8338.7295340599994</v>
      </c>
      <c r="F110" s="4">
        <f t="shared" si="12"/>
        <v>4.5128485750157736E-3</v>
      </c>
      <c r="G110" s="4">
        <f t="shared" si="12"/>
        <v>3.6973287697223637E-4</v>
      </c>
    </row>
    <row r="111" spans="1:7" x14ac:dyDescent="0.25">
      <c r="B111" s="7" t="s">
        <v>41</v>
      </c>
      <c r="D111" s="3">
        <f>AVERAGE(D107:D108)</f>
        <v>313463.89684126095</v>
      </c>
      <c r="E111" s="3">
        <f t="shared" ref="E111:G111" si="13">AVERAGE(E107:E108)</f>
        <v>3592.1216330399993</v>
      </c>
      <c r="F111" s="4">
        <f t="shared" si="13"/>
        <v>5.5980747355808243E-3</v>
      </c>
      <c r="G111" s="4">
        <f t="shared" si="13"/>
        <v>1.4276324515835415E-3</v>
      </c>
    </row>
    <row r="113" spans="1:7" x14ac:dyDescent="0.25">
      <c r="C113" s="7" t="s">
        <v>42</v>
      </c>
      <c r="D113" s="3">
        <f>D110/D111</f>
        <v>1.1520246843183004</v>
      </c>
      <c r="E113" s="3">
        <f t="shared" ref="E113:G113" si="14">E110/E111</f>
        <v>2.3213939799145842</v>
      </c>
      <c r="F113" s="3">
        <f t="shared" si="14"/>
        <v>0.80614296667612206</v>
      </c>
      <c r="G113" s="3">
        <f t="shared" si="14"/>
        <v>0.25898323939199175</v>
      </c>
    </row>
    <row r="115" spans="1:7" x14ac:dyDescent="0.25">
      <c r="A115" s="1" t="s">
        <v>0</v>
      </c>
      <c r="B115" s="1" t="s">
        <v>1</v>
      </c>
      <c r="C115" s="1" t="s">
        <v>2</v>
      </c>
      <c r="D115" s="1" t="s">
        <v>3</v>
      </c>
      <c r="E115" s="1" t="s">
        <v>4</v>
      </c>
      <c r="F115" s="1" t="s">
        <v>5</v>
      </c>
      <c r="G115" s="1" t="s">
        <v>6</v>
      </c>
    </row>
    <row r="116" spans="1:7" x14ac:dyDescent="0.25">
      <c r="A116" s="2" t="s">
        <v>19</v>
      </c>
      <c r="B116" s="8" t="s">
        <v>20</v>
      </c>
      <c r="C116" s="2">
        <v>2022</v>
      </c>
      <c r="D116" s="3">
        <v>327266.01547195681</v>
      </c>
      <c r="E116" s="3">
        <v>2736.7203125999999</v>
      </c>
      <c r="F116" s="4">
        <v>6.5575458761258591E-4</v>
      </c>
      <c r="G116" s="4">
        <v>9.6186040198574876E-4</v>
      </c>
    </row>
    <row r="117" spans="1:7" x14ac:dyDescent="0.25">
      <c r="A117" s="2" t="s">
        <v>19</v>
      </c>
      <c r="B117" s="8" t="s">
        <v>20</v>
      </c>
      <c r="C117" s="2">
        <v>2023</v>
      </c>
      <c r="D117" s="3">
        <v>323997.44760210218</v>
      </c>
      <c r="E117" s="3">
        <v>2594.2840083999999</v>
      </c>
      <c r="F117" s="4">
        <v>4.4144095106468531E-4</v>
      </c>
      <c r="G117" s="4">
        <v>4.2813564143465432E-3</v>
      </c>
    </row>
    <row r="118" spans="1:7" x14ac:dyDescent="0.25">
      <c r="A118" s="2" t="s">
        <v>19</v>
      </c>
      <c r="B118" s="8" t="s">
        <v>20</v>
      </c>
      <c r="C118" s="2">
        <v>2024</v>
      </c>
      <c r="D118" s="3">
        <v>321762.90970591619</v>
      </c>
      <c r="E118" s="3">
        <v>2793.945984</v>
      </c>
      <c r="F118" s="4">
        <v>3.0877619142976242E-4</v>
      </c>
      <c r="G118" s="4">
        <v>1.0062327675981299E-3</v>
      </c>
    </row>
    <row r="119" spans="1:7" x14ac:dyDescent="0.25">
      <c r="A119" s="2" t="s">
        <v>19</v>
      </c>
      <c r="B119" s="8" t="s">
        <v>20</v>
      </c>
      <c r="C119" s="2">
        <v>2021</v>
      </c>
      <c r="D119" s="3">
        <v>297602.00445720641</v>
      </c>
      <c r="E119" s="3">
        <v>3256.4356082999998</v>
      </c>
      <c r="F119" s="4">
        <v>3.8592436982227681E-4</v>
      </c>
      <c r="G119" s="4">
        <v>2.369477916386043E-3</v>
      </c>
    </row>
    <row r="121" spans="1:7" x14ac:dyDescent="0.25">
      <c r="B121" s="7" t="s">
        <v>40</v>
      </c>
      <c r="D121" s="3">
        <f>AVERAGE(D116:D117)</f>
        <v>325631.7315370295</v>
      </c>
      <c r="E121" s="3">
        <f t="shared" ref="E121:G121" si="15">AVERAGE(E116:E117)</f>
        <v>2665.5021605000002</v>
      </c>
      <c r="F121" s="4">
        <f t="shared" si="15"/>
        <v>5.4859776933863561E-4</v>
      </c>
      <c r="G121" s="4">
        <f t="shared" si="15"/>
        <v>2.6216084081661459E-3</v>
      </c>
    </row>
    <row r="122" spans="1:7" x14ac:dyDescent="0.25">
      <c r="B122" s="7" t="s">
        <v>41</v>
      </c>
      <c r="D122" s="3">
        <f>AVERAGE(D118:D119)</f>
        <v>309682.45708156133</v>
      </c>
      <c r="E122" s="3">
        <f t="shared" ref="E122:G122" si="16">AVERAGE(E118:E119)</f>
        <v>3025.1907961500001</v>
      </c>
      <c r="F122" s="4">
        <f t="shared" si="16"/>
        <v>3.4735028062601961E-4</v>
      </c>
      <c r="G122" s="4">
        <f t="shared" si="16"/>
        <v>1.6878553419920864E-3</v>
      </c>
    </row>
    <row r="124" spans="1:7" x14ac:dyDescent="0.25">
      <c r="C124" s="7" t="s">
        <v>42</v>
      </c>
      <c r="D124" s="3">
        <f>D121/D122</f>
        <v>1.0515020276116822</v>
      </c>
      <c r="E124" s="3">
        <f t="shared" ref="E124:G124" si="17">E121/E122</f>
        <v>0.88110216515673767</v>
      </c>
      <c r="F124" s="3">
        <f t="shared" si="17"/>
        <v>1.5793790877321685</v>
      </c>
      <c r="G124" s="3">
        <f t="shared" si="17"/>
        <v>1.5532186573951297</v>
      </c>
    </row>
    <row r="126" spans="1:7" x14ac:dyDescent="0.25">
      <c r="A126" s="1" t="s">
        <v>0</v>
      </c>
      <c r="B126" s="1" t="s">
        <v>1</v>
      </c>
      <c r="C126" s="1" t="s">
        <v>2</v>
      </c>
      <c r="D126" s="1" t="s">
        <v>3</v>
      </c>
      <c r="E126" s="1" t="s">
        <v>4</v>
      </c>
      <c r="F126" s="1" t="s">
        <v>5</v>
      </c>
      <c r="G126" s="1" t="s">
        <v>6</v>
      </c>
    </row>
    <row r="127" spans="1:7" x14ac:dyDescent="0.25">
      <c r="A127" s="2" t="s">
        <v>21</v>
      </c>
      <c r="B127" s="8" t="s">
        <v>22</v>
      </c>
      <c r="C127" s="2">
        <v>2024</v>
      </c>
      <c r="D127" s="3">
        <v>589836.07301855378</v>
      </c>
      <c r="E127" s="3">
        <v>3459.2387039999999</v>
      </c>
      <c r="F127" s="4">
        <v>2.6129124854981389E-3</v>
      </c>
      <c r="G127" s="4">
        <v>2.2962786554205951E-3</v>
      </c>
    </row>
    <row r="128" spans="1:7" x14ac:dyDescent="0.25">
      <c r="A128" s="2" t="s">
        <v>21</v>
      </c>
      <c r="B128" s="8" t="s">
        <v>22</v>
      </c>
      <c r="C128" s="2">
        <v>2022</v>
      </c>
      <c r="D128" s="3">
        <v>585427.26654459862</v>
      </c>
      <c r="E128" s="3">
        <v>4854.6591208600003</v>
      </c>
      <c r="F128" s="4">
        <v>3.7612999688359748E-4</v>
      </c>
      <c r="G128" s="4">
        <v>2.0756040556386131E-3</v>
      </c>
    </row>
    <row r="129" spans="1:7" x14ac:dyDescent="0.25">
      <c r="A129" s="2" t="s">
        <v>21</v>
      </c>
      <c r="B129" s="8" t="s">
        <v>22</v>
      </c>
      <c r="C129" s="2">
        <v>2023</v>
      </c>
      <c r="D129" s="3">
        <v>575669.32501484314</v>
      </c>
      <c r="E129" s="3">
        <v>4774.9529707199999</v>
      </c>
      <c r="F129" s="4">
        <v>2.8738600116371028E-4</v>
      </c>
      <c r="G129" s="4">
        <v>1.316480132589062E-3</v>
      </c>
    </row>
    <row r="130" spans="1:7" x14ac:dyDescent="0.25">
      <c r="A130" s="2" t="s">
        <v>21</v>
      </c>
      <c r="B130" s="8" t="s">
        <v>22</v>
      </c>
      <c r="C130" s="2">
        <v>2021</v>
      </c>
      <c r="D130" s="3">
        <v>532258.74860418728</v>
      </c>
      <c r="E130" s="3">
        <v>5998.8555937799993</v>
      </c>
      <c r="F130" s="4">
        <v>3.3561812091085249E-3</v>
      </c>
      <c r="G130" s="4">
        <v>1.7434020366891251E-3</v>
      </c>
    </row>
    <row r="132" spans="1:7" x14ac:dyDescent="0.25">
      <c r="B132" s="7" t="s">
        <v>40</v>
      </c>
      <c r="D132" s="3">
        <f>AVERAGE(D127:D128)</f>
        <v>587631.66978157614</v>
      </c>
      <c r="E132" s="3">
        <f t="shared" ref="E132:G132" si="18">AVERAGE(E127:E128)</f>
        <v>4156.9489124299998</v>
      </c>
      <c r="F132" s="4">
        <f t="shared" si="18"/>
        <v>1.4945212411908682E-3</v>
      </c>
      <c r="G132" s="4">
        <f t="shared" si="18"/>
        <v>2.1859413555296043E-3</v>
      </c>
    </row>
    <row r="133" spans="1:7" x14ac:dyDescent="0.25">
      <c r="B133" s="7" t="s">
        <v>41</v>
      </c>
      <c r="D133" s="3">
        <f>AVERAGE(D129:D130)</f>
        <v>553964.03680951521</v>
      </c>
      <c r="E133" s="3">
        <f t="shared" ref="E133:G133" si="19">AVERAGE(E129:E130)</f>
        <v>5386.9042822499996</v>
      </c>
      <c r="F133" s="4">
        <f t="shared" si="19"/>
        <v>1.8217836051361176E-3</v>
      </c>
      <c r="G133" s="4">
        <f t="shared" si="19"/>
        <v>1.5299410846390934E-3</v>
      </c>
    </row>
    <row r="135" spans="1:7" x14ac:dyDescent="0.25">
      <c r="C135" s="7" t="s">
        <v>42</v>
      </c>
      <c r="D135" s="3">
        <f>D132/D133</f>
        <v>1.0607758459664012</v>
      </c>
      <c r="E135" s="3">
        <f t="shared" ref="E135:G135" si="20">E132/E133</f>
        <v>0.77167677289668257</v>
      </c>
      <c r="F135" s="3">
        <f t="shared" si="20"/>
        <v>0.82036156049346076</v>
      </c>
      <c r="G135" s="3">
        <f t="shared" si="20"/>
        <v>1.4287748577228767</v>
      </c>
    </row>
    <row r="137" spans="1:7" x14ac:dyDescent="0.25">
      <c r="A137" s="1" t="s">
        <v>0</v>
      </c>
      <c r="B137" s="1" t="s">
        <v>1</v>
      </c>
      <c r="C137" s="1" t="s">
        <v>2</v>
      </c>
      <c r="D137" s="1" t="s">
        <v>3</v>
      </c>
      <c r="E137" s="1" t="s">
        <v>4</v>
      </c>
      <c r="F137" s="1" t="s">
        <v>5</v>
      </c>
      <c r="G137" s="1" t="s">
        <v>6</v>
      </c>
    </row>
    <row r="138" spans="1:7" x14ac:dyDescent="0.25">
      <c r="A138" s="2" t="s">
        <v>23</v>
      </c>
      <c r="B138" s="8" t="s">
        <v>24</v>
      </c>
      <c r="C138" s="2">
        <v>2021</v>
      </c>
      <c r="D138" s="3">
        <v>2688475.9724428668</v>
      </c>
      <c r="E138" s="3">
        <v>22918.622383440001</v>
      </c>
      <c r="F138" s="4">
        <v>1.411209606183382E-2</v>
      </c>
      <c r="G138" s="4">
        <v>6.7540592802753808E-4</v>
      </c>
    </row>
    <row r="139" spans="1:7" x14ac:dyDescent="0.25">
      <c r="A139" s="2" t="s">
        <v>23</v>
      </c>
      <c r="B139" s="8" t="s">
        <v>24</v>
      </c>
      <c r="C139" s="2">
        <v>2022</v>
      </c>
      <c r="D139" s="3">
        <v>2199098.9702055152</v>
      </c>
      <c r="E139" s="3">
        <v>27186.587841839999</v>
      </c>
      <c r="F139" s="4">
        <v>1.428164445640567E-2</v>
      </c>
      <c r="G139" s="4">
        <v>1.063284111568874E-3</v>
      </c>
    </row>
    <row r="140" spans="1:7" x14ac:dyDescent="0.25">
      <c r="A140" s="2" t="s">
        <v>23</v>
      </c>
      <c r="B140" s="8" t="s">
        <v>24</v>
      </c>
      <c r="C140" s="2">
        <v>2023</v>
      </c>
      <c r="D140" s="3">
        <v>2110825.0242093089</v>
      </c>
      <c r="E140" s="3">
        <v>36820.330575920001</v>
      </c>
      <c r="F140" s="4">
        <v>1.1388913987487259E-2</v>
      </c>
      <c r="G140" s="4">
        <v>1.346627653376551E-3</v>
      </c>
    </row>
    <row r="141" spans="1:7" x14ac:dyDescent="0.25">
      <c r="A141" s="2" t="s">
        <v>23</v>
      </c>
      <c r="B141" s="8" t="s">
        <v>24</v>
      </c>
      <c r="C141" s="2">
        <v>2024</v>
      </c>
      <c r="D141" s="3">
        <v>2060147.693651289</v>
      </c>
      <c r="E141" s="3">
        <v>24111.565200000001</v>
      </c>
      <c r="F141" s="4">
        <v>1.6816288641435851E-2</v>
      </c>
      <c r="G141" s="4">
        <v>4.7603910840263489E-4</v>
      </c>
    </row>
    <row r="143" spans="1:7" x14ac:dyDescent="0.25">
      <c r="B143" s="7" t="s">
        <v>40</v>
      </c>
      <c r="D143" s="3">
        <f>AVERAGE(D138:D139)</f>
        <v>2443787.471324191</v>
      </c>
      <c r="E143" s="3">
        <f t="shared" ref="E143:G143" si="21">AVERAGE(E138:E139)</f>
        <v>25052.605112639998</v>
      </c>
      <c r="F143" s="4">
        <f t="shared" si="21"/>
        <v>1.4196870259119745E-2</v>
      </c>
      <c r="G143" s="4">
        <f t="shared" si="21"/>
        <v>8.6934501979820604E-4</v>
      </c>
    </row>
    <row r="144" spans="1:7" x14ac:dyDescent="0.25">
      <c r="B144" s="7" t="s">
        <v>41</v>
      </c>
      <c r="D144" s="3">
        <f>AVERAGE(D140:D141)</f>
        <v>2085486.3589302991</v>
      </c>
      <c r="E144" s="3">
        <f t="shared" ref="E144:G144" si="22">AVERAGE(E140:E141)</f>
        <v>30465.947887959999</v>
      </c>
      <c r="F144" s="4">
        <f t="shared" si="22"/>
        <v>1.4102601314461555E-2</v>
      </c>
      <c r="G144" s="4">
        <f t="shared" si="22"/>
        <v>9.1133338088959293E-4</v>
      </c>
    </row>
    <row r="146" spans="1:7" x14ac:dyDescent="0.25">
      <c r="C146" s="7" t="s">
        <v>42</v>
      </c>
      <c r="D146" s="3">
        <f>D143/D144</f>
        <v>1.1718069796331221</v>
      </c>
      <c r="E146" s="3">
        <f t="shared" ref="E146:G146" si="23">E143/E144</f>
        <v>0.82231497292558131</v>
      </c>
      <c r="F146" s="3">
        <f t="shared" si="23"/>
        <v>1.0066845075285169</v>
      </c>
      <c r="G146" s="3">
        <f t="shared" si="23"/>
        <v>0.95392645329154935</v>
      </c>
    </row>
    <row r="148" spans="1:7" x14ac:dyDescent="0.25">
      <c r="A148" s="1" t="s">
        <v>0</v>
      </c>
      <c r="B148" s="1" t="s">
        <v>1</v>
      </c>
      <c r="C148" s="1" t="s">
        <v>2</v>
      </c>
      <c r="D148" s="1" t="s">
        <v>3</v>
      </c>
      <c r="E148" s="1" t="s">
        <v>4</v>
      </c>
      <c r="F148" s="1" t="s">
        <v>5</v>
      </c>
      <c r="G148" s="1" t="s">
        <v>6</v>
      </c>
    </row>
    <row r="149" spans="1:7" x14ac:dyDescent="0.25">
      <c r="A149" s="2" t="s">
        <v>25</v>
      </c>
      <c r="B149" s="8" t="s">
        <v>26</v>
      </c>
      <c r="C149" s="2">
        <v>2024</v>
      </c>
      <c r="D149" s="3">
        <v>1079590.799601601</v>
      </c>
      <c r="E149" s="3">
        <v>29824.255583999999</v>
      </c>
      <c r="F149" s="4">
        <v>1.7700063980245699E-2</v>
      </c>
      <c r="G149" s="4">
        <v>1.8406361575525849E-2</v>
      </c>
    </row>
    <row r="150" spans="1:7" x14ac:dyDescent="0.25">
      <c r="A150" s="2" t="s">
        <v>25</v>
      </c>
      <c r="B150" s="8" t="s">
        <v>26</v>
      </c>
      <c r="C150" s="2">
        <v>2023</v>
      </c>
      <c r="D150" s="3">
        <v>917032.53729645221</v>
      </c>
      <c r="E150" s="3">
        <v>21948.7441788</v>
      </c>
      <c r="F150" s="4">
        <v>5.1385668600091312E-2</v>
      </c>
      <c r="G150" s="4">
        <v>1.045825844659099E-3</v>
      </c>
    </row>
    <row r="151" spans="1:7" x14ac:dyDescent="0.25">
      <c r="A151" s="2" t="s">
        <v>25</v>
      </c>
      <c r="B151" s="8" t="s">
        <v>26</v>
      </c>
      <c r="C151" s="2">
        <v>2022</v>
      </c>
      <c r="D151" s="3">
        <v>802566.08061441511</v>
      </c>
      <c r="E151" s="3">
        <v>12046.641059559999</v>
      </c>
      <c r="F151" s="4">
        <v>1.264319260007594E-2</v>
      </c>
      <c r="G151" s="4">
        <v>9.2646432850616075E-4</v>
      </c>
    </row>
    <row r="152" spans="1:7" x14ac:dyDescent="0.25">
      <c r="A152" s="2" t="s">
        <v>25</v>
      </c>
      <c r="B152" s="8" t="s">
        <v>26</v>
      </c>
      <c r="C152" s="2">
        <v>2021</v>
      </c>
      <c r="D152" s="3">
        <v>774599.50938466226</v>
      </c>
      <c r="E152" s="3">
        <v>31768.917493320001</v>
      </c>
      <c r="F152" s="4">
        <v>4.5024994770462897E-3</v>
      </c>
      <c r="G152" s="4">
        <v>6.1504127372638605E-4</v>
      </c>
    </row>
    <row r="154" spans="1:7" x14ac:dyDescent="0.25">
      <c r="B154" s="7" t="s">
        <v>40</v>
      </c>
      <c r="D154" s="3">
        <f>AVERAGE(D149:D150)</f>
        <v>998311.66844902653</v>
      </c>
      <c r="E154" s="3">
        <f t="shared" ref="E154:G154" si="24">AVERAGE(E149:E150)</f>
        <v>25886.499881399999</v>
      </c>
      <c r="F154" s="4">
        <f t="shared" si="24"/>
        <v>3.4542866290168506E-2</v>
      </c>
      <c r="G154" s="4">
        <f t="shared" si="24"/>
        <v>9.7260937100924743E-3</v>
      </c>
    </row>
    <row r="155" spans="1:7" x14ac:dyDescent="0.25">
      <c r="B155" s="7" t="s">
        <v>41</v>
      </c>
      <c r="D155" s="3">
        <f>AVERAGE(D151:D152)</f>
        <v>788582.79499953869</v>
      </c>
      <c r="E155" s="3">
        <f t="shared" ref="E155:G155" si="25">AVERAGE(E151:E152)</f>
        <v>21907.77927644</v>
      </c>
      <c r="F155" s="4">
        <f t="shared" si="25"/>
        <v>8.5728460385611147E-3</v>
      </c>
      <c r="G155" s="4">
        <f t="shared" si="25"/>
        <v>7.7075280111627334E-4</v>
      </c>
    </row>
    <row r="157" spans="1:7" x14ac:dyDescent="0.25">
      <c r="C157" s="7" t="s">
        <v>42</v>
      </c>
      <c r="D157" s="3">
        <f>D154/D155</f>
        <v>1.2659566944389276</v>
      </c>
      <c r="E157" s="3">
        <f t="shared" ref="E157:G157" si="26">E154/E155</f>
        <v>1.1816122280015293</v>
      </c>
      <c r="F157" s="3">
        <f t="shared" si="26"/>
        <v>4.0293347314057506</v>
      </c>
      <c r="G157" s="3">
        <f t="shared" si="26"/>
        <v>12.618953438776055</v>
      </c>
    </row>
    <row r="159" spans="1:7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4</v>
      </c>
      <c r="F159" s="1" t="s">
        <v>5</v>
      </c>
      <c r="G159" s="1" t="s">
        <v>6</v>
      </c>
    </row>
    <row r="160" spans="1:7" x14ac:dyDescent="0.25">
      <c r="A160" s="2" t="s">
        <v>27</v>
      </c>
      <c r="B160" s="8" t="s">
        <v>28</v>
      </c>
      <c r="C160" s="2">
        <v>2024</v>
      </c>
      <c r="D160" s="3">
        <v>702640.28510284843</v>
      </c>
      <c r="E160" s="3">
        <v>24692.815392</v>
      </c>
      <c r="F160" s="4">
        <v>1.2473785395074479E-2</v>
      </c>
      <c r="G160" s="4">
        <v>1.210844187888221E-3</v>
      </c>
    </row>
    <row r="161" spans="1:7" x14ac:dyDescent="0.25">
      <c r="A161" s="2" t="s">
        <v>27</v>
      </c>
      <c r="B161" s="8" t="s">
        <v>28</v>
      </c>
      <c r="C161" s="2">
        <v>2023</v>
      </c>
      <c r="D161" s="3">
        <v>648523.59030139784</v>
      </c>
      <c r="E161" s="3">
        <v>20365.73930736</v>
      </c>
      <c r="F161" s="4">
        <v>2.3285205202868371E-2</v>
      </c>
      <c r="G161" s="4">
        <v>1.5783067550306741E-3</v>
      </c>
    </row>
    <row r="162" spans="1:7" x14ac:dyDescent="0.25">
      <c r="A162" s="2" t="s">
        <v>27</v>
      </c>
      <c r="B162" s="8" t="s">
        <v>28</v>
      </c>
      <c r="C162" s="2">
        <v>2022</v>
      </c>
      <c r="D162" s="3">
        <v>525586.90611574077</v>
      </c>
      <c r="E162" s="3">
        <v>57596.7124071</v>
      </c>
      <c r="F162" s="4">
        <v>6.9328647193893768E-4</v>
      </c>
      <c r="G162" s="4">
        <v>1.2640594598421069E-2</v>
      </c>
    </row>
    <row r="163" spans="1:7" x14ac:dyDescent="0.25">
      <c r="A163" s="2" t="s">
        <v>27</v>
      </c>
      <c r="B163" s="8" t="s">
        <v>28</v>
      </c>
      <c r="C163" s="2">
        <v>2021</v>
      </c>
      <c r="D163" s="3">
        <v>489831.22166003252</v>
      </c>
      <c r="E163" s="3">
        <v>28233.8392518</v>
      </c>
      <c r="F163" s="4">
        <v>1.7629362658082969E-3</v>
      </c>
      <c r="G163" s="4">
        <v>1.091290811894655E-3</v>
      </c>
    </row>
    <row r="165" spans="1:7" x14ac:dyDescent="0.25">
      <c r="B165" s="7" t="s">
        <v>40</v>
      </c>
      <c r="D165" s="3">
        <f>AVERAGE(D160:D161)</f>
        <v>675581.93770212308</v>
      </c>
      <c r="E165" s="3">
        <f t="shared" ref="E165:G165" si="27">AVERAGE(E160:E161)</f>
        <v>22529.27734968</v>
      </c>
      <c r="F165" s="4">
        <f t="shared" si="27"/>
        <v>1.7879495298971426E-2</v>
      </c>
      <c r="G165" s="4">
        <f t="shared" si="27"/>
        <v>1.3945754714594475E-3</v>
      </c>
    </row>
    <row r="166" spans="1:7" x14ac:dyDescent="0.25">
      <c r="B166" s="7" t="s">
        <v>41</v>
      </c>
      <c r="D166" s="3">
        <f>AVERAGE(D162:D163)</f>
        <v>507709.06388788664</v>
      </c>
      <c r="E166" s="3">
        <f t="shared" ref="E166:G166" si="28">AVERAGE(E162:E163)</f>
        <v>42915.275829450002</v>
      </c>
      <c r="F166" s="4">
        <f t="shared" si="28"/>
        <v>1.2281113688736172E-3</v>
      </c>
      <c r="G166" s="4">
        <f t="shared" si="28"/>
        <v>6.8659427051578625E-3</v>
      </c>
    </row>
    <row r="168" spans="1:7" x14ac:dyDescent="0.25">
      <c r="C168" s="7" t="s">
        <v>42</v>
      </c>
      <c r="D168" s="3">
        <f>D165/D166</f>
        <v>1.3306477779394272</v>
      </c>
      <c r="E168" s="3">
        <f t="shared" ref="E168:G168" si="29">E165/E166</f>
        <v>0.52497104851926879</v>
      </c>
      <c r="F168" s="3">
        <f t="shared" si="29"/>
        <v>14.558529260558757</v>
      </c>
      <c r="G168" s="3">
        <f t="shared" si="29"/>
        <v>0.20311492992969613</v>
      </c>
    </row>
    <row r="170" spans="1:7" x14ac:dyDescent="0.25">
      <c r="A170" s="1" t="s">
        <v>0</v>
      </c>
      <c r="B170" s="1" t="s">
        <v>1</v>
      </c>
      <c r="C170" s="1" t="s">
        <v>2</v>
      </c>
      <c r="D170" s="1" t="s">
        <v>3</v>
      </c>
      <c r="E170" s="1" t="s">
        <v>4</v>
      </c>
      <c r="F170" s="1" t="s">
        <v>5</v>
      </c>
      <c r="G170" s="1" t="s">
        <v>6</v>
      </c>
    </row>
    <row r="171" spans="1:7" x14ac:dyDescent="0.25">
      <c r="A171" s="2" t="s">
        <v>29</v>
      </c>
      <c r="B171" s="8" t="s">
        <v>30</v>
      </c>
      <c r="C171" s="2">
        <v>2024</v>
      </c>
      <c r="D171" s="3">
        <v>333902.21266145178</v>
      </c>
      <c r="E171" s="3">
        <v>6590.0541599999997</v>
      </c>
      <c r="F171" s="4">
        <v>3.968817154607421E-3</v>
      </c>
      <c r="G171" s="4">
        <v>1.4273582237145071E-3</v>
      </c>
    </row>
    <row r="172" spans="1:7" x14ac:dyDescent="0.25">
      <c r="A172" s="2" t="s">
        <v>29</v>
      </c>
      <c r="B172" s="8" t="s">
        <v>30</v>
      </c>
      <c r="C172" s="2">
        <v>2023</v>
      </c>
      <c r="D172" s="3">
        <v>289865.32010952412</v>
      </c>
      <c r="E172" s="3">
        <v>5130.8202951200001</v>
      </c>
      <c r="F172" s="4">
        <v>7.1409024001186736E-3</v>
      </c>
      <c r="G172" s="4">
        <v>1.6292149323472839E-3</v>
      </c>
    </row>
    <row r="173" spans="1:7" x14ac:dyDescent="0.25">
      <c r="A173" s="2" t="s">
        <v>29</v>
      </c>
      <c r="B173" s="8" t="s">
        <v>30</v>
      </c>
      <c r="C173" s="2">
        <v>2022</v>
      </c>
      <c r="D173" s="3">
        <v>259818.50988372459</v>
      </c>
      <c r="E173" s="3">
        <v>45922.658233419999</v>
      </c>
      <c r="F173" s="4">
        <v>4.0433840100499702E-5</v>
      </c>
      <c r="G173" s="4">
        <v>1.5232724169502069E-4</v>
      </c>
    </row>
    <row r="174" spans="1:7" x14ac:dyDescent="0.25">
      <c r="A174" s="2" t="s">
        <v>29</v>
      </c>
      <c r="B174" s="8" t="s">
        <v>30</v>
      </c>
      <c r="C174" s="2">
        <v>2021</v>
      </c>
      <c r="D174" s="3">
        <v>234189.89306239539</v>
      </c>
      <c r="E174" s="3">
        <v>4733.3383234200001</v>
      </c>
      <c r="F174" s="4">
        <v>6.6356632156617178E-4</v>
      </c>
      <c r="G174" s="4">
        <v>3.1476572520248271E-3</v>
      </c>
    </row>
    <row r="176" spans="1:7" x14ac:dyDescent="0.25">
      <c r="B176" s="7" t="s">
        <v>40</v>
      </c>
      <c r="D176" s="3">
        <f>AVERAGE(D171:D172)</f>
        <v>311883.76638548798</v>
      </c>
      <c r="E176" s="3">
        <f t="shared" ref="E176:G176" si="30">AVERAGE(E171:E172)</f>
        <v>5860.4372275599999</v>
      </c>
      <c r="F176" s="4">
        <f t="shared" si="30"/>
        <v>5.5548597773630477E-3</v>
      </c>
      <c r="G176" s="4">
        <f t="shared" si="30"/>
        <v>1.5282865780308955E-3</v>
      </c>
    </row>
    <row r="177" spans="1:7" x14ac:dyDescent="0.25">
      <c r="B177" s="7" t="s">
        <v>41</v>
      </c>
      <c r="D177" s="3">
        <f>AVERAGE(D173:D174)</f>
        <v>247004.20147306001</v>
      </c>
      <c r="E177" s="3">
        <f t="shared" ref="E177:G177" si="31">AVERAGE(E173:E174)</f>
        <v>25327.99827842</v>
      </c>
      <c r="F177" s="4">
        <f t="shared" si="31"/>
        <v>3.5200008083333573E-4</v>
      </c>
      <c r="G177" s="4">
        <f t="shared" si="31"/>
        <v>1.6499922468599239E-3</v>
      </c>
    </row>
    <row r="179" spans="1:7" x14ac:dyDescent="0.25">
      <c r="C179" s="7" t="s">
        <v>42</v>
      </c>
      <c r="D179" s="3">
        <f>D176/D177</f>
        <v>1.2626658353400688</v>
      </c>
      <c r="E179" s="3">
        <f t="shared" ref="E179:G179" si="32">E176/E177</f>
        <v>0.23138177613322164</v>
      </c>
      <c r="F179" s="3">
        <f t="shared" si="32"/>
        <v>15.780848016319494</v>
      </c>
      <c r="G179" s="3">
        <f t="shared" si="32"/>
        <v>0.9262386419932308</v>
      </c>
    </row>
    <row r="181" spans="1:7" x14ac:dyDescent="0.25">
      <c r="A181" s="1" t="s">
        <v>0</v>
      </c>
      <c r="B181" s="1" t="s">
        <v>1</v>
      </c>
      <c r="C181" s="1" t="s">
        <v>2</v>
      </c>
      <c r="D181" s="1" t="s">
        <v>3</v>
      </c>
      <c r="E181" s="1" t="s">
        <v>4</v>
      </c>
      <c r="F181" s="1" t="s">
        <v>5</v>
      </c>
      <c r="G181" s="1" t="s">
        <v>6</v>
      </c>
    </row>
    <row r="182" spans="1:7" x14ac:dyDescent="0.25">
      <c r="A182" s="2" t="s">
        <v>31</v>
      </c>
      <c r="B182" s="8" t="s">
        <v>32</v>
      </c>
      <c r="C182" s="2">
        <v>2024</v>
      </c>
      <c r="D182" s="3">
        <v>615324.90182869229</v>
      </c>
      <c r="E182" s="3">
        <v>12188.037840000001</v>
      </c>
      <c r="F182" s="4">
        <v>3.5563801629943082E-3</v>
      </c>
      <c r="G182" s="4">
        <v>2.3262126662383252E-3</v>
      </c>
    </row>
    <row r="183" spans="1:7" x14ac:dyDescent="0.25">
      <c r="A183" s="2" t="s">
        <v>31</v>
      </c>
      <c r="B183" s="8" t="s">
        <v>32</v>
      </c>
      <c r="C183" s="2">
        <v>2023</v>
      </c>
      <c r="D183" s="3">
        <v>463470.71898289572</v>
      </c>
      <c r="E183" s="3">
        <v>9380.3853557600014</v>
      </c>
      <c r="F183" s="4">
        <v>2.4821681068467739E-3</v>
      </c>
      <c r="G183" s="4">
        <v>1.7821392198706289E-3</v>
      </c>
    </row>
    <row r="184" spans="1:7" x14ac:dyDescent="0.25">
      <c r="A184" s="2" t="s">
        <v>31</v>
      </c>
      <c r="B184" s="8" t="s">
        <v>32</v>
      </c>
      <c r="C184" s="2">
        <v>2022</v>
      </c>
      <c r="D184" s="3">
        <v>441905.15975913568</v>
      </c>
      <c r="E184" s="3">
        <v>8680.9984719799995</v>
      </c>
      <c r="F184" s="4">
        <v>5.3628300774693723E-2</v>
      </c>
      <c r="G184" s="4">
        <v>1.9809359137092151E-3</v>
      </c>
    </row>
    <row r="185" spans="1:7" x14ac:dyDescent="0.25">
      <c r="A185" s="2" t="s">
        <v>31</v>
      </c>
      <c r="B185" s="8" t="s">
        <v>32</v>
      </c>
      <c r="C185" s="2">
        <v>2021</v>
      </c>
      <c r="D185" s="3">
        <v>396416.47748978873</v>
      </c>
      <c r="E185" s="3">
        <v>10615.43888874</v>
      </c>
      <c r="F185" s="4">
        <v>5.7122249315871114E-3</v>
      </c>
      <c r="G185" s="4">
        <v>1.223257961926933E-3</v>
      </c>
    </row>
    <row r="187" spans="1:7" x14ac:dyDescent="0.25">
      <c r="B187" s="7" t="s">
        <v>40</v>
      </c>
      <c r="D187" s="3">
        <f>AVERAGE(D182:D183)</f>
        <v>539397.81040579407</v>
      </c>
      <c r="E187" s="3">
        <f t="shared" ref="E187:G187" si="33">AVERAGE(E182:E183)</f>
        <v>10784.211597880001</v>
      </c>
      <c r="F187" s="4">
        <f t="shared" si="33"/>
        <v>3.0192741349205411E-3</v>
      </c>
      <c r="G187" s="4">
        <f t="shared" si="33"/>
        <v>2.0541759430544771E-3</v>
      </c>
    </row>
    <row r="188" spans="1:7" x14ac:dyDescent="0.25">
      <c r="B188" s="7" t="s">
        <v>41</v>
      </c>
      <c r="D188" s="3">
        <f>AVERAGE(D184:D185)</f>
        <v>419160.81862446223</v>
      </c>
      <c r="E188" s="3">
        <f t="shared" ref="E188:G188" si="34">AVERAGE(E184:E185)</f>
        <v>9648.2186803599998</v>
      </c>
      <c r="F188" s="4">
        <f t="shared" si="34"/>
        <v>2.9670262853140415E-2</v>
      </c>
      <c r="G188" s="4">
        <f t="shared" si="34"/>
        <v>1.602096937818074E-3</v>
      </c>
    </row>
    <row r="190" spans="1:7" x14ac:dyDescent="0.25">
      <c r="C190" s="7" t="s">
        <v>42</v>
      </c>
      <c r="D190" s="3">
        <f>D187/D188</f>
        <v>1.2868516961482879</v>
      </c>
      <c r="E190" s="3">
        <f t="shared" ref="E190:G190" si="35">E187/E188</f>
        <v>1.1177412074865631</v>
      </c>
      <c r="F190" s="3">
        <f t="shared" si="35"/>
        <v>0.10176095000792922</v>
      </c>
      <c r="G190" s="3">
        <f t="shared" si="35"/>
        <v>1.2821795576565411</v>
      </c>
    </row>
    <row r="192" spans="1:7" x14ac:dyDescent="0.25">
      <c r="A192" s="1" t="s">
        <v>0</v>
      </c>
      <c r="B192" s="1" t="s">
        <v>1</v>
      </c>
      <c r="C192" s="1" t="s">
        <v>2</v>
      </c>
      <c r="D192" s="1" t="s">
        <v>3</v>
      </c>
      <c r="E192" s="1" t="s">
        <v>4</v>
      </c>
      <c r="F192" s="1" t="s">
        <v>5</v>
      </c>
      <c r="G192" s="1" t="s">
        <v>6</v>
      </c>
    </row>
    <row r="193" spans="1:7" x14ac:dyDescent="0.25">
      <c r="A193" s="2" t="s">
        <v>33</v>
      </c>
      <c r="B193" s="8" t="s">
        <v>34</v>
      </c>
      <c r="C193" s="2">
        <v>2021</v>
      </c>
      <c r="D193" s="3">
        <v>480752.63075950177</v>
      </c>
      <c r="E193" s="3">
        <v>13713.99982974</v>
      </c>
      <c r="F193" s="4">
        <v>1.8909555433829729E-4</v>
      </c>
      <c r="G193" s="4">
        <v>1.421912259449817E-2</v>
      </c>
    </row>
    <row r="194" spans="1:7" x14ac:dyDescent="0.25">
      <c r="A194" s="2" t="s">
        <v>33</v>
      </c>
      <c r="B194" s="8" t="s">
        <v>34</v>
      </c>
      <c r="C194" s="2">
        <v>2024</v>
      </c>
      <c r="D194" s="3">
        <v>430680.74778667098</v>
      </c>
      <c r="E194" s="3">
        <v>9650.7308639999992</v>
      </c>
      <c r="F194" s="4">
        <v>3.2382873836611008E-4</v>
      </c>
      <c r="G194" s="4">
        <v>1.307147425181787E-3</v>
      </c>
    </row>
    <row r="195" spans="1:7" x14ac:dyDescent="0.25">
      <c r="A195" s="2" t="s">
        <v>33</v>
      </c>
      <c r="B195" s="8" t="s">
        <v>34</v>
      </c>
      <c r="C195" s="2">
        <v>2023</v>
      </c>
      <c r="D195" s="3">
        <v>344818.33344279532</v>
      </c>
      <c r="E195" s="3">
        <v>7766.5175531200011</v>
      </c>
      <c r="F195" s="4">
        <v>5.6879237956854514E-4</v>
      </c>
      <c r="G195" s="4">
        <v>9.2862762115340628E-4</v>
      </c>
    </row>
    <row r="196" spans="1:7" x14ac:dyDescent="0.25">
      <c r="A196" s="2" t="s">
        <v>33</v>
      </c>
      <c r="B196" s="8" t="s">
        <v>34</v>
      </c>
      <c r="C196" s="2">
        <v>2022</v>
      </c>
      <c r="D196" s="3">
        <v>310794.74797233898</v>
      </c>
      <c r="E196" s="3">
        <v>8210.8821614400003</v>
      </c>
      <c r="F196" s="4">
        <v>1.515288413031857E-4</v>
      </c>
      <c r="G196" s="4">
        <v>1.134724744407487E-2</v>
      </c>
    </row>
    <row r="198" spans="1:7" x14ac:dyDescent="0.25">
      <c r="B198" s="7" t="s">
        <v>40</v>
      </c>
      <c r="D198" s="3">
        <f>AVERAGE(D193:D194)</f>
        <v>455716.68927308638</v>
      </c>
      <c r="E198" s="3">
        <f t="shared" ref="E198:G198" si="36">AVERAGE(E193:E194)</f>
        <v>11682.365346869999</v>
      </c>
      <c r="F198" s="4">
        <f t="shared" si="36"/>
        <v>2.5646214635220368E-4</v>
      </c>
      <c r="G198" s="4">
        <f t="shared" si="36"/>
        <v>7.7631350098399787E-3</v>
      </c>
    </row>
    <row r="199" spans="1:7" x14ac:dyDescent="0.25">
      <c r="B199" s="7" t="s">
        <v>41</v>
      </c>
      <c r="D199" s="3">
        <f>AVERAGE(D195:D196)</f>
        <v>327806.54070756712</v>
      </c>
      <c r="E199" s="3">
        <f t="shared" ref="E199:G199" si="37">AVERAGE(E195:E196)</f>
        <v>7988.6998572800003</v>
      </c>
      <c r="F199" s="4">
        <f t="shared" si="37"/>
        <v>3.6016061043586542E-4</v>
      </c>
      <c r="G199" s="4">
        <f t="shared" si="37"/>
        <v>6.1379375326141381E-3</v>
      </c>
    </row>
    <row r="201" spans="1:7" x14ac:dyDescent="0.25">
      <c r="C201" s="7" t="s">
        <v>42</v>
      </c>
      <c r="D201" s="3">
        <f>D198/D199</f>
        <v>1.3902001109844437</v>
      </c>
      <c r="E201" s="3">
        <f t="shared" ref="E201:G201" si="38">E198/E199</f>
        <v>1.462361279754929</v>
      </c>
      <c r="F201" s="3">
        <f t="shared" si="38"/>
        <v>0.71207716480109773</v>
      </c>
      <c r="G201" s="3">
        <f t="shared" si="38"/>
        <v>1.2647790839496653</v>
      </c>
    </row>
    <row r="203" spans="1:7" x14ac:dyDescent="0.25">
      <c r="A203" s="1" t="s">
        <v>0</v>
      </c>
      <c r="B203" s="1" t="s">
        <v>1</v>
      </c>
      <c r="C203" s="1" t="s">
        <v>2</v>
      </c>
      <c r="D203" s="1" t="s">
        <v>3</v>
      </c>
      <c r="E203" s="1" t="s">
        <v>4</v>
      </c>
      <c r="F203" s="1" t="s">
        <v>5</v>
      </c>
      <c r="G203" s="1" t="s">
        <v>6</v>
      </c>
    </row>
    <row r="204" spans="1:7" x14ac:dyDescent="0.25">
      <c r="A204" s="2" t="s">
        <v>35</v>
      </c>
      <c r="B204" s="8" t="s">
        <v>36</v>
      </c>
      <c r="C204" s="2">
        <v>2024</v>
      </c>
      <c r="D204" s="3">
        <v>624490.81179662514</v>
      </c>
      <c r="E204" s="3">
        <v>23490.718752000001</v>
      </c>
      <c r="F204" s="4">
        <v>1.927088927244758E-3</v>
      </c>
      <c r="G204" s="4">
        <v>1.8760825696850091E-3</v>
      </c>
    </row>
    <row r="205" spans="1:7" x14ac:dyDescent="0.25">
      <c r="A205" s="2" t="s">
        <v>35</v>
      </c>
      <c r="B205" s="8" t="s">
        <v>36</v>
      </c>
      <c r="C205" s="2">
        <v>2023</v>
      </c>
      <c r="D205" s="3">
        <v>615005.46689121344</v>
      </c>
      <c r="E205" s="3">
        <v>18304.5266156</v>
      </c>
      <c r="F205" s="4">
        <v>2.0544865338363899E-3</v>
      </c>
      <c r="G205" s="4">
        <v>2.397692315221963E-3</v>
      </c>
    </row>
    <row r="206" spans="1:7" x14ac:dyDescent="0.25">
      <c r="A206" s="2" t="s">
        <v>35</v>
      </c>
      <c r="B206" s="8" t="s">
        <v>36</v>
      </c>
      <c r="C206" s="2">
        <v>2021</v>
      </c>
      <c r="D206" s="3">
        <v>557880.96074185451</v>
      </c>
      <c r="E206" s="3">
        <v>17673.58753398</v>
      </c>
      <c r="F206" s="4">
        <v>1.2639185721094849E-3</v>
      </c>
      <c r="G206" s="4">
        <v>7.224852054202324E-4</v>
      </c>
    </row>
    <row r="207" spans="1:7" x14ac:dyDescent="0.25">
      <c r="A207" s="2" t="s">
        <v>35</v>
      </c>
      <c r="B207" s="8" t="s">
        <v>36</v>
      </c>
      <c r="C207" s="2">
        <v>2022</v>
      </c>
      <c r="D207" s="3">
        <v>528936.59684355662</v>
      </c>
      <c r="E207" s="3">
        <v>14840.029964359999</v>
      </c>
      <c r="F207" s="4">
        <v>3.348617336982791E-3</v>
      </c>
      <c r="G207" s="4">
        <v>9.7700369843055682E-4</v>
      </c>
    </row>
    <row r="209" spans="1:7" x14ac:dyDescent="0.25">
      <c r="B209" s="7" t="s">
        <v>40</v>
      </c>
      <c r="D209" s="3">
        <f>AVERAGE(D204:D205)</f>
        <v>619748.13934391923</v>
      </c>
      <c r="E209" s="3">
        <f t="shared" ref="E209:G209" si="39">AVERAGE(E204:E205)</f>
        <v>20897.6226838</v>
      </c>
      <c r="F209" s="4">
        <f t="shared" si="39"/>
        <v>1.9907877305405742E-3</v>
      </c>
      <c r="G209" s="4">
        <f t="shared" si="39"/>
        <v>2.1368874424534858E-3</v>
      </c>
    </row>
    <row r="210" spans="1:7" x14ac:dyDescent="0.25">
      <c r="B210" s="7" t="s">
        <v>41</v>
      </c>
      <c r="D210" s="3">
        <f>AVERAGE(D206:D207)</f>
        <v>543408.77879270562</v>
      </c>
      <c r="E210" s="3">
        <f t="shared" ref="E210:G210" si="40">AVERAGE(E206:E207)</f>
        <v>16256.808749169999</v>
      </c>
      <c r="F210" s="4">
        <f t="shared" si="40"/>
        <v>2.3062679545461382E-3</v>
      </c>
      <c r="G210" s="4">
        <f t="shared" si="40"/>
        <v>8.4974445192539461E-4</v>
      </c>
    </row>
    <row r="212" spans="1:7" x14ac:dyDescent="0.25">
      <c r="C212" s="7" t="s">
        <v>42</v>
      </c>
      <c r="D212" s="3">
        <f>D209/D210</f>
        <v>1.1404823836685474</v>
      </c>
      <c r="E212" s="3">
        <f t="shared" ref="E212:G212" si="41">E209/E210</f>
        <v>1.2854689383527957</v>
      </c>
      <c r="F212" s="3">
        <f t="shared" si="41"/>
        <v>0.8632074718882139</v>
      </c>
      <c r="G212" s="3">
        <f t="shared" si="41"/>
        <v>2.5147412702861627</v>
      </c>
    </row>
    <row r="214" spans="1:7" x14ac:dyDescent="0.25">
      <c r="A214" s="1" t="s">
        <v>0</v>
      </c>
      <c r="B214" s="1" t="s">
        <v>1</v>
      </c>
      <c r="C214" s="1" t="s">
        <v>2</v>
      </c>
      <c r="D214" s="1" t="s">
        <v>3</v>
      </c>
      <c r="E214" s="1" t="s">
        <v>4</v>
      </c>
      <c r="F214" s="1" t="s">
        <v>5</v>
      </c>
      <c r="G214" s="1" t="s">
        <v>6</v>
      </c>
    </row>
    <row r="215" spans="1:7" x14ac:dyDescent="0.25">
      <c r="A215" s="2" t="s">
        <v>37</v>
      </c>
      <c r="B215" s="8" t="s">
        <v>38</v>
      </c>
      <c r="C215" s="2">
        <v>2021</v>
      </c>
      <c r="D215" s="3">
        <v>496312.33844584553</v>
      </c>
      <c r="E215" s="3">
        <v>6058.6276942799996</v>
      </c>
      <c r="F215" s="4">
        <v>1.149126975828702E-3</v>
      </c>
      <c r="G215" s="4">
        <v>4.3326889923906344E-3</v>
      </c>
    </row>
    <row r="216" spans="1:7" x14ac:dyDescent="0.25">
      <c r="A216" s="5" t="s">
        <v>37</v>
      </c>
      <c r="B216" s="9" t="s">
        <v>38</v>
      </c>
      <c r="C216" s="5">
        <v>2023</v>
      </c>
      <c r="D216" s="3">
        <v>481190.63450056087</v>
      </c>
      <c r="E216" s="3">
        <v>5659.2905294400007</v>
      </c>
      <c r="F216" s="4">
        <v>2.7642536319032169E-4</v>
      </c>
      <c r="G216" s="4">
        <v>2.609783923120391E-3</v>
      </c>
    </row>
    <row r="217" spans="1:7" x14ac:dyDescent="0.25">
      <c r="A217" s="2" t="s">
        <v>37</v>
      </c>
      <c r="B217" s="8" t="s">
        <v>38</v>
      </c>
      <c r="C217" s="2">
        <v>2022</v>
      </c>
      <c r="D217" s="3">
        <v>463554.2380744408</v>
      </c>
      <c r="E217" s="3">
        <v>6405.1162323599992</v>
      </c>
      <c r="F217" s="4">
        <v>1.36542870460566E-3</v>
      </c>
      <c r="G217" s="4">
        <v>1.06191448730258E-3</v>
      </c>
    </row>
    <row r="218" spans="1:7" x14ac:dyDescent="0.25">
      <c r="A218" s="2" t="s">
        <v>37</v>
      </c>
      <c r="B218" s="8" t="s">
        <v>38</v>
      </c>
      <c r="C218" s="2">
        <v>2024</v>
      </c>
      <c r="D218" s="3">
        <v>463215.01884109463</v>
      </c>
      <c r="E218" s="3">
        <v>6600.4823040000001</v>
      </c>
      <c r="F218" s="4">
        <v>1.0184783005820781E-3</v>
      </c>
      <c r="G218" s="4">
        <v>1.1952508372333631E-3</v>
      </c>
    </row>
    <row r="220" spans="1:7" x14ac:dyDescent="0.25">
      <c r="B220" s="7" t="s">
        <v>40</v>
      </c>
      <c r="D220" s="3">
        <f>AVERAGE(D215:D216)</f>
        <v>488751.48647320317</v>
      </c>
      <c r="E220" s="3">
        <f t="shared" ref="E220:G220" si="42">AVERAGE(E215:E216)</f>
        <v>5858.9591118600001</v>
      </c>
      <c r="F220" s="4">
        <f t="shared" si="42"/>
        <v>7.1277616950951182E-4</v>
      </c>
      <c r="G220" s="4">
        <f t="shared" si="42"/>
        <v>3.4712364577555127E-3</v>
      </c>
    </row>
    <row r="221" spans="1:7" x14ac:dyDescent="0.25">
      <c r="B221" s="7" t="s">
        <v>41</v>
      </c>
      <c r="D221" s="3">
        <f>AVERAGE(D217:D218)</f>
        <v>463384.62845776771</v>
      </c>
      <c r="E221" s="3">
        <f t="shared" ref="E221:G221" si="43">AVERAGE(E217:E218)</f>
        <v>6502.7992681799997</v>
      </c>
      <c r="F221" s="4">
        <f t="shared" si="43"/>
        <v>1.191953502593869E-3</v>
      </c>
      <c r="G221" s="4">
        <f t="shared" si="43"/>
        <v>1.1285826622679715E-3</v>
      </c>
    </row>
    <row r="223" spans="1:7" x14ac:dyDescent="0.25">
      <c r="C223" s="7" t="s">
        <v>42</v>
      </c>
      <c r="D223" s="3">
        <f>D220/D221</f>
        <v>1.0547425539337831</v>
      </c>
      <c r="E223" s="3">
        <f t="shared" ref="E223:G223" si="44">E220/E221</f>
        <v>0.9009903074402914</v>
      </c>
      <c r="F223" s="3">
        <f t="shared" si="44"/>
        <v>0.59798991148430225</v>
      </c>
      <c r="G223" s="3">
        <f t="shared" si="44"/>
        <v>3.0757485240645135</v>
      </c>
    </row>
  </sheetData>
  <sortState ref="A2:G62">
    <sortCondition descending="1" ref="D2:D62"/>
  </sortState>
  <conditionalFormatting sqref="D2:D62">
    <cfRule type="colorScale" priority="1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62">
    <cfRule type="colorScale" priority="1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62">
    <cfRule type="colorScale" priority="1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G62">
    <cfRule type="colorScale" priority="1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6:D67">
    <cfRule type="colorScale" priority="1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66:E67">
    <cfRule type="colorScale" priority="1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66:F67">
    <cfRule type="colorScale" priority="1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66:G67">
    <cfRule type="colorScale" priority="1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72:D75">
    <cfRule type="colorScale" priority="1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72:E75">
    <cfRule type="colorScale" priority="1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72:F75">
    <cfRule type="colorScale" priority="1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72:G75">
    <cfRule type="colorScale" priority="1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77:D78">
    <cfRule type="colorScale" priority="1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77:E78">
    <cfRule type="colorScale" priority="1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77:F78">
    <cfRule type="colorScale" priority="1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77:G78">
    <cfRule type="colorScale" priority="1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83:D86">
    <cfRule type="colorScale" priority="1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83:E86">
    <cfRule type="colorScale" priority="1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83:F86">
    <cfRule type="colorScale" priority="1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83:G86">
    <cfRule type="colorScale" priority="1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88:D89">
    <cfRule type="colorScale" priority="1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88:E89">
    <cfRule type="colorScale" priority="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88:F89">
    <cfRule type="colorScale" priority="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88:G89">
    <cfRule type="colorScale" priority="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94:D97">
    <cfRule type="colorScale" priority="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94:E97">
    <cfRule type="colorScale" priority="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94:F97">
    <cfRule type="colorScale" priority="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94:G97">
    <cfRule type="colorScale" priority="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99:D100">
    <cfRule type="colorScale" priority="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99:E100">
    <cfRule type="colorScale" priority="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99:F100">
    <cfRule type="colorScale" priority="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99:G100">
    <cfRule type="colorScale" priority="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05:D108">
    <cfRule type="colorScale" priority="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05:E108">
    <cfRule type="colorScale" priority="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05:F108">
    <cfRule type="colorScale" priority="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05:G108">
    <cfRule type="colorScale" priority="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10:D111">
    <cfRule type="colorScale" priority="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10:E111">
    <cfRule type="colorScale" priority="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10:F111">
    <cfRule type="colorScale" priority="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10:G111">
    <cfRule type="colorScale" priority="8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16:D119">
    <cfRule type="colorScale" priority="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16:E119">
    <cfRule type="colorScale" priority="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16:F119">
    <cfRule type="colorScale" priority="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16:G119">
    <cfRule type="colorScale" priority="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21:D122">
    <cfRule type="colorScale" priority="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21:E122">
    <cfRule type="colorScale" priority="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21:F122">
    <cfRule type="colorScale" priority="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21:G122">
    <cfRule type="colorScale" priority="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27:D130">
    <cfRule type="colorScale" priority="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27:E130">
    <cfRule type="colorScale" priority="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27:F130">
    <cfRule type="colorScale" priority="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27:G130">
    <cfRule type="colorScale" priority="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32:D133">
    <cfRule type="colorScale" priority="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32:E133">
    <cfRule type="colorScale" priority="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32:F133">
    <cfRule type="colorScale" priority="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32:G133">
    <cfRule type="colorScale" priority="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38:D141">
    <cfRule type="colorScale" priority="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38:E141">
    <cfRule type="colorScale" priority="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38:F141">
    <cfRule type="colorScale" priority="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38:G141">
    <cfRule type="colorScale" priority="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43:D144"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43:E144">
    <cfRule type="colorScale" priority="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43:F144">
    <cfRule type="colorScale" priority="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43:G144"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49:D152">
    <cfRule type="colorScale" priority="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49:E152">
    <cfRule type="colorScale" priority="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49:F152"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49:G152"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54:D155"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54:E155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54:F155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54:G155"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60:D163"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60:E163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60:F163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60:G163"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65:D166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65:E166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65:F166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65:G166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71:D174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71:E174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71:F174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71:G174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76:D177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76:E177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76:F177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76:G177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82:D185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82:E185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82:F185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82:G185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87:D188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87:E188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87:F188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87:G188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93:D196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93:E196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93:F196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93:G196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98:D199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98:E199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98:F199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98:G199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04:D207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04:E207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04:F207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04:G207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09:D210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09:E210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09:F210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09:G210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15:D218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15:E218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15:F218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15:G218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20:D221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20:E221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20:F22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20:G22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2026-05-14T07:10:32Z</dcterms:created>
  <dcterms:modified xsi:type="dcterms:W3CDTF">2026-05-22T09:00:38Z</dcterms:modified>
</cp:coreProperties>
</file>