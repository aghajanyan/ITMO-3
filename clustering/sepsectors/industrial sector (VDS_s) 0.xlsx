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minimized="1" xWindow="0" yWindow="0" windowWidth="28800" windowHeight="12885" activeTab="2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'Best|Worst'!$C$305:$G$309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L123" i="4" l="1"/>
  <c r="K123" i="4"/>
  <c r="L420" i="4" l="1"/>
  <c r="K420" i="4"/>
  <c r="L396" i="4"/>
  <c r="K396" i="4"/>
  <c r="L372" i="4"/>
  <c r="K372" i="4"/>
  <c r="L348" i="4"/>
  <c r="K348" i="4"/>
  <c r="L324" i="4"/>
  <c r="K324" i="4"/>
  <c r="L300" i="4"/>
  <c r="K300" i="4"/>
  <c r="K252" i="4"/>
  <c r="L276" i="4"/>
  <c r="K276" i="4"/>
  <c r="L252" i="4"/>
  <c r="L228" i="4"/>
  <c r="K228" i="4"/>
  <c r="L204" i="4"/>
  <c r="K204" i="4"/>
  <c r="L180" i="4"/>
  <c r="K180" i="4"/>
  <c r="L156" i="4"/>
  <c r="K156" i="4"/>
  <c r="L132" i="4"/>
  <c r="K132" i="4"/>
  <c r="K108" i="4"/>
  <c r="L108" i="4"/>
  <c r="G394" i="4" l="1"/>
  <c r="G399" i="4" s="1"/>
  <c r="F394" i="4"/>
  <c r="F396" i="4" s="1"/>
  <c r="E394" i="4"/>
  <c r="E396" i="4" s="1"/>
  <c r="D394" i="4"/>
  <c r="D398" i="4" s="1"/>
  <c r="C394" i="4"/>
  <c r="C398" i="4" s="1"/>
  <c r="G390" i="4"/>
  <c r="F390" i="4"/>
  <c r="E390" i="4"/>
  <c r="D390" i="4"/>
  <c r="G389" i="4"/>
  <c r="F389" i="4"/>
  <c r="F392" i="4" s="1"/>
  <c r="E389" i="4"/>
  <c r="E392" i="4" s="1"/>
  <c r="D389" i="4"/>
  <c r="D392" i="4" s="1"/>
  <c r="G373" i="4"/>
  <c r="G372" i="4"/>
  <c r="E372" i="4"/>
  <c r="G370" i="4"/>
  <c r="G374" i="4" s="1"/>
  <c r="F370" i="4"/>
  <c r="F373" i="4" s="1"/>
  <c r="E370" i="4"/>
  <c r="E373" i="4" s="1"/>
  <c r="D370" i="4"/>
  <c r="D375" i="4" s="1"/>
  <c r="C370" i="4"/>
  <c r="C372" i="4" s="1"/>
  <c r="G366" i="4"/>
  <c r="F366" i="4"/>
  <c r="E366" i="4"/>
  <c r="D366" i="4"/>
  <c r="G365" i="4"/>
  <c r="G368" i="4" s="1"/>
  <c r="F365" i="4"/>
  <c r="F368" i="4" s="1"/>
  <c r="E365" i="4"/>
  <c r="E368" i="4" s="1"/>
  <c r="D365" i="4"/>
  <c r="D368" i="4" s="1"/>
  <c r="E351" i="4"/>
  <c r="G349" i="4"/>
  <c r="E349" i="4"/>
  <c r="G346" i="4"/>
  <c r="G348" i="4" s="1"/>
  <c r="F346" i="4"/>
  <c r="F350" i="4" s="1"/>
  <c r="E346" i="4"/>
  <c r="E350" i="4" s="1"/>
  <c r="D346" i="4"/>
  <c r="D350" i="4" s="1"/>
  <c r="C346" i="4"/>
  <c r="C349" i="4" s="1"/>
  <c r="G342" i="4"/>
  <c r="F342" i="4"/>
  <c r="E342" i="4"/>
  <c r="D342" i="4"/>
  <c r="G341" i="4"/>
  <c r="G344" i="4" s="1"/>
  <c r="F341" i="4"/>
  <c r="F344" i="4" s="1"/>
  <c r="E341" i="4"/>
  <c r="E344" i="4" s="1"/>
  <c r="D341" i="4"/>
  <c r="D344" i="4" s="1"/>
  <c r="G327" i="4"/>
  <c r="G326" i="4"/>
  <c r="G322" i="4"/>
  <c r="G325" i="4" s="1"/>
  <c r="F322" i="4"/>
  <c r="F327" i="4" s="1"/>
  <c r="E322" i="4"/>
  <c r="E324" i="4" s="1"/>
  <c r="D322" i="4"/>
  <c r="D324" i="4" s="1"/>
  <c r="C322" i="4"/>
  <c r="C326" i="4" s="1"/>
  <c r="G318" i="4"/>
  <c r="F318" i="4"/>
  <c r="E318" i="4"/>
  <c r="D318" i="4"/>
  <c r="G317" i="4"/>
  <c r="G320" i="4" s="1"/>
  <c r="F317" i="4"/>
  <c r="F320" i="4" s="1"/>
  <c r="E317" i="4"/>
  <c r="E320" i="4" s="1"/>
  <c r="D317" i="4"/>
  <c r="D320" i="4" s="1"/>
  <c r="G303" i="4"/>
  <c r="D302" i="4"/>
  <c r="G298" i="4"/>
  <c r="G302" i="4" s="1"/>
  <c r="F298" i="4"/>
  <c r="F302" i="4" s="1"/>
  <c r="E298" i="4"/>
  <c r="E301" i="4" s="1"/>
  <c r="D298" i="4"/>
  <c r="D301" i="4" s="1"/>
  <c r="C298" i="4"/>
  <c r="C303" i="4" s="1"/>
  <c r="G294" i="4"/>
  <c r="F294" i="4"/>
  <c r="E294" i="4"/>
  <c r="D294" i="4"/>
  <c r="G293" i="4"/>
  <c r="G296" i="4" s="1"/>
  <c r="F293" i="4"/>
  <c r="F296" i="4" s="1"/>
  <c r="E293" i="4"/>
  <c r="E296" i="4" s="1"/>
  <c r="D293" i="4"/>
  <c r="D296" i="4" s="1"/>
  <c r="D279" i="4"/>
  <c r="D277" i="4"/>
  <c r="C276" i="4"/>
  <c r="G274" i="4"/>
  <c r="G276" i="4" s="1"/>
  <c r="F274" i="4"/>
  <c r="F276" i="4" s="1"/>
  <c r="E274" i="4"/>
  <c r="E278" i="4" s="1"/>
  <c r="D274" i="4"/>
  <c r="D278" i="4" s="1"/>
  <c r="C274" i="4"/>
  <c r="C278" i="4" s="1"/>
  <c r="G270" i="4"/>
  <c r="F270" i="4"/>
  <c r="E270" i="4"/>
  <c r="D270" i="4"/>
  <c r="G269" i="4"/>
  <c r="G272" i="4" s="1"/>
  <c r="F269" i="4"/>
  <c r="F272" i="4" s="1"/>
  <c r="E269" i="4"/>
  <c r="D269" i="4"/>
  <c r="D272" i="4" s="1"/>
  <c r="F254" i="4"/>
  <c r="C253" i="4"/>
  <c r="F252" i="4"/>
  <c r="G250" i="4"/>
  <c r="G253" i="4" s="1"/>
  <c r="F250" i="4"/>
  <c r="F253" i="4" s="1"/>
  <c r="E250" i="4"/>
  <c r="E255" i="4" s="1"/>
  <c r="D250" i="4"/>
  <c r="D252" i="4" s="1"/>
  <c r="C250" i="4"/>
  <c r="C252" i="4" s="1"/>
  <c r="G246" i="4"/>
  <c r="F246" i="4"/>
  <c r="E246" i="4"/>
  <c r="D246" i="4"/>
  <c r="G245" i="4"/>
  <c r="F245" i="4"/>
  <c r="F248" i="4" s="1"/>
  <c r="E245" i="4"/>
  <c r="E248" i="4" s="1"/>
  <c r="D245" i="4"/>
  <c r="D231" i="4"/>
  <c r="C230" i="4"/>
  <c r="E228" i="4"/>
  <c r="D228" i="4"/>
  <c r="C228" i="4"/>
  <c r="G226" i="4"/>
  <c r="G230" i="4" s="1"/>
  <c r="F226" i="4"/>
  <c r="F230" i="4" s="1"/>
  <c r="E226" i="4"/>
  <c r="E230" i="4" s="1"/>
  <c r="D226" i="4"/>
  <c r="D229" i="4" s="1"/>
  <c r="C226" i="4"/>
  <c r="C229" i="4" s="1"/>
  <c r="G222" i="4"/>
  <c r="F222" i="4"/>
  <c r="E222" i="4"/>
  <c r="D222" i="4"/>
  <c r="G221" i="4"/>
  <c r="F221" i="4"/>
  <c r="F224" i="4" s="1"/>
  <c r="E221" i="4"/>
  <c r="D221" i="4"/>
  <c r="D224" i="4" s="1"/>
  <c r="D205" i="4"/>
  <c r="G202" i="4"/>
  <c r="G207" i="4" s="1"/>
  <c r="F202" i="4"/>
  <c r="F204" i="4" s="1"/>
  <c r="E202" i="4"/>
  <c r="E204" i="4" s="1"/>
  <c r="D202" i="4"/>
  <c r="D206" i="4" s="1"/>
  <c r="C202" i="4"/>
  <c r="C206" i="4" s="1"/>
  <c r="G198" i="4"/>
  <c r="F198" i="4"/>
  <c r="E198" i="4"/>
  <c r="D198" i="4"/>
  <c r="G197" i="4"/>
  <c r="G200" i="4" s="1"/>
  <c r="F197" i="4"/>
  <c r="E197" i="4"/>
  <c r="E200" i="4" s="1"/>
  <c r="D197" i="4"/>
  <c r="D200" i="4" s="1"/>
  <c r="G183" i="4"/>
  <c r="G180" i="4"/>
  <c r="G178" i="4"/>
  <c r="G182" i="4" s="1"/>
  <c r="F178" i="4"/>
  <c r="F181" i="4" s="1"/>
  <c r="E178" i="4"/>
  <c r="E181" i="4" s="1"/>
  <c r="D178" i="4"/>
  <c r="D183" i="4" s="1"/>
  <c r="C178" i="4"/>
  <c r="C180" i="4" s="1"/>
  <c r="G174" i="4"/>
  <c r="F174" i="4"/>
  <c r="E174" i="4"/>
  <c r="D174" i="4"/>
  <c r="G173" i="4"/>
  <c r="G176" i="4" s="1"/>
  <c r="F173" i="4"/>
  <c r="F176" i="4" s="1"/>
  <c r="E173" i="4"/>
  <c r="E176" i="4" s="1"/>
  <c r="D173" i="4"/>
  <c r="D176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392" i="4" l="1"/>
  <c r="C397" i="4"/>
  <c r="D397" i="4"/>
  <c r="E397" i="4"/>
  <c r="C399" i="4"/>
  <c r="E374" i="4"/>
  <c r="F374" i="4"/>
  <c r="E375" i="4"/>
  <c r="F375" i="4"/>
  <c r="F372" i="4"/>
  <c r="G375" i="4"/>
  <c r="F349" i="4"/>
  <c r="C350" i="4"/>
  <c r="C348" i="4"/>
  <c r="C351" i="4"/>
  <c r="D348" i="4"/>
  <c r="D351" i="4"/>
  <c r="D349" i="4"/>
  <c r="G324" i="4"/>
  <c r="C325" i="4"/>
  <c r="D325" i="4"/>
  <c r="E302" i="4"/>
  <c r="D300" i="4"/>
  <c r="E303" i="4"/>
  <c r="E300" i="4"/>
  <c r="F303" i="4"/>
  <c r="F300" i="4"/>
  <c r="F301" i="4"/>
  <c r="G301" i="4"/>
  <c r="E277" i="4"/>
  <c r="E272" i="4"/>
  <c r="F277" i="4"/>
  <c r="C279" i="4"/>
  <c r="C277" i="4"/>
  <c r="G255" i="4"/>
  <c r="G248" i="4"/>
  <c r="G252" i="4"/>
  <c r="D248" i="4"/>
  <c r="F229" i="4"/>
  <c r="E224" i="4"/>
  <c r="G229" i="4"/>
  <c r="G224" i="4"/>
  <c r="E231" i="4"/>
  <c r="F231" i="4"/>
  <c r="C207" i="4"/>
  <c r="F200" i="4"/>
  <c r="C205" i="4"/>
  <c r="E205" i="4"/>
  <c r="E180" i="4"/>
  <c r="F180" i="4"/>
  <c r="E182" i="4"/>
  <c r="F183" i="4"/>
  <c r="D84" i="4"/>
  <c r="G85" i="4"/>
  <c r="E87" i="4"/>
  <c r="D109" i="4"/>
  <c r="D111" i="4"/>
  <c r="F132" i="4"/>
  <c r="D134" i="4"/>
  <c r="G135" i="4"/>
  <c r="D157" i="4"/>
  <c r="G158" i="4"/>
  <c r="D180" i="4"/>
  <c r="G181" i="4"/>
  <c r="E183" i="4"/>
  <c r="G204" i="4"/>
  <c r="E206" i="4"/>
  <c r="E229" i="4"/>
  <c r="C231" i="4"/>
  <c r="E252" i="4"/>
  <c r="C254" i="4"/>
  <c r="F255" i="4"/>
  <c r="F278" i="4"/>
  <c r="C300" i="4"/>
  <c r="D303" i="4"/>
  <c r="F324" i="4"/>
  <c r="D326" i="4"/>
  <c r="G350" i="4"/>
  <c r="D372" i="4"/>
  <c r="G396" i="4"/>
  <c r="E398" i="4"/>
  <c r="E84" i="4"/>
  <c r="C86" i="4"/>
  <c r="F87" i="4"/>
  <c r="E109" i="4"/>
  <c r="E111" i="4"/>
  <c r="E134" i="4"/>
  <c r="C182" i="4"/>
  <c r="F206" i="4"/>
  <c r="D254" i="4"/>
  <c r="G278" i="4"/>
  <c r="E326" i="4"/>
  <c r="C374" i="4"/>
  <c r="F398" i="4"/>
  <c r="G109" i="4"/>
  <c r="D86" i="4"/>
  <c r="F109" i="4"/>
  <c r="F111" i="4"/>
  <c r="C133" i="4"/>
  <c r="F134" i="4"/>
  <c r="D182" i="4"/>
  <c r="G206" i="4"/>
  <c r="E254" i="4"/>
  <c r="C302" i="4"/>
  <c r="F326" i="4"/>
  <c r="D374" i="4"/>
  <c r="G398" i="4"/>
  <c r="G111" i="4"/>
  <c r="C85" i="4"/>
  <c r="F86" i="4"/>
  <c r="D108" i="4"/>
  <c r="E133" i="4"/>
  <c r="C135" i="4"/>
  <c r="E156" i="4"/>
  <c r="C158" i="4"/>
  <c r="F159" i="4"/>
  <c r="C181" i="4"/>
  <c r="F182" i="4"/>
  <c r="C204" i="4"/>
  <c r="F205" i="4"/>
  <c r="D207" i="4"/>
  <c r="F228" i="4"/>
  <c r="D230" i="4"/>
  <c r="G231" i="4"/>
  <c r="D253" i="4"/>
  <c r="G254" i="4"/>
  <c r="D276" i="4"/>
  <c r="G277" i="4"/>
  <c r="E279" i="4"/>
  <c r="G300" i="4"/>
  <c r="E325" i="4"/>
  <c r="C327" i="4"/>
  <c r="E348" i="4"/>
  <c r="F351" i="4"/>
  <c r="C373" i="4"/>
  <c r="C396" i="4"/>
  <c r="F397" i="4"/>
  <c r="D399" i="4"/>
  <c r="D85" i="4"/>
  <c r="E108" i="4"/>
  <c r="C132" i="4"/>
  <c r="F133" i="4"/>
  <c r="D135" i="4"/>
  <c r="F156" i="4"/>
  <c r="G159" i="4"/>
  <c r="D181" i="4"/>
  <c r="D204" i="4"/>
  <c r="G205" i="4"/>
  <c r="E207" i="4"/>
  <c r="G228" i="4"/>
  <c r="E253" i="4"/>
  <c r="C255" i="4"/>
  <c r="E276" i="4"/>
  <c r="F279" i="4"/>
  <c r="C301" i="4"/>
  <c r="C324" i="4"/>
  <c r="F325" i="4"/>
  <c r="D327" i="4"/>
  <c r="F348" i="4"/>
  <c r="G351" i="4"/>
  <c r="D373" i="4"/>
  <c r="D396" i="4"/>
  <c r="G397" i="4"/>
  <c r="E399" i="4"/>
  <c r="C87" i="4"/>
  <c r="F108" i="4"/>
  <c r="E135" i="4"/>
  <c r="C183" i="4"/>
  <c r="F207" i="4"/>
  <c r="D255" i="4"/>
  <c r="G279" i="4"/>
  <c r="E327" i="4"/>
  <c r="C375" i="4"/>
  <c r="F399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<sst xmlns="http://schemas.openxmlformats.org/spreadsheetml/2006/main" count="1604" uniqueCount="47">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</sst>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'Best|Worst'!$D$234:$G$234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'Best|Worst'!$D$261:$G$261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'Best|Worst'!$C$285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'Best|Worst'!$D$285:$G$285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'Best|Worst'!$D$381:$G$381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'Best|Worst'!$C$405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'Best|Worst'!$D$405:$G$405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22" zoomScale="55" zoomScaleNormal="55" workbookViewId="0">
      <selection activeCell="C82" sqref="C82:G8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1"/>
  <sheetViews>
    <sheetView tabSelected="1" topLeftCell="T10" zoomScale="55" zoomScaleNormal="55" workbookViewId="0">
      <selection activeCell="BI58" sqref="BI58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12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12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12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12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12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12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12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12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  <c r="J107" s="2"/>
      <c r="K107" s="10" t="s">
        <v>44</v>
      </c>
      <c r="L107" s="10" t="s">
        <v>45</v>
      </c>
    </row>
    <row r="108" spans="1:12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  <c r="J108" s="10">
        <v>16</v>
      </c>
      <c r="K108" s="3">
        <f>0.5*(D93*E93+E93*F93+F93*G93+G93*D93)</f>
        <v>0.4063013468451786</v>
      </c>
      <c r="L108" s="3">
        <f>0.5*(D90*E90+E90*F90+F90*G90+G90*D90)</f>
        <v>1.1322633571769671</v>
      </c>
    </row>
    <row r="109" spans="1:12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  <c r="J109" s="10">
        <v>19</v>
      </c>
      <c r="K109" s="3">
        <v>0.94053962655500623</v>
      </c>
      <c r="L109" s="3">
        <v>0.99570716952284077</v>
      </c>
    </row>
    <row r="110" spans="1:12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  <c r="J110" s="10">
        <v>20</v>
      </c>
      <c r="K110" s="3">
        <v>0.47499470801749727</v>
      </c>
      <c r="L110" s="3">
        <v>0.42263688520000919</v>
      </c>
    </row>
    <row r="111" spans="1:12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  <c r="J111" s="10">
        <v>21</v>
      </c>
      <c r="K111" s="3">
        <v>0.60262265902539602</v>
      </c>
      <c r="L111" s="3">
        <v>0.52746402399944881</v>
      </c>
    </row>
    <row r="112" spans="1:12" x14ac:dyDescent="0.25">
      <c r="J112" s="10">
        <v>22</v>
      </c>
      <c r="K112" s="3">
        <v>0.79879962817792993</v>
      </c>
      <c r="L112" s="3">
        <v>0.65129526918017067</v>
      </c>
    </row>
    <row r="113" spans="1:12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  <c r="J113" s="10">
        <v>23</v>
      </c>
      <c r="K113" s="3">
        <v>1.4020652670249751</v>
      </c>
      <c r="L113" s="3">
        <v>1.0995183126440389</v>
      </c>
    </row>
    <row r="114" spans="1:12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  <c r="J114" s="10">
        <v>24</v>
      </c>
      <c r="K114" s="3">
        <v>0.61212505014159868</v>
      </c>
      <c r="L114" s="3">
        <v>1.0083484287788067</v>
      </c>
    </row>
    <row r="115" spans="1:12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  <c r="J115" s="10">
        <v>25</v>
      </c>
      <c r="K115" s="3">
        <v>1.3033063797642059</v>
      </c>
      <c r="L115" s="3">
        <v>0.17445159599518406</v>
      </c>
    </row>
    <row r="116" spans="1:12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  <c r="J116" s="10">
        <v>26</v>
      </c>
      <c r="K116" s="3">
        <v>0.40274335862744398</v>
      </c>
      <c r="L116" s="3">
        <v>9.3891127559008247E-2</v>
      </c>
    </row>
    <row r="117" spans="1:12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  <c r="J117" s="10">
        <v>27</v>
      </c>
      <c r="K117" s="3">
        <v>0.46437907105783394</v>
      </c>
      <c r="L117" s="3">
        <v>0.18913531858780386</v>
      </c>
    </row>
    <row r="118" spans="1:12" x14ac:dyDescent="0.25">
      <c r="J118" s="10">
        <v>28</v>
      </c>
      <c r="K118" s="3">
        <v>1.0663153616956014</v>
      </c>
      <c r="L118" s="3">
        <v>0.24899552858732954</v>
      </c>
    </row>
    <row r="119" spans="1:12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  <c r="J119" s="10">
        <v>29</v>
      </c>
      <c r="K119" s="3">
        <v>0.58245092784424224</v>
      </c>
      <c r="L119" s="3">
        <v>0.53523769373150953</v>
      </c>
    </row>
    <row r="120" spans="1:12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  <c r="J120" s="10">
        <v>30</v>
      </c>
      <c r="K120" s="3">
        <v>1.404116948256124</v>
      </c>
      <c r="L120" s="3">
        <v>0.77941261353384506</v>
      </c>
    </row>
    <row r="121" spans="1:12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  <c r="J121" s="10">
        <v>33</v>
      </c>
      <c r="K121" s="3">
        <v>1.046781023517819</v>
      </c>
      <c r="L121" s="3">
        <v>1.1137714394813514</v>
      </c>
    </row>
    <row r="122" spans="1:12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  <c r="J122" s="10"/>
      <c r="K122" s="3"/>
      <c r="L122" s="3"/>
    </row>
    <row r="123" spans="1:12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  <c r="J123" t="s">
        <v>46</v>
      </c>
      <c r="K123" s="3">
        <f>AVERAGE(K108:K121)</f>
        <v>0.82196723975363228</v>
      </c>
      <c r="L123" s="3">
        <f>AVERAGE(L108:L121)</f>
        <v>0.64086634028416523</v>
      </c>
    </row>
    <row r="125" spans="1:12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12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12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12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12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  <c r="J131" s="2"/>
      <c r="K131" s="10" t="s">
        <v>44</v>
      </c>
      <c r="L131" s="10" t="s">
        <v>45</v>
      </c>
    </row>
    <row r="132" spans="1:12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  <c r="J132" s="10">
        <v>19</v>
      </c>
      <c r="K132" s="3">
        <f>0.5*(D117*E117+E117*F117+F117*G117+G117*D117)</f>
        <v>0.94053962655500623</v>
      </c>
      <c r="L132" s="3">
        <f>0.5*(D114*E114+E114*F114+F114*G114+G114*D114)</f>
        <v>0.99570716952284077</v>
      </c>
    </row>
    <row r="133" spans="1:12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12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12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12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12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12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12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12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12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12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12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12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12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12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12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12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12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12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  <c r="J155" s="2"/>
      <c r="K155" s="10" t="s">
        <v>44</v>
      </c>
      <c r="L155" s="10" t="s">
        <v>45</v>
      </c>
    </row>
    <row r="156" spans="1:12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  <c r="J156" s="10">
        <v>20</v>
      </c>
      <c r="K156" s="3">
        <f>0.5*(D141*E141+E141*F141+F141*G141+G141*D141)</f>
        <v>0.47499470801749727</v>
      </c>
      <c r="L156" s="3">
        <f>0.5*(D138*E138+E138*F138+F138*G138+G138*D138)</f>
        <v>0.42263688520000919</v>
      </c>
    </row>
    <row r="157" spans="1:12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12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12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7" spans="1:7" x14ac:dyDescent="0.25">
      <c r="A167" s="1" t="s">
        <v>0</v>
      </c>
      <c r="B167" s="1" t="s">
        <v>1</v>
      </c>
      <c r="C167" s="1" t="s">
        <v>2</v>
      </c>
      <c r="D167" s="1" t="s">
        <v>3</v>
      </c>
      <c r="E167" s="1" t="s">
        <v>4</v>
      </c>
      <c r="F167" s="1" t="s">
        <v>5</v>
      </c>
      <c r="G167" s="1" t="s">
        <v>6</v>
      </c>
    </row>
    <row r="168" spans="1:7" x14ac:dyDescent="0.25">
      <c r="A168" s="2" t="s">
        <v>19</v>
      </c>
      <c r="B168" s="8" t="s">
        <v>20</v>
      </c>
      <c r="C168" s="2">
        <v>2</v>
      </c>
      <c r="D168" s="3">
        <v>327266.01547195681</v>
      </c>
      <c r="E168" s="3">
        <v>2736.7203125999999</v>
      </c>
      <c r="F168" s="4">
        <v>6.5575458761258591E-4</v>
      </c>
      <c r="G168" s="4">
        <v>9.6186040198574876E-4</v>
      </c>
    </row>
    <row r="169" spans="1:7" x14ac:dyDescent="0.25">
      <c r="A169" s="2" t="s">
        <v>19</v>
      </c>
      <c r="B169" s="8" t="s">
        <v>20</v>
      </c>
      <c r="C169" s="2">
        <v>3</v>
      </c>
      <c r="D169" s="3">
        <v>323997.44760210218</v>
      </c>
      <c r="E169" s="3">
        <v>2594.2840083999999</v>
      </c>
      <c r="F169" s="4">
        <v>4.4144095106468531E-4</v>
      </c>
      <c r="G169" s="4">
        <v>4.2813564143465432E-3</v>
      </c>
    </row>
    <row r="170" spans="1:7" x14ac:dyDescent="0.25">
      <c r="A170" s="2" t="s">
        <v>19</v>
      </c>
      <c r="B170" s="8" t="s">
        <v>20</v>
      </c>
      <c r="C170" s="2">
        <v>4</v>
      </c>
      <c r="D170" s="3">
        <v>321762.90970591619</v>
      </c>
      <c r="E170" s="3">
        <v>2793.945984</v>
      </c>
      <c r="F170" s="4">
        <v>3.0877619142976242E-4</v>
      </c>
      <c r="G170" s="4">
        <v>1.0062327675981299E-3</v>
      </c>
    </row>
    <row r="171" spans="1:7" x14ac:dyDescent="0.25">
      <c r="A171" s="2" t="s">
        <v>19</v>
      </c>
      <c r="B171" s="8" t="s">
        <v>20</v>
      </c>
      <c r="C171" s="2">
        <v>1</v>
      </c>
      <c r="D171" s="3">
        <v>297602.00445720641</v>
      </c>
      <c r="E171" s="3">
        <v>3256.4356082999998</v>
      </c>
      <c r="F171" s="4">
        <v>3.8592436982227681E-4</v>
      </c>
      <c r="G171" s="4">
        <v>2.369477916386043E-3</v>
      </c>
    </row>
    <row r="173" spans="1:7" x14ac:dyDescent="0.25">
      <c r="B173" s="7" t="s">
        <v>40</v>
      </c>
      <c r="D173" s="3">
        <f>AVERAGE(D168:D169)</f>
        <v>325631.7315370295</v>
      </c>
      <c r="E173" s="3">
        <f t="shared" ref="E173:G173" si="28">AVERAGE(E168:E169)</f>
        <v>2665.5021605000002</v>
      </c>
      <c r="F173" s="4">
        <f t="shared" si="28"/>
        <v>5.4859776933863561E-4</v>
      </c>
      <c r="G173" s="4">
        <f t="shared" si="28"/>
        <v>2.6216084081661459E-3</v>
      </c>
    </row>
    <row r="174" spans="1:7" x14ac:dyDescent="0.25">
      <c r="B174" s="7" t="s">
        <v>41</v>
      </c>
      <c r="D174" s="3">
        <f>AVERAGE(D170:D171)</f>
        <v>309682.45708156133</v>
      </c>
      <c r="E174" s="3">
        <f t="shared" ref="E174:G174" si="29">AVERAGE(E170:E171)</f>
        <v>3025.1907961500001</v>
      </c>
      <c r="F174" s="4">
        <f t="shared" si="29"/>
        <v>3.4735028062601961E-4</v>
      </c>
      <c r="G174" s="4">
        <f t="shared" si="29"/>
        <v>1.6878553419920864E-3</v>
      </c>
    </row>
    <row r="176" spans="1:7" x14ac:dyDescent="0.25">
      <c r="C176" s="7" t="s">
        <v>42</v>
      </c>
      <c r="D176" s="3">
        <f>D173/D174</f>
        <v>1.0515020276116822</v>
      </c>
      <c r="E176" s="3">
        <f t="shared" ref="E176:G176" si="30">E173/E174</f>
        <v>0.88110216515673767</v>
      </c>
      <c r="F176" s="3">
        <f t="shared" si="30"/>
        <v>1.5793790877321685</v>
      </c>
      <c r="G176" s="3">
        <f t="shared" si="30"/>
        <v>1.5532186573951297</v>
      </c>
    </row>
    <row r="178" spans="1:12" x14ac:dyDescent="0.25">
      <c r="C178" s="2">
        <f>MAX(C168:C171)</f>
        <v>4</v>
      </c>
      <c r="D178" s="2">
        <f t="shared" ref="D178:G178" si="31">MAX(D168:D171)</f>
        <v>327266.01547195681</v>
      </c>
      <c r="E178" s="2">
        <f t="shared" si="31"/>
        <v>3256.4356082999998</v>
      </c>
      <c r="F178" s="2">
        <f t="shared" si="31"/>
        <v>6.5575458761258591E-4</v>
      </c>
      <c r="G178" s="2">
        <f t="shared" si="31"/>
        <v>4.2813564143465432E-3</v>
      </c>
    </row>
    <row r="179" spans="1:12" x14ac:dyDescent="0.25">
      <c r="C179" s="10" t="s">
        <v>43</v>
      </c>
      <c r="D179" s="10" t="s">
        <v>3</v>
      </c>
      <c r="E179" s="1" t="s">
        <v>4</v>
      </c>
      <c r="F179" s="1" t="s">
        <v>5</v>
      </c>
      <c r="G179" s="1" t="s">
        <v>6</v>
      </c>
      <c r="J179" s="2"/>
      <c r="K179" s="10" t="s">
        <v>44</v>
      </c>
      <c r="L179" s="10" t="s">
        <v>45</v>
      </c>
    </row>
    <row r="180" spans="1:12" x14ac:dyDescent="0.25">
      <c r="C180" s="2">
        <f t="shared" ref="C180:G183" si="32">C168/C$178</f>
        <v>0.5</v>
      </c>
      <c r="D180" s="2">
        <f t="shared" si="32"/>
        <v>1</v>
      </c>
      <c r="E180" s="2">
        <f t="shared" si="32"/>
        <v>0.84040363200323998</v>
      </c>
      <c r="F180" s="2">
        <f t="shared" si="32"/>
        <v>1</v>
      </c>
      <c r="G180" s="2">
        <f t="shared" si="32"/>
        <v>0.22466253890066659</v>
      </c>
      <c r="J180" s="10">
        <v>21</v>
      </c>
      <c r="K180" s="3">
        <f>0.5*(D165*E165+E165*F165+F165*G165+G165*D165)</f>
        <v>0.60262265902539602</v>
      </c>
      <c r="L180" s="3">
        <f>0.5*(D162*E162+E162*F162+F162*G162+G162*D162)</f>
        <v>0.52746402399944881</v>
      </c>
    </row>
    <row r="181" spans="1:12" x14ac:dyDescent="0.25">
      <c r="C181" s="2">
        <f t="shared" si="32"/>
        <v>0.75</v>
      </c>
      <c r="D181" s="2">
        <f t="shared" si="32"/>
        <v>0.99001250446019895</v>
      </c>
      <c r="E181" s="2">
        <f t="shared" si="32"/>
        <v>0.796663690136446</v>
      </c>
      <c r="F181" s="2">
        <f t="shared" si="32"/>
        <v>0.67318011860480464</v>
      </c>
      <c r="G181" s="2">
        <f t="shared" si="32"/>
        <v>1</v>
      </c>
      <c r="J181" s="2"/>
      <c r="K181" s="10"/>
      <c r="L181" s="10"/>
    </row>
    <row r="182" spans="1:12" x14ac:dyDescent="0.25">
      <c r="C182" s="2">
        <f t="shared" si="32"/>
        <v>1</v>
      </c>
      <c r="D182" s="2">
        <f t="shared" si="32"/>
        <v>0.98318460974903099</v>
      </c>
      <c r="E182" s="2">
        <f t="shared" si="32"/>
        <v>0.85797673286669429</v>
      </c>
      <c r="F182" s="2">
        <f t="shared" si="32"/>
        <v>0.47087156881956077</v>
      </c>
      <c r="G182" s="2">
        <f t="shared" si="32"/>
        <v>0.23502662946404326</v>
      </c>
      <c r="J182" s="10"/>
      <c r="K182" s="3"/>
      <c r="L182" s="3"/>
    </row>
    <row r="183" spans="1:12" x14ac:dyDescent="0.25">
      <c r="C183" s="2">
        <f t="shared" si="32"/>
        <v>0.25</v>
      </c>
      <c r="D183" s="2">
        <f t="shared" si="32"/>
        <v>0.90935810743449375</v>
      </c>
      <c r="E183" s="2">
        <f t="shared" si="32"/>
        <v>1</v>
      </c>
      <c r="F183" s="2">
        <f t="shared" si="32"/>
        <v>0.58851951189135643</v>
      </c>
      <c r="G183" s="2">
        <f t="shared" si="32"/>
        <v>0.55344093952236229</v>
      </c>
    </row>
    <row r="185" spans="1:12" x14ac:dyDescent="0.25">
      <c r="C185" s="10" t="s">
        <v>3</v>
      </c>
      <c r="D185" s="10" t="s">
        <v>43</v>
      </c>
      <c r="E185" s="10" t="s">
        <v>4</v>
      </c>
      <c r="F185" s="10" t="s">
        <v>5</v>
      </c>
      <c r="G185" s="10" t="s">
        <v>6</v>
      </c>
    </row>
    <row r="186" spans="1:12" x14ac:dyDescent="0.25">
      <c r="C186" s="3">
        <v>0.90935810743449375</v>
      </c>
      <c r="D186" s="2">
        <v>0.25</v>
      </c>
      <c r="E186" s="2">
        <v>1</v>
      </c>
      <c r="F186" s="2">
        <v>0.58851951189135643</v>
      </c>
      <c r="G186" s="2">
        <v>0.55344093952236229</v>
      </c>
    </row>
    <row r="187" spans="1:12" x14ac:dyDescent="0.25">
      <c r="C187" s="3">
        <v>0.98318460974903099</v>
      </c>
      <c r="D187" s="2">
        <v>1</v>
      </c>
      <c r="E187" s="2">
        <v>0.85797673286669429</v>
      </c>
      <c r="F187" s="2">
        <v>0.47087156881956077</v>
      </c>
      <c r="G187" s="2">
        <v>0.23502662946404326</v>
      </c>
    </row>
    <row r="188" spans="1:12" x14ac:dyDescent="0.25">
      <c r="C188" s="3">
        <v>0.99001250446019895</v>
      </c>
      <c r="D188" s="2">
        <v>0.75</v>
      </c>
      <c r="E188" s="2">
        <v>0.796663690136446</v>
      </c>
      <c r="F188" s="2">
        <v>0.67318011860480464</v>
      </c>
      <c r="G188" s="2">
        <v>1</v>
      </c>
    </row>
    <row r="189" spans="1:12" x14ac:dyDescent="0.25">
      <c r="C189" s="3">
        <v>1</v>
      </c>
      <c r="D189" s="2">
        <v>0.5</v>
      </c>
      <c r="E189" s="2">
        <v>0.84040363200323998</v>
      </c>
      <c r="F189" s="2">
        <v>1</v>
      </c>
      <c r="G189" s="2">
        <v>0.22466253890066659</v>
      </c>
    </row>
    <row r="191" spans="1:12" x14ac:dyDescent="0.25">
      <c r="A191" s="1" t="s">
        <v>0</v>
      </c>
      <c r="B191" s="1" t="s">
        <v>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</row>
    <row r="192" spans="1:12" x14ac:dyDescent="0.25">
      <c r="A192" s="2" t="s">
        <v>21</v>
      </c>
      <c r="B192" s="8" t="s">
        <v>22</v>
      </c>
      <c r="C192" s="2">
        <v>4</v>
      </c>
      <c r="D192" s="3">
        <v>589836.07301855378</v>
      </c>
      <c r="E192" s="3">
        <v>3459.2387039999999</v>
      </c>
      <c r="F192" s="4">
        <v>2.6129124854981389E-3</v>
      </c>
      <c r="G192" s="4">
        <v>2.2962786554205951E-3</v>
      </c>
    </row>
    <row r="193" spans="1:12" x14ac:dyDescent="0.25">
      <c r="A193" s="2" t="s">
        <v>21</v>
      </c>
      <c r="B193" s="8" t="s">
        <v>22</v>
      </c>
      <c r="C193" s="2">
        <v>2</v>
      </c>
      <c r="D193" s="3">
        <v>585427.26654459862</v>
      </c>
      <c r="E193" s="3">
        <v>4854.6591208600003</v>
      </c>
      <c r="F193" s="4">
        <v>3.7612999688359748E-4</v>
      </c>
      <c r="G193" s="4">
        <v>2.0756040556386131E-3</v>
      </c>
    </row>
    <row r="194" spans="1:12" x14ac:dyDescent="0.25">
      <c r="A194" s="2" t="s">
        <v>21</v>
      </c>
      <c r="B194" s="8" t="s">
        <v>22</v>
      </c>
      <c r="C194" s="2">
        <v>3</v>
      </c>
      <c r="D194" s="3">
        <v>575669.32501484314</v>
      </c>
      <c r="E194" s="3">
        <v>4774.9529707199999</v>
      </c>
      <c r="F194" s="4">
        <v>2.8738600116371028E-4</v>
      </c>
      <c r="G194" s="4">
        <v>1.316480132589062E-3</v>
      </c>
    </row>
    <row r="195" spans="1:12" x14ac:dyDescent="0.25">
      <c r="A195" s="2" t="s">
        <v>21</v>
      </c>
      <c r="B195" s="8" t="s">
        <v>22</v>
      </c>
      <c r="C195" s="2">
        <v>1</v>
      </c>
      <c r="D195" s="3">
        <v>532258.74860418728</v>
      </c>
      <c r="E195" s="3">
        <v>5998.8555937799993</v>
      </c>
      <c r="F195" s="4">
        <v>3.3561812091085249E-3</v>
      </c>
      <c r="G195" s="4">
        <v>1.7434020366891251E-3</v>
      </c>
    </row>
    <row r="197" spans="1:12" x14ac:dyDescent="0.25">
      <c r="B197" s="7" t="s">
        <v>40</v>
      </c>
      <c r="D197" s="3">
        <f>AVERAGE(D192:D193)</f>
        <v>587631.66978157614</v>
      </c>
      <c r="E197" s="3">
        <f t="shared" ref="E197:G197" si="33">AVERAGE(E192:E193)</f>
        <v>4156.9489124299998</v>
      </c>
      <c r="F197" s="4">
        <f t="shared" si="33"/>
        <v>1.4945212411908682E-3</v>
      </c>
      <c r="G197" s="4">
        <f t="shared" si="33"/>
        <v>2.1859413555296043E-3</v>
      </c>
    </row>
    <row r="198" spans="1:12" x14ac:dyDescent="0.25">
      <c r="B198" s="7" t="s">
        <v>41</v>
      </c>
      <c r="D198" s="3">
        <f>AVERAGE(D194:D195)</f>
        <v>553964.03680951521</v>
      </c>
      <c r="E198" s="3">
        <f t="shared" ref="E198:G198" si="34">AVERAGE(E194:E195)</f>
        <v>5386.9042822499996</v>
      </c>
      <c r="F198" s="4">
        <f t="shared" si="34"/>
        <v>1.8217836051361176E-3</v>
      </c>
      <c r="G198" s="4">
        <f t="shared" si="34"/>
        <v>1.5299410846390934E-3</v>
      </c>
    </row>
    <row r="200" spans="1:12" x14ac:dyDescent="0.25">
      <c r="C200" s="7" t="s">
        <v>42</v>
      </c>
      <c r="D200" s="3">
        <f>D197/D198</f>
        <v>1.0607758459664012</v>
      </c>
      <c r="E200" s="3">
        <f t="shared" ref="E200:G200" si="35">E197/E198</f>
        <v>0.77167677289668257</v>
      </c>
      <c r="F200" s="3">
        <f t="shared" si="35"/>
        <v>0.82036156049346076</v>
      </c>
      <c r="G200" s="3">
        <f t="shared" si="35"/>
        <v>1.4287748577228767</v>
      </c>
    </row>
    <row r="202" spans="1:12" x14ac:dyDescent="0.25">
      <c r="C202" s="2">
        <f>MAX(C192:C195)</f>
        <v>4</v>
      </c>
      <c r="D202" s="2">
        <f t="shared" ref="D202:G202" si="36">MAX(D192:D195)</f>
        <v>589836.07301855378</v>
      </c>
      <c r="E202" s="2">
        <f t="shared" si="36"/>
        <v>5998.8555937799993</v>
      </c>
      <c r="F202" s="2">
        <f t="shared" si="36"/>
        <v>3.3561812091085249E-3</v>
      </c>
      <c r="G202" s="2">
        <f t="shared" si="36"/>
        <v>2.2962786554205951E-3</v>
      </c>
    </row>
    <row r="203" spans="1:12" x14ac:dyDescent="0.25">
      <c r="C203" s="10" t="s">
        <v>43</v>
      </c>
      <c r="D203" s="10" t="s">
        <v>3</v>
      </c>
      <c r="E203" s="1" t="s">
        <v>4</v>
      </c>
      <c r="F203" s="1" t="s">
        <v>5</v>
      </c>
      <c r="G203" s="1" t="s">
        <v>6</v>
      </c>
      <c r="J203" s="2"/>
      <c r="K203" s="10" t="s">
        <v>44</v>
      </c>
      <c r="L203" s="10" t="s">
        <v>45</v>
      </c>
    </row>
    <row r="204" spans="1:12" x14ac:dyDescent="0.25">
      <c r="C204" s="2">
        <f t="shared" ref="C204:G207" si="37">C192/C$202</f>
        <v>1</v>
      </c>
      <c r="D204" s="2">
        <f t="shared" si="37"/>
        <v>1</v>
      </c>
      <c r="E204" s="2">
        <f t="shared" si="37"/>
        <v>0.57664977093076919</v>
      </c>
      <c r="F204" s="2">
        <f t="shared" si="37"/>
        <v>0.77853736812744556</v>
      </c>
      <c r="G204" s="2">
        <f t="shared" si="37"/>
        <v>1</v>
      </c>
      <c r="J204" s="10">
        <v>22</v>
      </c>
      <c r="K204" s="3">
        <f>0.5*(D189*E189+E189*F189+F189*G189+G189*D189)</f>
        <v>0.79879962817792993</v>
      </c>
      <c r="L204" s="3">
        <f>0.5*(D186*E186+E186*F186+F186*G186+G186*D186)</f>
        <v>0.65129526918017067</v>
      </c>
    </row>
    <row r="205" spans="1:12" x14ac:dyDescent="0.25">
      <c r="C205" s="2">
        <f t="shared" si="37"/>
        <v>0.5</v>
      </c>
      <c r="D205" s="2">
        <f t="shared" si="37"/>
        <v>0.99252536988558093</v>
      </c>
      <c r="E205" s="2">
        <f t="shared" si="37"/>
        <v>0.80926420797553855</v>
      </c>
      <c r="F205" s="2">
        <f t="shared" si="37"/>
        <v>0.11207082497893665</v>
      </c>
      <c r="G205" s="2">
        <f t="shared" si="37"/>
        <v>0.9038990327846067</v>
      </c>
    </row>
    <row r="206" spans="1:12" x14ac:dyDescent="0.25">
      <c r="C206" s="2">
        <f t="shared" si="37"/>
        <v>0.75</v>
      </c>
      <c r="D206" s="2">
        <f t="shared" si="37"/>
        <v>0.97598188945750519</v>
      </c>
      <c r="E206" s="2">
        <f t="shared" si="37"/>
        <v>0.79597731535177796</v>
      </c>
      <c r="F206" s="2">
        <f t="shared" si="37"/>
        <v>8.5628869020468137E-2</v>
      </c>
      <c r="G206" s="2">
        <f t="shared" si="37"/>
        <v>0.57331026854314004</v>
      </c>
    </row>
    <row r="207" spans="1:12" x14ac:dyDescent="0.25">
      <c r="C207" s="2">
        <f t="shared" si="37"/>
        <v>0.25</v>
      </c>
      <c r="D207" s="2">
        <f t="shared" si="37"/>
        <v>0.90238419274747317</v>
      </c>
      <c r="E207" s="2">
        <f t="shared" si="37"/>
        <v>1</v>
      </c>
      <c r="F207" s="2">
        <f t="shared" si="37"/>
        <v>1</v>
      </c>
      <c r="G207" s="2">
        <f t="shared" si="37"/>
        <v>0.7592293002304622</v>
      </c>
    </row>
    <row r="209" spans="1:7" x14ac:dyDescent="0.25">
      <c r="C209" s="10" t="s">
        <v>3</v>
      </c>
      <c r="D209" s="10" t="s">
        <v>43</v>
      </c>
      <c r="E209" s="10" t="s">
        <v>4</v>
      </c>
      <c r="F209" s="10" t="s">
        <v>5</v>
      </c>
      <c r="G209" s="10" t="s">
        <v>6</v>
      </c>
    </row>
    <row r="210" spans="1:7" x14ac:dyDescent="0.25">
      <c r="C210" s="12">
        <v>0.90238419274747317</v>
      </c>
      <c r="D210" s="11">
        <v>0.25</v>
      </c>
      <c r="E210" s="11">
        <v>1</v>
      </c>
      <c r="F210" s="11">
        <v>1</v>
      </c>
      <c r="G210" s="11">
        <v>0.7592293002304622</v>
      </c>
    </row>
    <row r="211" spans="1:7" x14ac:dyDescent="0.25">
      <c r="C211" s="12">
        <v>0.97598188945750519</v>
      </c>
      <c r="D211" s="11">
        <v>0.75</v>
      </c>
      <c r="E211" s="11">
        <v>0.79597731535177796</v>
      </c>
      <c r="F211" s="11">
        <v>8.5628869020468137E-2</v>
      </c>
      <c r="G211" s="11">
        <v>0.57331026854314004</v>
      </c>
    </row>
    <row r="212" spans="1:7" x14ac:dyDescent="0.25">
      <c r="C212" s="12">
        <v>0.99252536988558093</v>
      </c>
      <c r="D212" s="11">
        <v>0.5</v>
      </c>
      <c r="E212" s="11">
        <v>0.80926420797553855</v>
      </c>
      <c r="F212" s="11">
        <v>0.11207082497893665</v>
      </c>
      <c r="G212" s="11">
        <v>0.9038990327846067</v>
      </c>
    </row>
    <row r="213" spans="1:7" x14ac:dyDescent="0.25">
      <c r="C213" s="12">
        <v>1</v>
      </c>
      <c r="D213" s="11">
        <v>1</v>
      </c>
      <c r="E213" s="11">
        <v>0.57664977093076919</v>
      </c>
      <c r="F213" s="11">
        <v>0.77853736812744556</v>
      </c>
      <c r="G213" s="11">
        <v>1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23</v>
      </c>
      <c r="B216" s="8" t="s">
        <v>24</v>
      </c>
      <c r="C216" s="2">
        <v>1</v>
      </c>
      <c r="D216" s="3">
        <v>2688475.9724428668</v>
      </c>
      <c r="E216" s="3">
        <v>22918.622383440001</v>
      </c>
      <c r="F216" s="4">
        <v>1.411209606183382E-2</v>
      </c>
      <c r="G216" s="4">
        <v>6.7540592802753808E-4</v>
      </c>
    </row>
    <row r="217" spans="1:7" x14ac:dyDescent="0.25">
      <c r="A217" s="2" t="s">
        <v>23</v>
      </c>
      <c r="B217" s="8" t="s">
        <v>24</v>
      </c>
      <c r="C217" s="2">
        <v>2</v>
      </c>
      <c r="D217" s="3">
        <v>2199098.9702055152</v>
      </c>
      <c r="E217" s="3">
        <v>27186.587841839999</v>
      </c>
      <c r="F217" s="4">
        <v>1.428164445640567E-2</v>
      </c>
      <c r="G217" s="4">
        <v>1.063284111568874E-3</v>
      </c>
    </row>
    <row r="218" spans="1:7" x14ac:dyDescent="0.25">
      <c r="A218" s="2" t="s">
        <v>23</v>
      </c>
      <c r="B218" s="8" t="s">
        <v>24</v>
      </c>
      <c r="C218" s="2">
        <v>3</v>
      </c>
      <c r="D218" s="3">
        <v>2110825.0242093089</v>
      </c>
      <c r="E218" s="3">
        <v>36820.330575920001</v>
      </c>
      <c r="F218" s="4">
        <v>1.1388913987487259E-2</v>
      </c>
      <c r="G218" s="4">
        <v>1.346627653376551E-3</v>
      </c>
    </row>
    <row r="219" spans="1:7" x14ac:dyDescent="0.25">
      <c r="A219" s="2" t="s">
        <v>23</v>
      </c>
      <c r="B219" s="8" t="s">
        <v>24</v>
      </c>
      <c r="C219" s="2">
        <v>4</v>
      </c>
      <c r="D219" s="3">
        <v>2060147.693651289</v>
      </c>
      <c r="E219" s="3">
        <v>24111.565200000001</v>
      </c>
      <c r="F219" s="4">
        <v>1.6816288641435851E-2</v>
      </c>
      <c r="G219" s="4">
        <v>4.7603910840263489E-4</v>
      </c>
    </row>
    <row r="221" spans="1:7" x14ac:dyDescent="0.25">
      <c r="B221" s="7" t="s">
        <v>40</v>
      </c>
      <c r="D221" s="3">
        <f>AVERAGE(D216:D217)</f>
        <v>2443787.471324191</v>
      </c>
      <c r="E221" s="3">
        <f t="shared" ref="E221:G221" si="38">AVERAGE(E216:E217)</f>
        <v>25052.605112639998</v>
      </c>
      <c r="F221" s="4">
        <f t="shared" si="38"/>
        <v>1.4196870259119745E-2</v>
      </c>
      <c r="G221" s="4">
        <f t="shared" si="38"/>
        <v>8.6934501979820604E-4</v>
      </c>
    </row>
    <row r="222" spans="1:7" x14ac:dyDescent="0.25">
      <c r="B222" s="7" t="s">
        <v>41</v>
      </c>
      <c r="D222" s="3">
        <f>AVERAGE(D218:D219)</f>
        <v>2085486.3589302991</v>
      </c>
      <c r="E222" s="3">
        <f t="shared" ref="E222:G222" si="39">AVERAGE(E218:E219)</f>
        <v>30465.947887959999</v>
      </c>
      <c r="F222" s="4">
        <f t="shared" si="39"/>
        <v>1.4102601314461555E-2</v>
      </c>
      <c r="G222" s="4">
        <f t="shared" si="39"/>
        <v>9.1133338088959293E-4</v>
      </c>
    </row>
    <row r="224" spans="1:7" x14ac:dyDescent="0.25">
      <c r="C224" s="7" t="s">
        <v>42</v>
      </c>
      <c r="D224" s="3">
        <f>D221/D222</f>
        <v>1.1718069796331221</v>
      </c>
      <c r="E224" s="3">
        <f t="shared" ref="E224:G224" si="40">E221/E222</f>
        <v>0.82231497292558131</v>
      </c>
      <c r="F224" s="3">
        <f t="shared" si="40"/>
        <v>1.0066845075285169</v>
      </c>
      <c r="G224" s="3">
        <f t="shared" si="40"/>
        <v>0.95392645329154935</v>
      </c>
    </row>
    <row r="226" spans="1:12" x14ac:dyDescent="0.25">
      <c r="C226" s="2">
        <f>MAX(C216:C219)</f>
        <v>4</v>
      </c>
      <c r="D226" s="2">
        <f t="shared" ref="D226:G226" si="41">MAX(D216:D219)</f>
        <v>2688475.9724428668</v>
      </c>
      <c r="E226" s="2">
        <f t="shared" si="41"/>
        <v>36820.330575920001</v>
      </c>
      <c r="F226" s="2">
        <f t="shared" si="41"/>
        <v>1.6816288641435851E-2</v>
      </c>
      <c r="G226" s="2">
        <f t="shared" si="41"/>
        <v>1.346627653376551E-3</v>
      </c>
    </row>
    <row r="227" spans="1:12" x14ac:dyDescent="0.25">
      <c r="C227" s="10" t="s">
        <v>43</v>
      </c>
      <c r="D227" s="10" t="s">
        <v>3</v>
      </c>
      <c r="E227" s="1" t="s">
        <v>4</v>
      </c>
      <c r="F227" s="1" t="s">
        <v>5</v>
      </c>
      <c r="G227" s="1" t="s">
        <v>6</v>
      </c>
      <c r="J227" s="2"/>
      <c r="K227" s="10" t="s">
        <v>44</v>
      </c>
      <c r="L227" s="10" t="s">
        <v>45</v>
      </c>
    </row>
    <row r="228" spans="1:12" x14ac:dyDescent="0.25">
      <c r="C228" s="2">
        <f t="shared" ref="C228:G231" si="42">C216/C$226</f>
        <v>0.25</v>
      </c>
      <c r="D228" s="2">
        <f t="shared" si="42"/>
        <v>1</v>
      </c>
      <c r="E228" s="2">
        <f t="shared" si="42"/>
        <v>0.62244477507294493</v>
      </c>
      <c r="F228" s="2">
        <f t="shared" si="42"/>
        <v>0.83919206923346823</v>
      </c>
      <c r="G228" s="2">
        <f t="shared" si="42"/>
        <v>0.50155358560624896</v>
      </c>
      <c r="J228" s="10">
        <v>23</v>
      </c>
      <c r="K228" s="3">
        <f>0.5*(D213*E213+E213*F213+F213*G213+G213*D213)</f>
        <v>1.4020652670249751</v>
      </c>
      <c r="L228" s="3">
        <f>0.5*(D210*E210+E210*F210+F210*G210+G210*D210)</f>
        <v>1.0995183126440389</v>
      </c>
    </row>
    <row r="229" spans="1:12" x14ac:dyDescent="0.25">
      <c r="C229" s="2">
        <f t="shared" si="42"/>
        <v>0.5</v>
      </c>
      <c r="D229" s="2">
        <f t="shared" si="42"/>
        <v>0.81797233553377002</v>
      </c>
      <c r="E229" s="2">
        <f t="shared" si="42"/>
        <v>0.73835805970790658</v>
      </c>
      <c r="F229" s="2">
        <f t="shared" si="42"/>
        <v>0.84927446007410101</v>
      </c>
      <c r="G229" s="2">
        <f t="shared" si="42"/>
        <v>0.78959028422057287</v>
      </c>
    </row>
    <row r="230" spans="1:12" x14ac:dyDescent="0.25">
      <c r="C230" s="2">
        <f t="shared" si="42"/>
        <v>0.75</v>
      </c>
      <c r="D230" s="2">
        <f t="shared" si="42"/>
        <v>0.78513813991475667</v>
      </c>
      <c r="E230" s="2">
        <f t="shared" si="42"/>
        <v>1</v>
      </c>
      <c r="F230" s="2">
        <f t="shared" si="42"/>
        <v>0.67725490625943618</v>
      </c>
      <c r="G230" s="2">
        <f t="shared" si="42"/>
        <v>1</v>
      </c>
    </row>
    <row r="231" spans="1:12" x14ac:dyDescent="0.25">
      <c r="C231" s="2">
        <f t="shared" si="42"/>
        <v>1</v>
      </c>
      <c r="D231" s="2">
        <f t="shared" si="42"/>
        <v>0.76628830414256921</v>
      </c>
      <c r="E231" s="2">
        <f t="shared" si="42"/>
        <v>0.65484380022836186</v>
      </c>
      <c r="F231" s="2">
        <f t="shared" si="42"/>
        <v>1</v>
      </c>
      <c r="G231" s="2">
        <f t="shared" si="42"/>
        <v>0.3535046285504449</v>
      </c>
    </row>
    <row r="233" spans="1:12" x14ac:dyDescent="0.25">
      <c r="C233" s="10" t="s">
        <v>3</v>
      </c>
      <c r="D233" s="10" t="s">
        <v>43</v>
      </c>
      <c r="E233" s="10" t="s">
        <v>4</v>
      </c>
      <c r="F233" s="10" t="s">
        <v>5</v>
      </c>
      <c r="G233" s="10" t="s">
        <v>6</v>
      </c>
    </row>
    <row r="234" spans="1:12" x14ac:dyDescent="0.25">
      <c r="C234" s="3">
        <v>0.76628830414256921</v>
      </c>
      <c r="D234" s="2">
        <v>1</v>
      </c>
      <c r="E234" s="2">
        <v>0.65484380022836186</v>
      </c>
      <c r="F234" s="2">
        <v>1</v>
      </c>
      <c r="G234" s="2">
        <v>0.3535046285504449</v>
      </c>
    </row>
    <row r="235" spans="1:12" x14ac:dyDescent="0.25">
      <c r="C235" s="3">
        <v>0.78513813991475667</v>
      </c>
      <c r="D235" s="2">
        <v>0.75</v>
      </c>
      <c r="E235" s="2">
        <v>1</v>
      </c>
      <c r="F235" s="2">
        <v>0.67725490625943618</v>
      </c>
      <c r="G235" s="2">
        <v>1</v>
      </c>
    </row>
    <row r="236" spans="1:12" x14ac:dyDescent="0.25">
      <c r="C236" s="3">
        <v>0.81797233553377002</v>
      </c>
      <c r="D236" s="2">
        <v>0.5</v>
      </c>
      <c r="E236" s="2">
        <v>0.73835805970790658</v>
      </c>
      <c r="F236" s="2">
        <v>0.84927446007410101</v>
      </c>
      <c r="G236" s="2">
        <v>0.78959028422057287</v>
      </c>
    </row>
    <row r="237" spans="1:12" x14ac:dyDescent="0.25">
      <c r="C237" s="3">
        <v>1</v>
      </c>
      <c r="D237" s="2">
        <v>0.25</v>
      </c>
      <c r="E237" s="2">
        <v>0.62244477507294493</v>
      </c>
      <c r="F237" s="2">
        <v>0.83919206923346823</v>
      </c>
      <c r="G237" s="2">
        <v>0.50155358560624896</v>
      </c>
    </row>
    <row r="239" spans="1:12" x14ac:dyDescent="0.25">
      <c r="A239" s="1" t="s">
        <v>0</v>
      </c>
      <c r="B239" s="1" t="s">
        <v>1</v>
      </c>
      <c r="C239" s="1" t="s">
        <v>2</v>
      </c>
      <c r="D239" s="1" t="s">
        <v>3</v>
      </c>
      <c r="E239" s="1" t="s">
        <v>4</v>
      </c>
      <c r="F239" s="1" t="s">
        <v>5</v>
      </c>
      <c r="G239" s="1" t="s">
        <v>6</v>
      </c>
    </row>
    <row r="240" spans="1:12" x14ac:dyDescent="0.25">
      <c r="A240" s="2" t="s">
        <v>25</v>
      </c>
      <c r="B240" s="8" t="s">
        <v>26</v>
      </c>
      <c r="C240" s="2">
        <v>4</v>
      </c>
      <c r="D240" s="3">
        <v>1079590.799601601</v>
      </c>
      <c r="E240" s="3">
        <v>29824.255583999999</v>
      </c>
      <c r="F240" s="4">
        <v>1.7700063980245699E-2</v>
      </c>
      <c r="G240" s="4">
        <v>1.8406361575525849E-2</v>
      </c>
    </row>
    <row r="241" spans="1:12" x14ac:dyDescent="0.25">
      <c r="A241" s="2" t="s">
        <v>25</v>
      </c>
      <c r="B241" s="8" t="s">
        <v>26</v>
      </c>
      <c r="C241" s="2">
        <v>3</v>
      </c>
      <c r="D241" s="3">
        <v>917032.53729645221</v>
      </c>
      <c r="E241" s="3">
        <v>21948.7441788</v>
      </c>
      <c r="F241" s="4">
        <v>5.1385668600091312E-2</v>
      </c>
      <c r="G241" s="4">
        <v>1.045825844659099E-3</v>
      </c>
    </row>
    <row r="242" spans="1:12" x14ac:dyDescent="0.25">
      <c r="A242" s="2" t="s">
        <v>25</v>
      </c>
      <c r="B242" s="8" t="s">
        <v>26</v>
      </c>
      <c r="C242" s="2">
        <v>2</v>
      </c>
      <c r="D242" s="3">
        <v>802566.08061441511</v>
      </c>
      <c r="E242" s="3">
        <v>12046.641059559999</v>
      </c>
      <c r="F242" s="4">
        <v>1.264319260007594E-2</v>
      </c>
      <c r="G242" s="4">
        <v>9.2646432850616075E-4</v>
      </c>
    </row>
    <row r="243" spans="1:12" x14ac:dyDescent="0.25">
      <c r="A243" s="2" t="s">
        <v>25</v>
      </c>
      <c r="B243" s="8" t="s">
        <v>26</v>
      </c>
      <c r="C243" s="2">
        <v>1</v>
      </c>
      <c r="D243" s="3">
        <v>774599.50938466226</v>
      </c>
      <c r="E243" s="3">
        <v>31768.917493320001</v>
      </c>
      <c r="F243" s="4">
        <v>4.5024994770462897E-3</v>
      </c>
      <c r="G243" s="4">
        <v>6.1504127372638605E-4</v>
      </c>
    </row>
    <row r="245" spans="1:12" x14ac:dyDescent="0.25">
      <c r="B245" s="7" t="s">
        <v>40</v>
      </c>
      <c r="D245" s="3">
        <f>AVERAGE(D240:D241)</f>
        <v>998311.66844902653</v>
      </c>
      <c r="E245" s="3">
        <f t="shared" ref="E245:G245" si="43">AVERAGE(E240:E241)</f>
        <v>25886.499881399999</v>
      </c>
      <c r="F245" s="4">
        <f t="shared" si="43"/>
        <v>3.4542866290168506E-2</v>
      </c>
      <c r="G245" s="4">
        <f t="shared" si="43"/>
        <v>9.7260937100924743E-3</v>
      </c>
    </row>
    <row r="246" spans="1:12" x14ac:dyDescent="0.25">
      <c r="B246" s="7" t="s">
        <v>41</v>
      </c>
      <c r="D246" s="3">
        <f>AVERAGE(D242:D243)</f>
        <v>788582.79499953869</v>
      </c>
      <c r="E246" s="3">
        <f t="shared" ref="E246:G246" si="44">AVERAGE(E242:E243)</f>
        <v>21907.77927644</v>
      </c>
      <c r="F246" s="4">
        <f t="shared" si="44"/>
        <v>8.5728460385611147E-3</v>
      </c>
      <c r="G246" s="4">
        <f t="shared" si="44"/>
        <v>7.7075280111627334E-4</v>
      </c>
    </row>
    <row r="248" spans="1:12" x14ac:dyDescent="0.25">
      <c r="C248" s="7" t="s">
        <v>42</v>
      </c>
      <c r="D248" s="3">
        <f>D245/D246</f>
        <v>1.2659566944389276</v>
      </c>
      <c r="E248" s="3">
        <f t="shared" ref="E248:G248" si="45">E245/E246</f>
        <v>1.1816122280015293</v>
      </c>
      <c r="F248" s="3">
        <f t="shared" si="45"/>
        <v>4.0293347314057506</v>
      </c>
      <c r="G248" s="3">
        <f t="shared" si="45"/>
        <v>12.618953438776055</v>
      </c>
    </row>
    <row r="250" spans="1:12" x14ac:dyDescent="0.25">
      <c r="C250" s="2">
        <f>MAX(C240:C243)</f>
        <v>4</v>
      </c>
      <c r="D250" s="2">
        <f t="shared" ref="D250:G250" si="46">MAX(D240:D243)</f>
        <v>1079590.799601601</v>
      </c>
      <c r="E250" s="2">
        <f t="shared" si="46"/>
        <v>31768.917493320001</v>
      </c>
      <c r="F250" s="2">
        <f t="shared" si="46"/>
        <v>5.1385668600091312E-2</v>
      </c>
      <c r="G250" s="2">
        <f t="shared" si="46"/>
        <v>1.8406361575525849E-2</v>
      </c>
    </row>
    <row r="251" spans="1:12" x14ac:dyDescent="0.25">
      <c r="C251" s="10" t="s">
        <v>43</v>
      </c>
      <c r="D251" s="10" t="s">
        <v>3</v>
      </c>
      <c r="E251" s="1" t="s">
        <v>4</v>
      </c>
      <c r="F251" s="1" t="s">
        <v>5</v>
      </c>
      <c r="G251" s="1" t="s">
        <v>6</v>
      </c>
      <c r="J251" s="2"/>
      <c r="K251" s="10" t="s">
        <v>44</v>
      </c>
      <c r="L251" s="10" t="s">
        <v>45</v>
      </c>
    </row>
    <row r="252" spans="1:12" x14ac:dyDescent="0.25">
      <c r="C252" s="2">
        <f t="shared" ref="C252:G255" si="47">C240/C$250</f>
        <v>1</v>
      </c>
      <c r="D252" s="2">
        <f t="shared" si="47"/>
        <v>1</v>
      </c>
      <c r="E252" s="2">
        <f t="shared" si="47"/>
        <v>0.93878727817122176</v>
      </c>
      <c r="F252" s="2">
        <f t="shared" si="47"/>
        <v>0.34445526276978805</v>
      </c>
      <c r="G252" s="2">
        <f t="shared" si="47"/>
        <v>1</v>
      </c>
      <c r="J252" s="10">
        <v>24</v>
      </c>
      <c r="K252" s="3">
        <f>0.5*(D237*E237+E237*F237+F237*G237+G237*D237)</f>
        <v>0.61212505014159868</v>
      </c>
      <c r="L252" s="3">
        <f>0.5*(D234*E234+E234*F234+F234*G234+G234*D234)</f>
        <v>1.0083484287788067</v>
      </c>
    </row>
    <row r="253" spans="1:12" x14ac:dyDescent="0.25">
      <c r="C253" s="2">
        <f t="shared" si="47"/>
        <v>0.75</v>
      </c>
      <c r="D253" s="2">
        <f t="shared" si="47"/>
        <v>0.84942603960209995</v>
      </c>
      <c r="E253" s="2">
        <f t="shared" si="47"/>
        <v>0.69088738020157991</v>
      </c>
      <c r="F253" s="2">
        <f t="shared" si="47"/>
        <v>1</v>
      </c>
      <c r="G253" s="2">
        <f t="shared" si="47"/>
        <v>5.6818716744632944E-2</v>
      </c>
    </row>
    <row r="254" spans="1:12" x14ac:dyDescent="0.25">
      <c r="C254" s="2">
        <f t="shared" si="47"/>
        <v>0.5</v>
      </c>
      <c r="D254" s="2">
        <f t="shared" si="47"/>
        <v>0.74339840698029691</v>
      </c>
      <c r="E254" s="2">
        <f t="shared" si="47"/>
        <v>0.37919583070757845</v>
      </c>
      <c r="F254" s="2">
        <f t="shared" si="47"/>
        <v>0.24604511227578876</v>
      </c>
      <c r="G254" s="2">
        <f t="shared" si="47"/>
        <v>5.0333919862687079E-2</v>
      </c>
    </row>
    <row r="255" spans="1:12" x14ac:dyDescent="0.25">
      <c r="C255" s="2">
        <f t="shared" si="47"/>
        <v>0.25</v>
      </c>
      <c r="D255" s="2">
        <f t="shared" si="47"/>
        <v>0.71749361857336225</v>
      </c>
      <c r="E255" s="2">
        <f t="shared" si="47"/>
        <v>1</v>
      </c>
      <c r="F255" s="2">
        <f t="shared" si="47"/>
        <v>8.7621696860402221E-2</v>
      </c>
      <c r="G255" s="2">
        <f t="shared" si="47"/>
        <v>3.3414603489272977E-2</v>
      </c>
    </row>
    <row r="257" spans="1:7" x14ac:dyDescent="0.25">
      <c r="C257" s="10" t="s">
        <v>3</v>
      </c>
      <c r="D257" s="10" t="s">
        <v>43</v>
      </c>
      <c r="E257" s="10" t="s">
        <v>4</v>
      </c>
      <c r="F257" s="10" t="s">
        <v>5</v>
      </c>
      <c r="G257" s="10" t="s">
        <v>6</v>
      </c>
    </row>
    <row r="258" spans="1:7" x14ac:dyDescent="0.25">
      <c r="C258" s="3">
        <v>0.71749361857336225</v>
      </c>
      <c r="D258" s="2">
        <v>0.25</v>
      </c>
      <c r="E258" s="2">
        <v>1</v>
      </c>
      <c r="F258" s="2">
        <v>8.7621696860402221E-2</v>
      </c>
      <c r="G258" s="2">
        <v>3.3414603489272977E-2</v>
      </c>
    </row>
    <row r="259" spans="1:7" x14ac:dyDescent="0.25">
      <c r="C259" s="3">
        <v>0.74339840698029691</v>
      </c>
      <c r="D259" s="2">
        <v>0.5</v>
      </c>
      <c r="E259" s="2">
        <v>0.37919583070757845</v>
      </c>
      <c r="F259" s="2">
        <v>0.24604511227578876</v>
      </c>
      <c r="G259" s="2">
        <v>5.0333919862687079E-2</v>
      </c>
    </row>
    <row r="260" spans="1:7" x14ac:dyDescent="0.25">
      <c r="C260" s="3">
        <v>0.84942603960209995</v>
      </c>
      <c r="D260" s="2">
        <v>0.75</v>
      </c>
      <c r="E260" s="2">
        <v>0.69088738020157991</v>
      </c>
      <c r="F260" s="2">
        <v>1</v>
      </c>
      <c r="G260" s="2">
        <v>5.6818716744632944E-2</v>
      </c>
    </row>
    <row r="261" spans="1:7" x14ac:dyDescent="0.25">
      <c r="C261" s="3">
        <v>1</v>
      </c>
      <c r="D261" s="2">
        <v>1</v>
      </c>
      <c r="E261" s="2">
        <v>0.93878727817122176</v>
      </c>
      <c r="F261" s="2">
        <v>0.34445526276978805</v>
      </c>
      <c r="G261" s="2">
        <v>1</v>
      </c>
    </row>
    <row r="263" spans="1:7" x14ac:dyDescent="0.25">
      <c r="A263" s="1" t="s">
        <v>0</v>
      </c>
      <c r="B263" s="1" t="s">
        <v>1</v>
      </c>
      <c r="C263" s="1" t="s">
        <v>2</v>
      </c>
      <c r="D263" s="1" t="s">
        <v>3</v>
      </c>
      <c r="E263" s="1" t="s">
        <v>4</v>
      </c>
      <c r="F263" s="1" t="s">
        <v>5</v>
      </c>
      <c r="G263" s="1" t="s">
        <v>6</v>
      </c>
    </row>
    <row r="264" spans="1:7" x14ac:dyDescent="0.25">
      <c r="A264" s="2" t="s">
        <v>27</v>
      </c>
      <c r="B264" s="8" t="s">
        <v>28</v>
      </c>
      <c r="C264" s="2">
        <v>4</v>
      </c>
      <c r="D264" s="3">
        <v>702640.28510284843</v>
      </c>
      <c r="E264" s="3">
        <v>24692.815392</v>
      </c>
      <c r="F264" s="4">
        <v>1.2473785395074479E-2</v>
      </c>
      <c r="G264" s="4">
        <v>1.210844187888221E-3</v>
      </c>
    </row>
    <row r="265" spans="1:7" x14ac:dyDescent="0.25">
      <c r="A265" s="2" t="s">
        <v>27</v>
      </c>
      <c r="B265" s="8" t="s">
        <v>28</v>
      </c>
      <c r="C265" s="2">
        <v>3</v>
      </c>
      <c r="D265" s="3">
        <v>648523.59030139784</v>
      </c>
      <c r="E265" s="3">
        <v>20365.73930736</v>
      </c>
      <c r="F265" s="4">
        <v>2.3285205202868371E-2</v>
      </c>
      <c r="G265" s="4">
        <v>1.5783067550306741E-3</v>
      </c>
    </row>
    <row r="266" spans="1:7" x14ac:dyDescent="0.25">
      <c r="A266" s="2" t="s">
        <v>27</v>
      </c>
      <c r="B266" s="8" t="s">
        <v>28</v>
      </c>
      <c r="C266" s="2">
        <v>2</v>
      </c>
      <c r="D266" s="3">
        <v>525586.90611574077</v>
      </c>
      <c r="E266" s="3">
        <v>57596.7124071</v>
      </c>
      <c r="F266" s="4">
        <v>6.9328647193893768E-4</v>
      </c>
      <c r="G266" s="4">
        <v>1.2640594598421069E-2</v>
      </c>
    </row>
    <row r="267" spans="1:7" x14ac:dyDescent="0.25">
      <c r="A267" s="2" t="s">
        <v>27</v>
      </c>
      <c r="B267" s="8" t="s">
        <v>28</v>
      </c>
      <c r="C267" s="2">
        <v>1</v>
      </c>
      <c r="D267" s="3">
        <v>489831.22166003252</v>
      </c>
      <c r="E267" s="3">
        <v>28233.8392518</v>
      </c>
      <c r="F267" s="4">
        <v>1.7629362658082969E-3</v>
      </c>
      <c r="G267" s="4">
        <v>1.091290811894655E-3</v>
      </c>
    </row>
    <row r="269" spans="1:7" x14ac:dyDescent="0.25">
      <c r="B269" s="7" t="s">
        <v>40</v>
      </c>
      <c r="D269" s="3">
        <f>AVERAGE(D264:D265)</f>
        <v>675581.93770212308</v>
      </c>
      <c r="E269" s="3">
        <f t="shared" ref="E269:G269" si="48">AVERAGE(E264:E265)</f>
        <v>22529.27734968</v>
      </c>
      <c r="F269" s="4">
        <f t="shared" si="48"/>
        <v>1.7879495298971426E-2</v>
      </c>
      <c r="G269" s="4">
        <f t="shared" si="48"/>
        <v>1.3945754714594475E-3</v>
      </c>
    </row>
    <row r="270" spans="1:7" x14ac:dyDescent="0.25">
      <c r="B270" s="7" t="s">
        <v>41</v>
      </c>
      <c r="D270" s="3">
        <f>AVERAGE(D266:D267)</f>
        <v>507709.06388788664</v>
      </c>
      <c r="E270" s="3">
        <f t="shared" ref="E270:G270" si="49">AVERAGE(E266:E267)</f>
        <v>42915.275829450002</v>
      </c>
      <c r="F270" s="4">
        <f t="shared" si="49"/>
        <v>1.2281113688736172E-3</v>
      </c>
      <c r="G270" s="4">
        <f t="shared" si="49"/>
        <v>6.8659427051578625E-3</v>
      </c>
    </row>
    <row r="272" spans="1:7" x14ac:dyDescent="0.25">
      <c r="C272" s="7" t="s">
        <v>42</v>
      </c>
      <c r="D272" s="3">
        <f>D269/D270</f>
        <v>1.3306477779394272</v>
      </c>
      <c r="E272" s="3">
        <f t="shared" ref="E272:G272" si="50">E269/E270</f>
        <v>0.52497104851926879</v>
      </c>
      <c r="F272" s="3">
        <f t="shared" si="50"/>
        <v>14.558529260558757</v>
      </c>
      <c r="G272" s="3">
        <f t="shared" si="50"/>
        <v>0.20311492992969613</v>
      </c>
    </row>
    <row r="274" spans="1:12" x14ac:dyDescent="0.25">
      <c r="C274" s="2">
        <f>MAX(C264:C267)</f>
        <v>4</v>
      </c>
      <c r="D274" s="2">
        <f t="shared" ref="D274:G274" si="51">MAX(D264:D267)</f>
        <v>702640.28510284843</v>
      </c>
      <c r="E274" s="2">
        <f t="shared" si="51"/>
        <v>57596.7124071</v>
      </c>
      <c r="F274" s="2">
        <f t="shared" si="51"/>
        <v>2.3285205202868371E-2</v>
      </c>
      <c r="G274" s="2">
        <f t="shared" si="51"/>
        <v>1.2640594598421069E-2</v>
      </c>
    </row>
    <row r="275" spans="1:12" x14ac:dyDescent="0.25">
      <c r="C275" s="10" t="s">
        <v>43</v>
      </c>
      <c r="D275" s="10" t="s">
        <v>3</v>
      </c>
      <c r="E275" s="1" t="s">
        <v>4</v>
      </c>
      <c r="F275" s="1" t="s">
        <v>5</v>
      </c>
      <c r="G275" s="1" t="s">
        <v>6</v>
      </c>
      <c r="J275" s="2"/>
      <c r="K275" s="10" t="s">
        <v>44</v>
      </c>
      <c r="L275" s="10" t="s">
        <v>45</v>
      </c>
    </row>
    <row r="276" spans="1:12" x14ac:dyDescent="0.25">
      <c r="C276" s="2">
        <f t="shared" ref="C276:G279" si="52">C264/C$274</f>
        <v>1</v>
      </c>
      <c r="D276" s="2">
        <f t="shared" si="52"/>
        <v>1</v>
      </c>
      <c r="E276" s="2">
        <f t="shared" si="52"/>
        <v>0.4287191813565403</v>
      </c>
      <c r="F276" s="2">
        <f t="shared" si="52"/>
        <v>0.53569574699465849</v>
      </c>
      <c r="G276" s="2">
        <f t="shared" si="52"/>
        <v>9.5790129052906028E-2</v>
      </c>
      <c r="J276" s="10">
        <v>25</v>
      </c>
      <c r="K276" s="3">
        <f>0.5*(D261*E261+E261*F261+F261*G261+G261*D261)</f>
        <v>1.3033063797642059</v>
      </c>
      <c r="L276" s="3">
        <f>0.5*(D258*E258+E258*F258+F258*G258+G258*D258)</f>
        <v>0.17445159599518406</v>
      </c>
    </row>
    <row r="277" spans="1:12" x14ac:dyDescent="0.25">
      <c r="C277" s="2">
        <f t="shared" si="52"/>
        <v>0.75</v>
      </c>
      <c r="D277" s="2">
        <f t="shared" si="52"/>
        <v>0.9229809392532492</v>
      </c>
      <c r="E277" s="2">
        <f t="shared" si="52"/>
        <v>0.3535920446884655</v>
      </c>
      <c r="F277" s="2">
        <f t="shared" si="52"/>
        <v>1</v>
      </c>
      <c r="G277" s="2">
        <f t="shared" si="52"/>
        <v>0.12486016719718387</v>
      </c>
    </row>
    <row r="278" spans="1:12" x14ac:dyDescent="0.25">
      <c r="C278" s="2">
        <f t="shared" si="52"/>
        <v>0.5</v>
      </c>
      <c r="D278" s="2">
        <f t="shared" si="52"/>
        <v>0.74801703981263812</v>
      </c>
      <c r="E278" s="2">
        <f t="shared" si="52"/>
        <v>1</v>
      </c>
      <c r="F278" s="2">
        <f t="shared" si="52"/>
        <v>2.9773689598128844E-2</v>
      </c>
      <c r="G278" s="2">
        <f t="shared" si="52"/>
        <v>1</v>
      </c>
    </row>
    <row r="279" spans="1:12" x14ac:dyDescent="0.25">
      <c r="C279" s="2">
        <f t="shared" si="52"/>
        <v>0.25</v>
      </c>
      <c r="D279" s="2">
        <f t="shared" si="52"/>
        <v>0.69712943030064645</v>
      </c>
      <c r="E279" s="2">
        <f t="shared" si="52"/>
        <v>0.49019879906061425</v>
      </c>
      <c r="F279" s="2">
        <f t="shared" si="52"/>
        <v>7.571057460945764E-2</v>
      </c>
      <c r="G279" s="2">
        <f t="shared" si="52"/>
        <v>8.6332237253377908E-2</v>
      </c>
    </row>
    <row r="281" spans="1:12" x14ac:dyDescent="0.25">
      <c r="C281" s="10" t="s">
        <v>3</v>
      </c>
      <c r="D281" s="10" t="s">
        <v>43</v>
      </c>
      <c r="E281" s="10" t="s">
        <v>4</v>
      </c>
      <c r="F281" s="10" t="s">
        <v>5</v>
      </c>
      <c r="G281" s="10" t="s">
        <v>6</v>
      </c>
    </row>
    <row r="282" spans="1:12" x14ac:dyDescent="0.25">
      <c r="C282" s="3">
        <v>0.69712943030064645</v>
      </c>
      <c r="D282" s="2">
        <v>0.25</v>
      </c>
      <c r="E282" s="2">
        <v>0.49019879906061425</v>
      </c>
      <c r="F282" s="2">
        <v>7.571057460945764E-2</v>
      </c>
      <c r="G282" s="2">
        <v>8.6332237253377908E-2</v>
      </c>
    </row>
    <row r="283" spans="1:12" x14ac:dyDescent="0.25">
      <c r="C283" s="3">
        <v>0.74801703981263812</v>
      </c>
      <c r="D283" s="2">
        <v>0.5</v>
      </c>
      <c r="E283" s="2">
        <v>1</v>
      </c>
      <c r="F283" s="2">
        <v>2.9773689598128844E-2</v>
      </c>
      <c r="G283" s="2">
        <v>1</v>
      </c>
    </row>
    <row r="284" spans="1:12" x14ac:dyDescent="0.25">
      <c r="C284" s="3">
        <v>0.9229809392532492</v>
      </c>
      <c r="D284" s="2">
        <v>0.75</v>
      </c>
      <c r="E284" s="2">
        <v>0.3535920446884655</v>
      </c>
      <c r="F284" s="2">
        <v>1</v>
      </c>
      <c r="G284" s="2">
        <v>0.12486016719718387</v>
      </c>
    </row>
    <row r="285" spans="1:12" x14ac:dyDescent="0.25">
      <c r="C285" s="3">
        <v>1</v>
      </c>
      <c r="D285" s="2">
        <v>1</v>
      </c>
      <c r="E285" s="2">
        <v>0.4287191813565403</v>
      </c>
      <c r="F285" s="2">
        <v>0.53569574699465849</v>
      </c>
      <c r="G285" s="2">
        <v>9.5790129052906028E-2</v>
      </c>
    </row>
    <row r="287" spans="1:12" x14ac:dyDescent="0.25">
      <c r="A287" s="1" t="s">
        <v>0</v>
      </c>
      <c r="B287" s="1" t="s">
        <v>1</v>
      </c>
      <c r="C287" s="1" t="s">
        <v>2</v>
      </c>
      <c r="D287" s="1" t="s">
        <v>3</v>
      </c>
      <c r="E287" s="1" t="s">
        <v>4</v>
      </c>
      <c r="F287" s="1" t="s">
        <v>5</v>
      </c>
      <c r="G287" s="1" t="s">
        <v>6</v>
      </c>
    </row>
    <row r="288" spans="1:12" x14ac:dyDescent="0.25">
      <c r="A288" s="2" t="s">
        <v>29</v>
      </c>
      <c r="B288" s="8" t="s">
        <v>30</v>
      </c>
      <c r="C288" s="2">
        <v>4</v>
      </c>
      <c r="D288" s="3">
        <v>333902.21266145178</v>
      </c>
      <c r="E288" s="3">
        <v>6590.0541599999997</v>
      </c>
      <c r="F288" s="4">
        <v>3.968817154607421E-3</v>
      </c>
      <c r="G288" s="4">
        <v>1.4273582237145071E-3</v>
      </c>
    </row>
    <row r="289" spans="1:12" x14ac:dyDescent="0.25">
      <c r="A289" s="2" t="s">
        <v>29</v>
      </c>
      <c r="B289" s="8" t="s">
        <v>30</v>
      </c>
      <c r="C289" s="2">
        <v>3</v>
      </c>
      <c r="D289" s="3">
        <v>289865.32010952412</v>
      </c>
      <c r="E289" s="3">
        <v>5130.8202951200001</v>
      </c>
      <c r="F289" s="4">
        <v>7.1409024001186736E-3</v>
      </c>
      <c r="G289" s="4">
        <v>1.6292149323472839E-3</v>
      </c>
    </row>
    <row r="290" spans="1:12" x14ac:dyDescent="0.25">
      <c r="A290" s="2" t="s">
        <v>29</v>
      </c>
      <c r="B290" s="8" t="s">
        <v>30</v>
      </c>
      <c r="C290" s="2">
        <v>2</v>
      </c>
      <c r="D290" s="3">
        <v>259818.50988372459</v>
      </c>
      <c r="E290" s="3">
        <v>45922.658233419999</v>
      </c>
      <c r="F290" s="4">
        <v>4.0433840100499702E-5</v>
      </c>
      <c r="G290" s="4">
        <v>1.5232724169502069E-4</v>
      </c>
    </row>
    <row r="291" spans="1:12" x14ac:dyDescent="0.25">
      <c r="A291" s="2" t="s">
        <v>29</v>
      </c>
      <c r="B291" s="8" t="s">
        <v>30</v>
      </c>
      <c r="C291" s="2">
        <v>1</v>
      </c>
      <c r="D291" s="3">
        <v>234189.89306239539</v>
      </c>
      <c r="E291" s="3">
        <v>4733.3383234200001</v>
      </c>
      <c r="F291" s="4">
        <v>6.6356632156617178E-4</v>
      </c>
      <c r="G291" s="4">
        <v>3.1476572520248271E-3</v>
      </c>
    </row>
    <row r="293" spans="1:12" x14ac:dyDescent="0.25">
      <c r="B293" s="7" t="s">
        <v>40</v>
      </c>
      <c r="D293" s="3">
        <f>AVERAGE(D288:D289)</f>
        <v>311883.76638548798</v>
      </c>
      <c r="E293" s="3">
        <f t="shared" ref="E293:G293" si="53">AVERAGE(E288:E289)</f>
        <v>5860.4372275599999</v>
      </c>
      <c r="F293" s="4">
        <f t="shared" si="53"/>
        <v>5.5548597773630477E-3</v>
      </c>
      <c r="G293" s="4">
        <f t="shared" si="53"/>
        <v>1.5282865780308955E-3</v>
      </c>
    </row>
    <row r="294" spans="1:12" x14ac:dyDescent="0.25">
      <c r="B294" s="7" t="s">
        <v>41</v>
      </c>
      <c r="D294" s="3">
        <f>AVERAGE(D290:D291)</f>
        <v>247004.20147306001</v>
      </c>
      <c r="E294" s="3">
        <f t="shared" ref="E294:G294" si="54">AVERAGE(E290:E291)</f>
        <v>25327.99827842</v>
      </c>
      <c r="F294" s="4">
        <f t="shared" si="54"/>
        <v>3.5200008083333573E-4</v>
      </c>
      <c r="G294" s="4">
        <f t="shared" si="54"/>
        <v>1.6499922468599239E-3</v>
      </c>
    </row>
    <row r="296" spans="1:12" x14ac:dyDescent="0.25">
      <c r="C296" s="7" t="s">
        <v>42</v>
      </c>
      <c r="D296" s="3">
        <f>D293/D294</f>
        <v>1.2626658353400688</v>
      </c>
      <c r="E296" s="3">
        <f t="shared" ref="E296:G296" si="55">E293/E294</f>
        <v>0.23138177613322164</v>
      </c>
      <c r="F296" s="3">
        <f t="shared" si="55"/>
        <v>15.780848016319494</v>
      </c>
      <c r="G296" s="3">
        <f t="shared" si="55"/>
        <v>0.9262386419932308</v>
      </c>
    </row>
    <row r="298" spans="1:12" x14ac:dyDescent="0.25">
      <c r="C298" s="2">
        <f>MAX(C288:C291)</f>
        <v>4</v>
      </c>
      <c r="D298" s="2">
        <f t="shared" ref="D298:G298" si="56">MAX(D288:D291)</f>
        <v>333902.21266145178</v>
      </c>
      <c r="E298" s="2">
        <f t="shared" si="56"/>
        <v>45922.658233419999</v>
      </c>
      <c r="F298" s="2">
        <f t="shared" si="56"/>
        <v>7.1409024001186736E-3</v>
      </c>
      <c r="G298" s="2">
        <f t="shared" si="56"/>
        <v>3.1476572520248271E-3</v>
      </c>
    </row>
    <row r="299" spans="1:12" x14ac:dyDescent="0.25">
      <c r="C299" s="10" t="s">
        <v>43</v>
      </c>
      <c r="D299" s="10" t="s">
        <v>3</v>
      </c>
      <c r="E299" s="1" t="s">
        <v>4</v>
      </c>
      <c r="F299" s="1" t="s">
        <v>5</v>
      </c>
      <c r="G299" s="1" t="s">
        <v>6</v>
      </c>
      <c r="J299" s="2"/>
      <c r="K299" s="10" t="s">
        <v>44</v>
      </c>
      <c r="L299" s="10" t="s">
        <v>45</v>
      </c>
    </row>
    <row r="300" spans="1:12" x14ac:dyDescent="0.25">
      <c r="C300" s="2">
        <f t="shared" ref="C300:G303" si="57">C288/C$298</f>
        <v>1</v>
      </c>
      <c r="D300" s="2">
        <f t="shared" si="57"/>
        <v>1</v>
      </c>
      <c r="E300" s="2">
        <f t="shared" si="57"/>
        <v>0.14350332523225146</v>
      </c>
      <c r="F300" s="2">
        <f t="shared" si="57"/>
        <v>0.55578650039264843</v>
      </c>
      <c r="G300" s="2">
        <f t="shared" si="57"/>
        <v>0.45346685151196658</v>
      </c>
      <c r="J300" s="10">
        <v>26</v>
      </c>
      <c r="K300" s="3">
        <f>0.5*(D285*E285+E285*F285+F285*G285+G285*D285)</f>
        <v>0.40274335862744398</v>
      </c>
      <c r="L300" s="3">
        <f>0.5*(D282*E282+E282*F282+F282*G282+G282*D282)</f>
        <v>9.3891127559008247E-2</v>
      </c>
    </row>
    <row r="301" spans="1:12" x14ac:dyDescent="0.25">
      <c r="C301" s="2">
        <f t="shared" si="57"/>
        <v>0.75</v>
      </c>
      <c r="D301" s="2">
        <f t="shared" si="57"/>
        <v>0.86811440331311229</v>
      </c>
      <c r="E301" s="2">
        <f t="shared" si="57"/>
        <v>0.11172742372709753</v>
      </c>
      <c r="F301" s="2">
        <f t="shared" si="57"/>
        <v>1</v>
      </c>
      <c r="G301" s="2">
        <f t="shared" si="57"/>
        <v>0.5175960410871423</v>
      </c>
    </row>
    <row r="302" spans="1:12" x14ac:dyDescent="0.25">
      <c r="C302" s="2">
        <f t="shared" si="57"/>
        <v>0.5</v>
      </c>
      <c r="D302" s="2">
        <f t="shared" si="57"/>
        <v>0.77812754762172931</v>
      </c>
      <c r="E302" s="2">
        <f t="shared" si="57"/>
        <v>1</v>
      </c>
      <c r="F302" s="2">
        <f t="shared" si="57"/>
        <v>5.6622871781342003E-3</v>
      </c>
      <c r="G302" s="2">
        <f t="shared" si="57"/>
        <v>4.8393846438341249E-2</v>
      </c>
    </row>
    <row r="303" spans="1:12" x14ac:dyDescent="0.25">
      <c r="C303" s="2">
        <f t="shared" si="57"/>
        <v>0.25</v>
      </c>
      <c r="D303" s="2">
        <f t="shared" si="57"/>
        <v>0.70137268991339052</v>
      </c>
      <c r="E303" s="2">
        <f t="shared" si="57"/>
        <v>0.10307195849510592</v>
      </c>
      <c r="F303" s="2">
        <f t="shared" si="57"/>
        <v>9.2924715166971622E-2</v>
      </c>
      <c r="G303" s="2">
        <f t="shared" si="57"/>
        <v>1</v>
      </c>
    </row>
    <row r="305" spans="1:7" x14ac:dyDescent="0.25">
      <c r="C305" s="10" t="s">
        <v>3</v>
      </c>
      <c r="D305" s="10" t="s">
        <v>43</v>
      </c>
      <c r="E305" s="10" t="s">
        <v>4</v>
      </c>
      <c r="F305" s="10" t="s">
        <v>5</v>
      </c>
      <c r="G305" s="10" t="s">
        <v>6</v>
      </c>
    </row>
    <row r="306" spans="1:7" x14ac:dyDescent="0.25">
      <c r="C306" s="3">
        <v>0.70137268991339052</v>
      </c>
      <c r="D306" s="2">
        <v>0.25</v>
      </c>
      <c r="E306" s="2">
        <v>0.10307195849510592</v>
      </c>
      <c r="F306" s="2">
        <v>9.2924715166971622E-2</v>
      </c>
      <c r="G306" s="2">
        <v>1</v>
      </c>
    </row>
    <row r="307" spans="1:7" x14ac:dyDescent="0.25">
      <c r="C307" s="3">
        <v>0.77812754762172931</v>
      </c>
      <c r="D307" s="2">
        <v>0.5</v>
      </c>
      <c r="E307" s="2">
        <v>1</v>
      </c>
      <c r="F307" s="2">
        <v>5.6622871781342003E-3</v>
      </c>
      <c r="G307" s="2">
        <v>4.8393846438341249E-2</v>
      </c>
    </row>
    <row r="308" spans="1:7" x14ac:dyDescent="0.25">
      <c r="C308" s="3">
        <v>0.86811440331311229</v>
      </c>
      <c r="D308" s="2">
        <v>0.75</v>
      </c>
      <c r="E308" s="2">
        <v>0.11172742372709753</v>
      </c>
      <c r="F308" s="2">
        <v>1</v>
      </c>
      <c r="G308" s="2">
        <v>0.5175960410871423</v>
      </c>
    </row>
    <row r="309" spans="1:7" x14ac:dyDescent="0.25">
      <c r="C309" s="3">
        <v>1</v>
      </c>
      <c r="D309" s="2">
        <v>1</v>
      </c>
      <c r="E309" s="2">
        <v>0.14350332523225146</v>
      </c>
      <c r="F309" s="2">
        <v>0.55578650039264843</v>
      </c>
      <c r="G309" s="2">
        <v>0.45346685151196658</v>
      </c>
    </row>
    <row r="311" spans="1:7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</row>
    <row r="312" spans="1:7" x14ac:dyDescent="0.25">
      <c r="A312" s="2" t="s">
        <v>31</v>
      </c>
      <c r="B312" s="8" t="s">
        <v>32</v>
      </c>
      <c r="C312" s="2">
        <v>4</v>
      </c>
      <c r="D312" s="3">
        <v>615324.90182869229</v>
      </c>
      <c r="E312" s="3">
        <v>12188.037840000001</v>
      </c>
      <c r="F312" s="4">
        <v>3.5563801629943082E-3</v>
      </c>
      <c r="G312" s="4">
        <v>2.3262126662383252E-3</v>
      </c>
    </row>
    <row r="313" spans="1:7" x14ac:dyDescent="0.25">
      <c r="A313" s="2" t="s">
        <v>31</v>
      </c>
      <c r="B313" s="8" t="s">
        <v>32</v>
      </c>
      <c r="C313" s="2">
        <v>3</v>
      </c>
      <c r="D313" s="3">
        <v>463470.71898289572</v>
      </c>
      <c r="E313" s="3">
        <v>9380.3853557600014</v>
      </c>
      <c r="F313" s="4">
        <v>2.4821681068467739E-3</v>
      </c>
      <c r="G313" s="4">
        <v>1.7821392198706289E-3</v>
      </c>
    </row>
    <row r="314" spans="1:7" x14ac:dyDescent="0.25">
      <c r="A314" s="2" t="s">
        <v>31</v>
      </c>
      <c r="B314" s="8" t="s">
        <v>32</v>
      </c>
      <c r="C314" s="2">
        <v>2</v>
      </c>
      <c r="D314" s="3">
        <v>441905.15975913568</v>
      </c>
      <c r="E314" s="3">
        <v>8680.9984719799995</v>
      </c>
      <c r="F314" s="4">
        <v>5.3628300774693723E-2</v>
      </c>
      <c r="G314" s="4">
        <v>1.9809359137092151E-3</v>
      </c>
    </row>
    <row r="315" spans="1:7" x14ac:dyDescent="0.25">
      <c r="A315" s="2" t="s">
        <v>31</v>
      </c>
      <c r="B315" s="8" t="s">
        <v>32</v>
      </c>
      <c r="C315" s="2">
        <v>1</v>
      </c>
      <c r="D315" s="3">
        <v>396416.47748978873</v>
      </c>
      <c r="E315" s="3">
        <v>10615.43888874</v>
      </c>
      <c r="F315" s="4">
        <v>5.7122249315871114E-3</v>
      </c>
      <c r="G315" s="4">
        <v>1.223257961926933E-3</v>
      </c>
    </row>
    <row r="317" spans="1:7" x14ac:dyDescent="0.25">
      <c r="B317" s="7" t="s">
        <v>40</v>
      </c>
      <c r="D317" s="3">
        <f>AVERAGE(D312:D313)</f>
        <v>539397.81040579407</v>
      </c>
      <c r="E317" s="3">
        <f t="shared" ref="E317:G317" si="58">AVERAGE(E312:E313)</f>
        <v>10784.211597880001</v>
      </c>
      <c r="F317" s="4">
        <f t="shared" si="58"/>
        <v>3.0192741349205411E-3</v>
      </c>
      <c r="G317" s="4">
        <f t="shared" si="58"/>
        <v>2.0541759430544771E-3</v>
      </c>
    </row>
    <row r="318" spans="1:7" x14ac:dyDescent="0.25">
      <c r="B318" s="7" t="s">
        <v>41</v>
      </c>
      <c r="D318" s="3">
        <f>AVERAGE(D314:D315)</f>
        <v>419160.81862446223</v>
      </c>
      <c r="E318" s="3">
        <f t="shared" ref="E318:G318" si="59">AVERAGE(E314:E315)</f>
        <v>9648.2186803599998</v>
      </c>
      <c r="F318" s="4">
        <f t="shared" si="59"/>
        <v>2.9670262853140415E-2</v>
      </c>
      <c r="G318" s="4">
        <f t="shared" si="59"/>
        <v>1.602096937818074E-3</v>
      </c>
    </row>
    <row r="320" spans="1:7" x14ac:dyDescent="0.25">
      <c r="C320" s="7" t="s">
        <v>42</v>
      </c>
      <c r="D320" s="3">
        <f>D317/D318</f>
        <v>1.2868516961482879</v>
      </c>
      <c r="E320" s="3">
        <f t="shared" ref="E320:G320" si="60">E317/E318</f>
        <v>1.1177412074865631</v>
      </c>
      <c r="F320" s="3">
        <f t="shared" si="60"/>
        <v>0.10176095000792922</v>
      </c>
      <c r="G320" s="3">
        <f t="shared" si="60"/>
        <v>1.2821795576565411</v>
      </c>
    </row>
    <row r="322" spans="1:12" x14ac:dyDescent="0.25">
      <c r="C322" s="2">
        <f>MAX(C312:C315)</f>
        <v>4</v>
      </c>
      <c r="D322" s="2">
        <f t="shared" ref="D322:G322" si="61">MAX(D312:D315)</f>
        <v>615324.90182869229</v>
      </c>
      <c r="E322" s="2">
        <f t="shared" si="61"/>
        <v>12188.037840000001</v>
      </c>
      <c r="F322" s="2">
        <f t="shared" si="61"/>
        <v>5.3628300774693723E-2</v>
      </c>
      <c r="G322" s="2">
        <f t="shared" si="61"/>
        <v>2.3262126662383252E-3</v>
      </c>
    </row>
    <row r="323" spans="1:12" x14ac:dyDescent="0.25">
      <c r="C323" s="10" t="s">
        <v>43</v>
      </c>
      <c r="D323" s="10" t="s">
        <v>3</v>
      </c>
      <c r="E323" s="1" t="s">
        <v>4</v>
      </c>
      <c r="F323" s="1" t="s">
        <v>5</v>
      </c>
      <c r="G323" s="1" t="s">
        <v>6</v>
      </c>
      <c r="J323" s="2"/>
      <c r="K323" s="10" t="s">
        <v>44</v>
      </c>
      <c r="L323" s="10" t="s">
        <v>45</v>
      </c>
    </row>
    <row r="324" spans="1:12" x14ac:dyDescent="0.25">
      <c r="C324" s="2">
        <f t="shared" ref="C324:G327" si="62">C312/C$322</f>
        <v>1</v>
      </c>
      <c r="D324" s="2">
        <f t="shared" si="62"/>
        <v>1</v>
      </c>
      <c r="E324" s="2">
        <f t="shared" si="62"/>
        <v>1</v>
      </c>
      <c r="F324" s="2">
        <f t="shared" si="62"/>
        <v>6.6315361695601274E-2</v>
      </c>
      <c r="G324" s="2">
        <f t="shared" si="62"/>
        <v>1</v>
      </c>
      <c r="J324" s="10">
        <v>27</v>
      </c>
      <c r="K324" s="3">
        <f>0.5*(D309*E309+E309*F309+F309*G309+G309*D309)</f>
        <v>0.46437907105783394</v>
      </c>
      <c r="L324" s="3">
        <f>0.5*(D306*E306+E306*F306+F306*G306+G306*D306)</f>
        <v>0.18913531858780386</v>
      </c>
    </row>
    <row r="325" spans="1:12" x14ac:dyDescent="0.25">
      <c r="C325" s="2">
        <f t="shared" si="62"/>
        <v>0.75</v>
      </c>
      <c r="D325" s="2">
        <f t="shared" si="62"/>
        <v>0.75321300601601027</v>
      </c>
      <c r="E325" s="2">
        <f t="shared" si="62"/>
        <v>0.76963868006501046</v>
      </c>
      <c r="F325" s="2">
        <f t="shared" si="62"/>
        <v>4.6284668188071074E-2</v>
      </c>
      <c r="G325" s="2">
        <f t="shared" si="62"/>
        <v>0.76611190616225677</v>
      </c>
    </row>
    <row r="326" spans="1:12" x14ac:dyDescent="0.25">
      <c r="C326" s="2">
        <f t="shared" si="62"/>
        <v>0.5</v>
      </c>
      <c r="D326" s="2">
        <f t="shared" si="62"/>
        <v>0.71816557146611792</v>
      </c>
      <c r="E326" s="2">
        <f t="shared" si="62"/>
        <v>0.71225562194184977</v>
      </c>
      <c r="F326" s="2">
        <f t="shared" si="62"/>
        <v>1</v>
      </c>
      <c r="G326" s="2">
        <f t="shared" si="62"/>
        <v>0.85157128686456229</v>
      </c>
    </row>
    <row r="327" spans="1:12" x14ac:dyDescent="0.25">
      <c r="C327" s="2">
        <f t="shared" si="62"/>
        <v>0.25</v>
      </c>
      <c r="D327" s="2">
        <f t="shared" si="62"/>
        <v>0.64423928937651198</v>
      </c>
      <c r="E327" s="2">
        <f t="shared" si="62"/>
        <v>0.87097193396472083</v>
      </c>
      <c r="F327" s="2">
        <f t="shared" si="62"/>
        <v>0.10651512073048215</v>
      </c>
      <c r="G327" s="2">
        <f t="shared" si="62"/>
        <v>0.52585818127499084</v>
      </c>
    </row>
    <row r="329" spans="1:12" x14ac:dyDescent="0.25">
      <c r="C329" s="10" t="s">
        <v>3</v>
      </c>
      <c r="D329" s="10" t="s">
        <v>43</v>
      </c>
      <c r="E329" s="10" t="s">
        <v>4</v>
      </c>
      <c r="F329" s="10" t="s">
        <v>5</v>
      </c>
      <c r="G329" s="10" t="s">
        <v>6</v>
      </c>
    </row>
    <row r="330" spans="1:12" x14ac:dyDescent="0.25">
      <c r="C330" s="3">
        <v>0.64423928937651198</v>
      </c>
      <c r="D330" s="2">
        <v>0.25</v>
      </c>
      <c r="E330" s="2">
        <v>0.87097193396472083</v>
      </c>
      <c r="F330" s="2">
        <v>0.10651512073048215</v>
      </c>
      <c r="G330" s="2">
        <v>0.52585818127499084</v>
      </c>
    </row>
    <row r="331" spans="1:12" x14ac:dyDescent="0.25">
      <c r="C331" s="3">
        <v>0.71816557146611792</v>
      </c>
      <c r="D331" s="2">
        <v>0.5</v>
      </c>
      <c r="E331" s="2">
        <v>0.71225562194184977</v>
      </c>
      <c r="F331" s="2">
        <v>1</v>
      </c>
      <c r="G331" s="2">
        <v>0.85157128686456229</v>
      </c>
    </row>
    <row r="332" spans="1:12" x14ac:dyDescent="0.25">
      <c r="C332" s="3">
        <v>0.75321300601601027</v>
      </c>
      <c r="D332" s="2">
        <v>0.75</v>
      </c>
      <c r="E332" s="2">
        <v>0.76963868006501046</v>
      </c>
      <c r="F332" s="2">
        <v>4.6284668188071074E-2</v>
      </c>
      <c r="G332" s="2">
        <v>0.76611190616225677</v>
      </c>
    </row>
    <row r="333" spans="1:12" x14ac:dyDescent="0.25">
      <c r="C333" s="3">
        <v>1</v>
      </c>
      <c r="D333" s="2">
        <v>1</v>
      </c>
      <c r="E333" s="2">
        <v>1</v>
      </c>
      <c r="F333" s="2">
        <v>6.6315361695601274E-2</v>
      </c>
      <c r="G333" s="2">
        <v>1</v>
      </c>
    </row>
    <row r="335" spans="1:12" x14ac:dyDescent="0.25">
      <c r="A335" s="1" t="s">
        <v>0</v>
      </c>
      <c r="B335" s="1" t="s">
        <v>1</v>
      </c>
      <c r="C335" s="1" t="s">
        <v>2</v>
      </c>
      <c r="D335" s="1" t="s">
        <v>3</v>
      </c>
      <c r="E335" s="1" t="s">
        <v>4</v>
      </c>
      <c r="F335" s="1" t="s">
        <v>5</v>
      </c>
      <c r="G335" s="1" t="s">
        <v>6</v>
      </c>
    </row>
    <row r="336" spans="1:12" x14ac:dyDescent="0.25">
      <c r="A336" s="2" t="s">
        <v>33</v>
      </c>
      <c r="B336" s="8" t="s">
        <v>34</v>
      </c>
      <c r="C336" s="2">
        <v>1</v>
      </c>
      <c r="D336" s="3">
        <v>480752.63075950177</v>
      </c>
      <c r="E336" s="3">
        <v>13713.99982974</v>
      </c>
      <c r="F336" s="4">
        <v>1.8909555433829729E-4</v>
      </c>
      <c r="G336" s="4">
        <v>1.421912259449817E-2</v>
      </c>
    </row>
    <row r="337" spans="1:12" x14ac:dyDescent="0.25">
      <c r="A337" s="2" t="s">
        <v>33</v>
      </c>
      <c r="B337" s="8" t="s">
        <v>34</v>
      </c>
      <c r="C337" s="2">
        <v>4</v>
      </c>
      <c r="D337" s="3">
        <v>430680.74778667098</v>
      </c>
      <c r="E337" s="3">
        <v>9650.7308639999992</v>
      </c>
      <c r="F337" s="4">
        <v>3.2382873836611008E-4</v>
      </c>
      <c r="G337" s="4">
        <v>1.307147425181787E-3</v>
      </c>
    </row>
    <row r="338" spans="1:12" x14ac:dyDescent="0.25">
      <c r="A338" s="2" t="s">
        <v>33</v>
      </c>
      <c r="B338" s="8" t="s">
        <v>34</v>
      </c>
      <c r="C338" s="2">
        <v>3</v>
      </c>
      <c r="D338" s="3">
        <v>344818.33344279532</v>
      </c>
      <c r="E338" s="3">
        <v>7766.5175531200011</v>
      </c>
      <c r="F338" s="4">
        <v>5.6879237956854514E-4</v>
      </c>
      <c r="G338" s="4">
        <v>9.2862762115340628E-4</v>
      </c>
    </row>
    <row r="339" spans="1:12" x14ac:dyDescent="0.25">
      <c r="A339" s="2" t="s">
        <v>33</v>
      </c>
      <c r="B339" s="8" t="s">
        <v>34</v>
      </c>
      <c r="C339" s="2">
        <v>2</v>
      </c>
      <c r="D339" s="3">
        <v>310794.74797233898</v>
      </c>
      <c r="E339" s="3">
        <v>8210.8821614400003</v>
      </c>
      <c r="F339" s="4">
        <v>1.515288413031857E-4</v>
      </c>
      <c r="G339" s="4">
        <v>1.134724744407487E-2</v>
      </c>
    </row>
    <row r="341" spans="1:12" x14ac:dyDescent="0.25">
      <c r="B341" s="7" t="s">
        <v>40</v>
      </c>
      <c r="D341" s="3">
        <f>AVERAGE(D336:D337)</f>
        <v>455716.68927308638</v>
      </c>
      <c r="E341" s="3">
        <f t="shared" ref="E341:G341" si="63">AVERAGE(E336:E337)</f>
        <v>11682.365346869999</v>
      </c>
      <c r="F341" s="4">
        <f t="shared" si="63"/>
        <v>2.5646214635220368E-4</v>
      </c>
      <c r="G341" s="4">
        <f t="shared" si="63"/>
        <v>7.7631350098399787E-3</v>
      </c>
    </row>
    <row r="342" spans="1:12" x14ac:dyDescent="0.25">
      <c r="B342" s="7" t="s">
        <v>41</v>
      </c>
      <c r="D342" s="3">
        <f>AVERAGE(D338:D339)</f>
        <v>327806.54070756712</v>
      </c>
      <c r="E342" s="3">
        <f t="shared" ref="E342:G342" si="64">AVERAGE(E338:E339)</f>
        <v>7988.6998572800003</v>
      </c>
      <c r="F342" s="4">
        <f t="shared" si="64"/>
        <v>3.6016061043586542E-4</v>
      </c>
      <c r="G342" s="4">
        <f t="shared" si="64"/>
        <v>6.1379375326141381E-3</v>
      </c>
    </row>
    <row r="344" spans="1:12" x14ac:dyDescent="0.25">
      <c r="C344" s="7" t="s">
        <v>42</v>
      </c>
      <c r="D344" s="3">
        <f>D341/D342</f>
        <v>1.3902001109844437</v>
      </c>
      <c r="E344" s="3">
        <f t="shared" ref="E344:G344" si="65">E341/E342</f>
        <v>1.462361279754929</v>
      </c>
      <c r="F344" s="3">
        <f t="shared" si="65"/>
        <v>0.71207716480109773</v>
      </c>
      <c r="G344" s="3">
        <f t="shared" si="65"/>
        <v>1.2647790839496653</v>
      </c>
    </row>
    <row r="346" spans="1:12" x14ac:dyDescent="0.25">
      <c r="C346" s="2">
        <f>MAX(C336:C339)</f>
        <v>4</v>
      </c>
      <c r="D346" s="2">
        <f t="shared" ref="D346:G346" si="66">MAX(D336:D339)</f>
        <v>480752.63075950177</v>
      </c>
      <c r="E346" s="2">
        <f t="shared" si="66"/>
        <v>13713.99982974</v>
      </c>
      <c r="F346" s="2">
        <f t="shared" si="66"/>
        <v>5.6879237956854514E-4</v>
      </c>
      <c r="G346" s="2">
        <f t="shared" si="66"/>
        <v>1.421912259449817E-2</v>
      </c>
    </row>
    <row r="347" spans="1:12" x14ac:dyDescent="0.25">
      <c r="C347" s="10" t="s">
        <v>43</v>
      </c>
      <c r="D347" s="10" t="s">
        <v>3</v>
      </c>
      <c r="E347" s="1" t="s">
        <v>4</v>
      </c>
      <c r="F347" s="1" t="s">
        <v>5</v>
      </c>
      <c r="G347" s="1" t="s">
        <v>6</v>
      </c>
      <c r="J347" s="2"/>
      <c r="K347" s="10" t="s">
        <v>44</v>
      </c>
      <c r="L347" s="10" t="s">
        <v>45</v>
      </c>
    </row>
    <row r="348" spans="1:12" x14ac:dyDescent="0.25">
      <c r="C348" s="2">
        <f t="shared" ref="C348:G351" si="67">C336/C$346</f>
        <v>0.25</v>
      </c>
      <c r="D348" s="2">
        <f t="shared" si="67"/>
        <v>1</v>
      </c>
      <c r="E348" s="2">
        <f t="shared" si="67"/>
        <v>1</v>
      </c>
      <c r="F348" s="2">
        <f t="shared" si="67"/>
        <v>0.33245092784424229</v>
      </c>
      <c r="G348" s="2">
        <f t="shared" si="67"/>
        <v>1</v>
      </c>
      <c r="J348" s="10">
        <v>28</v>
      </c>
      <c r="K348" s="3">
        <f>0.5*(D333*E333+E333*F333+F333*G333+G333*D333)</f>
        <v>1.0663153616956014</v>
      </c>
      <c r="L348" s="3">
        <f>0.5*(D330*E330+E330*F330+F330*G330+G330*D330)</f>
        <v>0.24899552858732954</v>
      </c>
    </row>
    <row r="349" spans="1:12" x14ac:dyDescent="0.25">
      <c r="C349" s="2">
        <f t="shared" si="67"/>
        <v>1</v>
      </c>
      <c r="D349" s="2">
        <f t="shared" si="67"/>
        <v>0.89584688721572603</v>
      </c>
      <c r="E349" s="2">
        <f t="shared" si="67"/>
        <v>0.70371379494052133</v>
      </c>
      <c r="F349" s="2">
        <f t="shared" si="67"/>
        <v>0.56932678776700363</v>
      </c>
      <c r="G349" s="2">
        <f t="shared" si="67"/>
        <v>9.1928838540822747E-2</v>
      </c>
    </row>
    <row r="350" spans="1:12" x14ac:dyDescent="0.25">
      <c r="C350" s="2">
        <f t="shared" si="67"/>
        <v>0.75</v>
      </c>
      <c r="D350" s="2">
        <f t="shared" si="67"/>
        <v>0.7172468986764462</v>
      </c>
      <c r="E350" s="2">
        <f t="shared" si="67"/>
        <v>0.56632037695360282</v>
      </c>
      <c r="F350" s="2">
        <f t="shared" si="67"/>
        <v>1</v>
      </c>
      <c r="G350" s="2">
        <f t="shared" si="67"/>
        <v>6.5308363085126067E-2</v>
      </c>
    </row>
    <row r="351" spans="1:12" x14ac:dyDescent="0.25">
      <c r="C351" s="2">
        <f t="shared" si="67"/>
        <v>0.5</v>
      </c>
      <c r="D351" s="2">
        <f t="shared" si="67"/>
        <v>0.64647539729806525</v>
      </c>
      <c r="E351" s="2">
        <f t="shared" si="67"/>
        <v>0.59872263842631746</v>
      </c>
      <c r="F351" s="2">
        <f t="shared" si="67"/>
        <v>0.26640448561938757</v>
      </c>
      <c r="G351" s="2">
        <f t="shared" si="67"/>
        <v>0.798027260026964</v>
      </c>
    </row>
    <row r="353" spans="1:7" x14ac:dyDescent="0.25">
      <c r="C353" s="10" t="s">
        <v>3</v>
      </c>
      <c r="D353" s="10" t="s">
        <v>43</v>
      </c>
      <c r="E353" s="10" t="s">
        <v>4</v>
      </c>
      <c r="F353" s="10" t="s">
        <v>5</v>
      </c>
      <c r="G353" s="10" t="s">
        <v>6</v>
      </c>
    </row>
    <row r="354" spans="1:7" x14ac:dyDescent="0.25">
      <c r="C354" s="3">
        <v>0.64647539729806525</v>
      </c>
      <c r="D354" s="2">
        <v>0.5</v>
      </c>
      <c r="E354" s="2">
        <v>0.59872263842631746</v>
      </c>
      <c r="F354" s="2">
        <v>0.26640448561938757</v>
      </c>
      <c r="G354" s="2">
        <v>0.798027260026964</v>
      </c>
    </row>
    <row r="355" spans="1:7" x14ac:dyDescent="0.25">
      <c r="C355" s="3">
        <v>0.7172468986764462</v>
      </c>
      <c r="D355" s="2">
        <v>0.75</v>
      </c>
      <c r="E355" s="2">
        <v>0.56632037695360282</v>
      </c>
      <c r="F355" s="2">
        <v>1</v>
      </c>
      <c r="G355" s="2">
        <v>6.5308363085126067E-2</v>
      </c>
    </row>
    <row r="356" spans="1:7" x14ac:dyDescent="0.25">
      <c r="C356" s="3">
        <v>0.89584688721572603</v>
      </c>
      <c r="D356" s="2">
        <v>1</v>
      </c>
      <c r="E356" s="2">
        <v>0.70371379494052133</v>
      </c>
      <c r="F356" s="2">
        <v>0.56932678776700363</v>
      </c>
      <c r="G356" s="2">
        <v>9.1928838540822747E-2</v>
      </c>
    </row>
    <row r="357" spans="1:7" x14ac:dyDescent="0.25">
      <c r="C357" s="3">
        <v>1</v>
      </c>
      <c r="D357" s="2">
        <v>0.25</v>
      </c>
      <c r="E357" s="2">
        <v>1</v>
      </c>
      <c r="F357" s="2">
        <v>0.33245092784424229</v>
      </c>
      <c r="G357" s="2">
        <v>1</v>
      </c>
    </row>
    <row r="359" spans="1:7" x14ac:dyDescent="0.25">
      <c r="A359" s="1" t="s">
        <v>0</v>
      </c>
      <c r="B359" s="1" t="s">
        <v>1</v>
      </c>
      <c r="C359" s="1" t="s">
        <v>2</v>
      </c>
      <c r="D359" s="1" t="s">
        <v>3</v>
      </c>
      <c r="E359" s="1" t="s">
        <v>4</v>
      </c>
      <c r="F359" s="1" t="s">
        <v>5</v>
      </c>
      <c r="G359" s="1" t="s">
        <v>6</v>
      </c>
    </row>
    <row r="360" spans="1:7" x14ac:dyDescent="0.25">
      <c r="A360" s="2" t="s">
        <v>35</v>
      </c>
      <c r="B360" s="8" t="s">
        <v>36</v>
      </c>
      <c r="C360" s="2">
        <v>4</v>
      </c>
      <c r="D360" s="3">
        <v>624490.81179662514</v>
      </c>
      <c r="E360" s="3">
        <v>23490.718752000001</v>
      </c>
      <c r="F360" s="4">
        <v>1.927088927244758E-3</v>
      </c>
      <c r="G360" s="4">
        <v>1.8760825696850091E-3</v>
      </c>
    </row>
    <row r="361" spans="1:7" x14ac:dyDescent="0.25">
      <c r="A361" s="2" t="s">
        <v>35</v>
      </c>
      <c r="B361" s="8" t="s">
        <v>36</v>
      </c>
      <c r="C361" s="2">
        <v>3</v>
      </c>
      <c r="D361" s="3">
        <v>615005.46689121344</v>
      </c>
      <c r="E361" s="3">
        <v>18304.5266156</v>
      </c>
      <c r="F361" s="4">
        <v>2.0544865338363899E-3</v>
      </c>
      <c r="G361" s="4">
        <v>2.397692315221963E-3</v>
      </c>
    </row>
    <row r="362" spans="1:7" x14ac:dyDescent="0.25">
      <c r="A362" s="2" t="s">
        <v>35</v>
      </c>
      <c r="B362" s="8" t="s">
        <v>36</v>
      </c>
      <c r="C362" s="2">
        <v>1</v>
      </c>
      <c r="D362" s="3">
        <v>557880.96074185451</v>
      </c>
      <c r="E362" s="3">
        <v>17673.58753398</v>
      </c>
      <c r="F362" s="4">
        <v>1.2639185721094849E-3</v>
      </c>
      <c r="G362" s="4">
        <v>7.224852054202324E-4</v>
      </c>
    </row>
    <row r="363" spans="1:7" x14ac:dyDescent="0.25">
      <c r="A363" s="2" t="s">
        <v>35</v>
      </c>
      <c r="B363" s="8" t="s">
        <v>36</v>
      </c>
      <c r="C363" s="2">
        <v>2</v>
      </c>
      <c r="D363" s="3">
        <v>528936.59684355662</v>
      </c>
      <c r="E363" s="3">
        <v>14840.029964359999</v>
      </c>
      <c r="F363" s="4">
        <v>3.348617336982791E-3</v>
      </c>
      <c r="G363" s="4">
        <v>9.7700369843055682E-4</v>
      </c>
    </row>
    <row r="365" spans="1:7" x14ac:dyDescent="0.25">
      <c r="B365" s="7" t="s">
        <v>40</v>
      </c>
      <c r="D365" s="3">
        <f>AVERAGE(D360:D361)</f>
        <v>619748.13934391923</v>
      </c>
      <c r="E365" s="3">
        <f t="shared" ref="E365:G365" si="68">AVERAGE(E360:E361)</f>
        <v>20897.6226838</v>
      </c>
      <c r="F365" s="4">
        <f t="shared" si="68"/>
        <v>1.9907877305405742E-3</v>
      </c>
      <c r="G365" s="4">
        <f t="shared" si="68"/>
        <v>2.1368874424534858E-3</v>
      </c>
    </row>
    <row r="366" spans="1:7" x14ac:dyDescent="0.25">
      <c r="B366" s="7" t="s">
        <v>41</v>
      </c>
      <c r="D366" s="3">
        <f>AVERAGE(D362:D363)</f>
        <v>543408.77879270562</v>
      </c>
      <c r="E366" s="3">
        <f t="shared" ref="E366:G366" si="69">AVERAGE(E362:E363)</f>
        <v>16256.808749169999</v>
      </c>
      <c r="F366" s="4">
        <f t="shared" si="69"/>
        <v>2.3062679545461382E-3</v>
      </c>
      <c r="G366" s="4">
        <f t="shared" si="69"/>
        <v>8.4974445192539461E-4</v>
      </c>
    </row>
    <row r="368" spans="1:7" x14ac:dyDescent="0.25">
      <c r="C368" s="7" t="s">
        <v>42</v>
      </c>
      <c r="D368" s="3">
        <f>D365/D366</f>
        <v>1.1404823836685474</v>
      </c>
      <c r="E368" s="3">
        <f t="shared" ref="E368:G368" si="70">E365/E366</f>
        <v>1.2854689383527957</v>
      </c>
      <c r="F368" s="3">
        <f t="shared" si="70"/>
        <v>0.8632074718882139</v>
      </c>
      <c r="G368" s="3">
        <f t="shared" si="70"/>
        <v>2.5147412702861627</v>
      </c>
    </row>
    <row r="370" spans="1:12" x14ac:dyDescent="0.25">
      <c r="C370" s="2">
        <f>MAX(C360:C363)</f>
        <v>4</v>
      </c>
      <c r="D370" s="2">
        <f t="shared" ref="D370:G370" si="71">MAX(D360:D363)</f>
        <v>624490.81179662514</v>
      </c>
      <c r="E370" s="2">
        <f t="shared" si="71"/>
        <v>23490.718752000001</v>
      </c>
      <c r="F370" s="2">
        <f t="shared" si="71"/>
        <v>3.348617336982791E-3</v>
      </c>
      <c r="G370" s="2">
        <f t="shared" si="71"/>
        <v>2.397692315221963E-3</v>
      </c>
    </row>
    <row r="371" spans="1:12" x14ac:dyDescent="0.25">
      <c r="C371" s="10" t="s">
        <v>43</v>
      </c>
      <c r="D371" s="10" t="s">
        <v>3</v>
      </c>
      <c r="E371" s="1" t="s">
        <v>4</v>
      </c>
      <c r="F371" s="1" t="s">
        <v>5</v>
      </c>
      <c r="G371" s="1" t="s">
        <v>6</v>
      </c>
      <c r="J371" s="2"/>
      <c r="K371" s="10" t="s">
        <v>44</v>
      </c>
      <c r="L371" s="10" t="s">
        <v>45</v>
      </c>
    </row>
    <row r="372" spans="1:12" x14ac:dyDescent="0.25">
      <c r="C372" s="2">
        <f t="shared" ref="C372:G375" si="72">C360/C$370</f>
        <v>1</v>
      </c>
      <c r="D372" s="2">
        <f t="shared" si="72"/>
        <v>1</v>
      </c>
      <c r="E372" s="2">
        <f t="shared" si="72"/>
        <v>1</v>
      </c>
      <c r="F372" s="2">
        <f t="shared" si="72"/>
        <v>0.57548795019413157</v>
      </c>
      <c r="G372" s="2">
        <f t="shared" si="72"/>
        <v>0.78245342731197487</v>
      </c>
      <c r="J372" s="10">
        <v>29</v>
      </c>
      <c r="K372" s="3">
        <f>0.5*(D357*E357+E357*F357+F357*G357+G357*D357)</f>
        <v>0.58245092784424224</v>
      </c>
      <c r="L372" s="3">
        <f>0.5*(D354*E354+E354*F354+F354*G354+G354*D354)</f>
        <v>0.53523769373150953</v>
      </c>
    </row>
    <row r="373" spans="1:12" x14ac:dyDescent="0.25">
      <c r="C373" s="2">
        <f t="shared" si="72"/>
        <v>0.75</v>
      </c>
      <c r="D373" s="2">
        <f t="shared" si="72"/>
        <v>0.98481107371600407</v>
      </c>
      <c r="E373" s="2">
        <f t="shared" si="72"/>
        <v>0.77922377807369358</v>
      </c>
      <c r="F373" s="2">
        <f t="shared" si="72"/>
        <v>0.61353278893537189</v>
      </c>
      <c r="G373" s="2">
        <f t="shared" si="72"/>
        <v>1</v>
      </c>
    </row>
    <row r="374" spans="1:12" x14ac:dyDescent="0.25">
      <c r="C374" s="2">
        <f t="shared" si="72"/>
        <v>0.25</v>
      </c>
      <c r="D374" s="2">
        <f t="shared" si="72"/>
        <v>0.89333734012332733</v>
      </c>
      <c r="E374" s="2">
        <f t="shared" si="72"/>
        <v>0.7523646986099678</v>
      </c>
      <c r="F374" s="2">
        <f t="shared" si="72"/>
        <v>0.3774449108145379</v>
      </c>
      <c r="G374" s="2">
        <f t="shared" si="72"/>
        <v>0.30132523711798664</v>
      </c>
    </row>
    <row r="375" spans="1:12" x14ac:dyDescent="0.25">
      <c r="C375" s="2">
        <f t="shared" si="72"/>
        <v>0.5</v>
      </c>
      <c r="D375" s="2">
        <f t="shared" si="72"/>
        <v>0.84698859751328548</v>
      </c>
      <c r="E375" s="2">
        <f t="shared" si="72"/>
        <v>0.63174014047980198</v>
      </c>
      <c r="F375" s="2">
        <f t="shared" si="72"/>
        <v>1</v>
      </c>
      <c r="G375" s="2">
        <f t="shared" si="72"/>
        <v>0.40747667756532474</v>
      </c>
    </row>
    <row r="377" spans="1:12" x14ac:dyDescent="0.25">
      <c r="C377" s="10" t="s">
        <v>3</v>
      </c>
      <c r="D377" s="10" t="s">
        <v>43</v>
      </c>
      <c r="E377" s="10" t="s">
        <v>4</v>
      </c>
      <c r="F377" s="10" t="s">
        <v>5</v>
      </c>
      <c r="G377" s="10" t="s">
        <v>6</v>
      </c>
    </row>
    <row r="378" spans="1:12" x14ac:dyDescent="0.25">
      <c r="C378" s="3">
        <v>0.84698859751328548</v>
      </c>
      <c r="D378" s="2">
        <v>0.5</v>
      </c>
      <c r="E378" s="2">
        <v>0.63174014047980198</v>
      </c>
      <c r="F378" s="2">
        <v>1</v>
      </c>
      <c r="G378" s="2">
        <v>0.40747667756532474</v>
      </c>
    </row>
    <row r="379" spans="1:12" x14ac:dyDescent="0.25">
      <c r="C379" s="3">
        <v>0.89333734012332733</v>
      </c>
      <c r="D379" s="2">
        <v>0.25</v>
      </c>
      <c r="E379" s="2">
        <v>0.7523646986099678</v>
      </c>
      <c r="F379" s="2">
        <v>0.3774449108145379</v>
      </c>
      <c r="G379" s="2">
        <v>0.30132523711798664</v>
      </c>
    </row>
    <row r="380" spans="1:12" x14ac:dyDescent="0.25">
      <c r="C380" s="3">
        <v>0.98481107371600407</v>
      </c>
      <c r="D380" s="2">
        <v>0.75</v>
      </c>
      <c r="E380" s="2">
        <v>0.77922377807369358</v>
      </c>
      <c r="F380" s="2">
        <v>0.61353278893537189</v>
      </c>
      <c r="G380" s="2">
        <v>1</v>
      </c>
    </row>
    <row r="381" spans="1:12" x14ac:dyDescent="0.25">
      <c r="C381" s="3">
        <v>1</v>
      </c>
      <c r="D381" s="2">
        <v>1</v>
      </c>
      <c r="E381" s="2">
        <v>1</v>
      </c>
      <c r="F381" s="2">
        <v>0.57548795019413157</v>
      </c>
      <c r="G381" s="2">
        <v>0.78245342731197487</v>
      </c>
    </row>
    <row r="383" spans="1:12" x14ac:dyDescent="0.25">
      <c r="A383" s="1" t="s">
        <v>0</v>
      </c>
      <c r="B383" s="1" t="s">
        <v>1</v>
      </c>
      <c r="C383" s="1" t="s">
        <v>2</v>
      </c>
      <c r="D383" s="1" t="s">
        <v>3</v>
      </c>
      <c r="E383" s="1" t="s">
        <v>4</v>
      </c>
      <c r="F383" s="1" t="s">
        <v>5</v>
      </c>
      <c r="G383" s="1" t="s">
        <v>6</v>
      </c>
    </row>
    <row r="384" spans="1:12" x14ac:dyDescent="0.25">
      <c r="A384" s="2" t="s">
        <v>37</v>
      </c>
      <c r="B384" s="8" t="s">
        <v>38</v>
      </c>
      <c r="C384" s="2">
        <v>1</v>
      </c>
      <c r="D384" s="3">
        <v>496312.33844584553</v>
      </c>
      <c r="E384" s="3">
        <v>6058.6276942799996</v>
      </c>
      <c r="F384" s="4">
        <v>1.149126975828702E-3</v>
      </c>
      <c r="G384" s="4">
        <v>4.3326889923906344E-3</v>
      </c>
    </row>
    <row r="385" spans="1:12" x14ac:dyDescent="0.25">
      <c r="A385" s="5" t="s">
        <v>37</v>
      </c>
      <c r="B385" s="9" t="s">
        <v>38</v>
      </c>
      <c r="C385" s="5">
        <v>3</v>
      </c>
      <c r="D385" s="3">
        <v>481190.63450056087</v>
      </c>
      <c r="E385" s="3">
        <v>5659.2905294400007</v>
      </c>
      <c r="F385" s="4">
        <v>2.7642536319032169E-4</v>
      </c>
      <c r="G385" s="4">
        <v>2.609783923120391E-3</v>
      </c>
    </row>
    <row r="386" spans="1:12" x14ac:dyDescent="0.25">
      <c r="A386" s="2" t="s">
        <v>37</v>
      </c>
      <c r="B386" s="8" t="s">
        <v>38</v>
      </c>
      <c r="C386" s="2">
        <v>2</v>
      </c>
      <c r="D386" s="3">
        <v>463554.2380744408</v>
      </c>
      <c r="E386" s="3">
        <v>6405.1162323599992</v>
      </c>
      <c r="F386" s="4">
        <v>1.36542870460566E-3</v>
      </c>
      <c r="G386" s="4">
        <v>1.06191448730258E-3</v>
      </c>
    </row>
    <row r="387" spans="1:12" x14ac:dyDescent="0.25">
      <c r="A387" s="2" t="s">
        <v>37</v>
      </c>
      <c r="B387" s="8" t="s">
        <v>38</v>
      </c>
      <c r="C387" s="2">
        <v>4</v>
      </c>
      <c r="D387" s="3">
        <v>463215.01884109463</v>
      </c>
      <c r="E387" s="3">
        <v>6600.4823040000001</v>
      </c>
      <c r="F387" s="4">
        <v>1.0184783005820781E-3</v>
      </c>
      <c r="G387" s="4">
        <v>1.1952508372333631E-3</v>
      </c>
    </row>
    <row r="389" spans="1:12" x14ac:dyDescent="0.25">
      <c r="B389" s="7" t="s">
        <v>40</v>
      </c>
      <c r="D389" s="3">
        <f>AVERAGE(D384:D385)</f>
        <v>488751.48647320317</v>
      </c>
      <c r="E389" s="3">
        <f t="shared" ref="E389:G389" si="73">AVERAGE(E384:E385)</f>
        <v>5858.9591118600001</v>
      </c>
      <c r="F389" s="4">
        <f t="shared" si="73"/>
        <v>7.1277616950951182E-4</v>
      </c>
      <c r="G389" s="4">
        <f t="shared" si="73"/>
        <v>3.4712364577555127E-3</v>
      </c>
    </row>
    <row r="390" spans="1:12" x14ac:dyDescent="0.25">
      <c r="B390" s="7" t="s">
        <v>41</v>
      </c>
      <c r="D390" s="3">
        <f>AVERAGE(D386:D387)</f>
        <v>463384.62845776771</v>
      </c>
      <c r="E390" s="3">
        <f t="shared" ref="E390:G390" si="74">AVERAGE(E386:E387)</f>
        <v>6502.7992681799997</v>
      </c>
      <c r="F390" s="4">
        <f t="shared" si="74"/>
        <v>1.191953502593869E-3</v>
      </c>
      <c r="G390" s="4">
        <f t="shared" si="74"/>
        <v>1.1285826622679715E-3</v>
      </c>
    </row>
    <row r="392" spans="1:12" x14ac:dyDescent="0.25">
      <c r="C392" s="7" t="s">
        <v>42</v>
      </c>
      <c r="D392" s="3">
        <f>D389/D390</f>
        <v>1.0547425539337831</v>
      </c>
      <c r="E392" s="3">
        <f t="shared" ref="E392:G392" si="75">E389/E390</f>
        <v>0.9009903074402914</v>
      </c>
      <c r="F392" s="3">
        <f t="shared" si="75"/>
        <v>0.59798991148430225</v>
      </c>
      <c r="G392" s="3">
        <f t="shared" si="75"/>
        <v>3.0757485240645135</v>
      </c>
    </row>
    <row r="394" spans="1:12" x14ac:dyDescent="0.25">
      <c r="C394" s="2">
        <f>MAX(C384:C387)</f>
        <v>4</v>
      </c>
      <c r="D394" s="2">
        <f t="shared" ref="D394:G394" si="76">MAX(D384:D387)</f>
        <v>496312.33844584553</v>
      </c>
      <c r="E394" s="2">
        <f t="shared" si="76"/>
        <v>6600.4823040000001</v>
      </c>
      <c r="F394" s="2">
        <f t="shared" si="76"/>
        <v>1.36542870460566E-3</v>
      </c>
      <c r="G394" s="2">
        <f t="shared" si="76"/>
        <v>4.3326889923906344E-3</v>
      </c>
    </row>
    <row r="395" spans="1:12" x14ac:dyDescent="0.25">
      <c r="C395" s="10" t="s">
        <v>43</v>
      </c>
      <c r="D395" s="10" t="s">
        <v>3</v>
      </c>
      <c r="E395" s="1" t="s">
        <v>4</v>
      </c>
      <c r="F395" s="1" t="s">
        <v>5</v>
      </c>
      <c r="G395" s="1" t="s">
        <v>6</v>
      </c>
      <c r="J395" s="2"/>
      <c r="K395" s="10" t="s">
        <v>44</v>
      </c>
      <c r="L395" s="10" t="s">
        <v>45</v>
      </c>
    </row>
    <row r="396" spans="1:12" x14ac:dyDescent="0.25">
      <c r="C396" s="2">
        <f t="shared" ref="C396:G399" si="77">C384/C$394</f>
        <v>0.25</v>
      </c>
      <c r="D396" s="2">
        <f t="shared" si="77"/>
        <v>1</v>
      </c>
      <c r="E396" s="2">
        <f t="shared" si="77"/>
        <v>0.91790681578047295</v>
      </c>
      <c r="F396" s="2">
        <f t="shared" si="77"/>
        <v>0.84158694771293341</v>
      </c>
      <c r="G396" s="2">
        <f t="shared" si="77"/>
        <v>1</v>
      </c>
      <c r="J396" s="10">
        <v>30</v>
      </c>
      <c r="K396" s="3">
        <f>0.5*(D381*E381+E381*F381+F381*G381+G381*D381)</f>
        <v>1.404116948256124</v>
      </c>
      <c r="L396" s="3">
        <f>0.5*(D378*E378+E378*F378+F378*G378+G378*D378)</f>
        <v>0.77941261353384506</v>
      </c>
    </row>
    <row r="397" spans="1:12" x14ac:dyDescent="0.25">
      <c r="C397" s="2">
        <f t="shared" si="77"/>
        <v>0.75</v>
      </c>
      <c r="D397" s="2">
        <f t="shared" si="77"/>
        <v>0.96953187987903577</v>
      </c>
      <c r="E397" s="2">
        <f t="shared" si="77"/>
        <v>0.85740560595251925</v>
      </c>
      <c r="F397" s="2">
        <f t="shared" si="77"/>
        <v>0.20244584155725229</v>
      </c>
      <c r="G397" s="2">
        <f t="shared" si="77"/>
        <v>0.60234739389415504</v>
      </c>
    </row>
    <row r="398" spans="1:12" x14ac:dyDescent="0.25">
      <c r="C398" s="2">
        <f t="shared" si="77"/>
        <v>0.5</v>
      </c>
      <c r="D398" s="2">
        <f t="shared" si="77"/>
        <v>0.93399700584921264</v>
      </c>
      <c r="E398" s="2">
        <f t="shared" si="77"/>
        <v>0.97040124302407327</v>
      </c>
      <c r="F398" s="2">
        <f t="shared" si="77"/>
        <v>1</v>
      </c>
      <c r="G398" s="2">
        <f t="shared" si="77"/>
        <v>0.24509363334584758</v>
      </c>
    </row>
    <row r="399" spans="1:12" x14ac:dyDescent="0.25">
      <c r="C399" s="2">
        <f t="shared" si="77"/>
        <v>1</v>
      </c>
      <c r="D399" s="2">
        <f t="shared" si="77"/>
        <v>0.93331352650149302</v>
      </c>
      <c r="E399" s="2">
        <f t="shared" si="77"/>
        <v>1</v>
      </c>
      <c r="F399" s="2">
        <f t="shared" si="77"/>
        <v>0.7459036836904771</v>
      </c>
      <c r="G399" s="2">
        <f t="shared" si="77"/>
        <v>0.27586813623884487</v>
      </c>
    </row>
    <row r="401" spans="3:7" x14ac:dyDescent="0.25">
      <c r="C401" s="10" t="s">
        <v>3</v>
      </c>
      <c r="D401" s="10" t="s">
        <v>43</v>
      </c>
      <c r="E401" s="10" t="s">
        <v>4</v>
      </c>
      <c r="F401" s="10" t="s">
        <v>5</v>
      </c>
      <c r="G401" s="10" t="s">
        <v>6</v>
      </c>
    </row>
    <row r="402" spans="3:7" x14ac:dyDescent="0.25">
      <c r="C402" s="3">
        <v>0.93331352650149302</v>
      </c>
      <c r="D402" s="2">
        <v>1</v>
      </c>
      <c r="E402" s="2">
        <v>1</v>
      </c>
      <c r="F402" s="2">
        <v>0.7459036836904771</v>
      </c>
      <c r="G402" s="2">
        <v>0.27586813623884487</v>
      </c>
    </row>
    <row r="403" spans="3:7" x14ac:dyDescent="0.25">
      <c r="C403" s="3">
        <v>0.93399700584921264</v>
      </c>
      <c r="D403" s="2">
        <v>0.5</v>
      </c>
      <c r="E403" s="2">
        <v>0.97040124302407327</v>
      </c>
      <c r="F403" s="2">
        <v>1</v>
      </c>
      <c r="G403" s="2">
        <v>0.24509363334584758</v>
      </c>
    </row>
    <row r="404" spans="3:7" x14ac:dyDescent="0.25">
      <c r="C404" s="3">
        <v>0.96953187987903577</v>
      </c>
      <c r="D404" s="2">
        <v>0.75</v>
      </c>
      <c r="E404" s="2">
        <v>0.85740560595251925</v>
      </c>
      <c r="F404" s="2">
        <v>0.20244584155725229</v>
      </c>
      <c r="G404" s="2">
        <v>0.60234739389415504</v>
      </c>
    </row>
    <row r="405" spans="3:7" x14ac:dyDescent="0.25">
      <c r="C405" s="3">
        <v>1</v>
      </c>
      <c r="D405" s="2">
        <v>0.25</v>
      </c>
      <c r="E405" s="2">
        <v>0.91790681578047295</v>
      </c>
      <c r="F405" s="2">
        <v>0.84158694771293341</v>
      </c>
      <c r="G405" s="2">
        <v>1</v>
      </c>
    </row>
    <row r="415" spans="3:7" x14ac:dyDescent="0.25">
      <c r="C415" s="2"/>
      <c r="D415" s="2"/>
      <c r="E415" s="2"/>
      <c r="F415" s="2"/>
      <c r="G415" s="2"/>
    </row>
    <row r="419" spans="10:12" x14ac:dyDescent="0.25">
      <c r="J419" s="2"/>
      <c r="K419" s="10" t="s">
        <v>44</v>
      </c>
      <c r="L419" s="10" t="s">
        <v>45</v>
      </c>
    </row>
    <row r="420" spans="10:12" x14ac:dyDescent="0.25">
      <c r="J420" s="10">
        <v>33</v>
      </c>
      <c r="K420" s="3">
        <f>0.5*(D405*E405+E405*F405+F405*G405+G405*D405)</f>
        <v>1.046781023517819</v>
      </c>
      <c r="L420" s="3">
        <f>0.5*(D402*E402+E402*F402+F402*G402+G402*D402)</f>
        <v>1.1137714394813514</v>
      </c>
    </row>
    <row r="421" spans="10:12" x14ac:dyDescent="0.25">
      <c r="J421" s="10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8:D17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8:E17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8:F171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8:G171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3:D174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3:E17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3:F17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3:G17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19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2:E1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2:F195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2:G195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7:D19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7:E198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7:F19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7:G19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0:D24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0:E24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0:F24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0:G24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5:D246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5:E246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5:F246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5:G246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4:D26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4:E267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4:F26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4:G26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8:D291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8:E29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8:F29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8:G29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2:D31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2:E31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2:F31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2:G31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7:D3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7:E3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7:F3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7:G3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6:D33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6:E33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6:F33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6:G33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1:D3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1:E3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1:F3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1:G3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0:D3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0:E3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0:F3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0:G3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5:D3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5:E3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5:F3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5:G3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4:D38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4:E38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4:F38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4:G38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9:D39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9:E39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9:F39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9:G39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2026-06-09T05:45:36Z</dcterms:modified>
</cp:coreProperties>
</file>