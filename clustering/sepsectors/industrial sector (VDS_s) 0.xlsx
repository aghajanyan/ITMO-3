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C134" i="1" l="1"/>
  <c r="E133" i="1"/>
  <c r="F133" i="1"/>
  <c r="G133" i="1"/>
  <c r="E134" i="1"/>
  <c r="F134" i="1"/>
  <c r="G134" i="1"/>
  <c r="E135" i="1"/>
  <c r="F135" i="1"/>
  <c r="G135" i="1"/>
  <c r="E132" i="1"/>
  <c r="F132" i="1"/>
  <c r="G132" i="1"/>
  <c r="D133" i="1"/>
  <c r="D134" i="1"/>
  <c r="D135" i="1"/>
  <c r="D132" i="1"/>
  <c r="C135" i="1"/>
  <c r="C133" i="1"/>
  <c r="C132" i="1"/>
  <c r="G130" i="1"/>
  <c r="F130" i="1"/>
  <c r="E130" i="1"/>
  <c r="D130" i="1"/>
  <c r="C130" i="1"/>
  <c r="E109" i="1"/>
  <c r="E110" i="1"/>
  <c r="D109" i="1"/>
  <c r="D110" i="1"/>
  <c r="G106" i="1"/>
  <c r="G109" i="1" s="1"/>
  <c r="F106" i="1"/>
  <c r="F109" i="1" s="1"/>
  <c r="E106" i="1"/>
  <c r="E108" i="1" s="1"/>
  <c r="D106" i="1"/>
  <c r="D111" i="1" s="1"/>
  <c r="C106" i="1"/>
  <c r="F85" i="1"/>
  <c r="F86" i="1"/>
  <c r="E86" i="1"/>
  <c r="F84" i="1"/>
  <c r="D85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D84" i="1" l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277" i="1" l="1"/>
  <c r="F277" i="1"/>
  <c r="E277" i="1"/>
  <c r="D277" i="1"/>
  <c r="G276" i="1"/>
  <c r="F276" i="1"/>
  <c r="E276" i="1"/>
  <c r="E279" i="1" s="1"/>
  <c r="D276" i="1"/>
  <c r="G266" i="1"/>
  <c r="F266" i="1"/>
  <c r="E266" i="1"/>
  <c r="D266" i="1"/>
  <c r="G265" i="1"/>
  <c r="F265" i="1"/>
  <c r="E265" i="1"/>
  <c r="E268" i="1" s="1"/>
  <c r="D265" i="1"/>
  <c r="D268" i="1" s="1"/>
  <c r="G255" i="1"/>
  <c r="F255" i="1"/>
  <c r="E255" i="1"/>
  <c r="D255" i="1"/>
  <c r="G254" i="1"/>
  <c r="F254" i="1"/>
  <c r="E254" i="1"/>
  <c r="E257" i="1" s="1"/>
  <c r="D254" i="1"/>
  <c r="D257" i="1" s="1"/>
  <c r="G244" i="1"/>
  <c r="F244" i="1"/>
  <c r="E244" i="1"/>
  <c r="D244" i="1"/>
  <c r="G243" i="1"/>
  <c r="F243" i="1"/>
  <c r="E243" i="1"/>
  <c r="E246" i="1" s="1"/>
  <c r="D243" i="1"/>
  <c r="G233" i="1"/>
  <c r="F233" i="1"/>
  <c r="E233" i="1"/>
  <c r="D233" i="1"/>
  <c r="G232" i="1"/>
  <c r="F232" i="1"/>
  <c r="E232" i="1"/>
  <c r="E235" i="1" s="1"/>
  <c r="D232" i="1"/>
  <c r="G222" i="1"/>
  <c r="F222" i="1"/>
  <c r="E222" i="1"/>
  <c r="D222" i="1"/>
  <c r="G221" i="1"/>
  <c r="F221" i="1"/>
  <c r="E221" i="1"/>
  <c r="E224" i="1" s="1"/>
  <c r="D221" i="1"/>
  <c r="G211" i="1"/>
  <c r="F211" i="1"/>
  <c r="E211" i="1"/>
  <c r="D211" i="1"/>
  <c r="G210" i="1"/>
  <c r="F210" i="1"/>
  <c r="E210" i="1"/>
  <c r="E213" i="1" s="1"/>
  <c r="D210" i="1"/>
  <c r="G200" i="1"/>
  <c r="F200" i="1"/>
  <c r="E200" i="1"/>
  <c r="D200" i="1"/>
  <c r="G199" i="1"/>
  <c r="F199" i="1"/>
  <c r="E199" i="1"/>
  <c r="E202" i="1" s="1"/>
  <c r="D199" i="1"/>
  <c r="G189" i="1"/>
  <c r="F189" i="1"/>
  <c r="E189" i="1"/>
  <c r="D189" i="1"/>
  <c r="G188" i="1"/>
  <c r="F188" i="1"/>
  <c r="E188" i="1"/>
  <c r="E191" i="1" s="1"/>
  <c r="D188" i="1"/>
  <c r="G178" i="1"/>
  <c r="F178" i="1"/>
  <c r="E178" i="1"/>
  <c r="D178" i="1"/>
  <c r="G177" i="1"/>
  <c r="G180" i="1" s="1"/>
  <c r="F177" i="1"/>
  <c r="E177" i="1"/>
  <c r="E180" i="1" s="1"/>
  <c r="D177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G128" i="1" l="1"/>
  <c r="F104" i="1"/>
  <c r="F128" i="1"/>
  <c r="F152" i="1"/>
  <c r="F180" i="1"/>
  <c r="F191" i="1"/>
  <c r="F202" i="1"/>
  <c r="F213" i="1"/>
  <c r="F224" i="1"/>
  <c r="F235" i="1"/>
  <c r="F246" i="1"/>
  <c r="F257" i="1"/>
  <c r="F268" i="1"/>
  <c r="F279" i="1"/>
  <c r="F80" i="1"/>
  <c r="G191" i="1"/>
  <c r="G202" i="1"/>
  <c r="G213" i="1"/>
  <c r="G224" i="1"/>
  <c r="G235" i="1"/>
  <c r="G246" i="1"/>
  <c r="G257" i="1"/>
  <c r="G268" i="1"/>
  <c r="G279" i="1"/>
  <c r="D80" i="1"/>
  <c r="D279" i="1"/>
  <c r="D104" i="1"/>
  <c r="D128" i="1"/>
  <c r="D152" i="1"/>
  <c r="D180" i="1"/>
  <c r="D191" i="1"/>
  <c r="D202" i="1"/>
  <c r="D213" i="1"/>
  <c r="D224" i="1"/>
  <c r="D235" i="1"/>
  <c r="D24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<sst xmlns="http://schemas.openxmlformats.org/spreadsheetml/2006/main" count="415" uniqueCount="44">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</sst>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 Производство кокса и нефтепродуктов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Sheet1!$C$115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Sheet1!$C$116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Sheet1!$C$117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 Производство химических веществ и химических продуктов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Sheet1!$C$139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Sheet1!$C$140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Sheet1!$C$141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Производ. изд. из дерева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Sheet1!$C$91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Sheet1!$C$92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Sheet1!$C$93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582634</xdr:colOff>
      <xdr:row>74</xdr:row>
      <xdr:rowOff>149678</xdr:rowOff>
    </xdr:from>
    <xdr:to>
      <xdr:col>19</xdr:col>
      <xdr:colOff>574192</xdr:colOff>
      <xdr:row>97</xdr:row>
      <xdr:rowOff>94957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162049</xdr:colOff>
      <xdr:row>74</xdr:row>
      <xdr:rowOff>85353</xdr:rowOff>
    </xdr:from>
    <xdr:to>
      <xdr:col>29</xdr:col>
      <xdr:colOff>153609</xdr:colOff>
      <xdr:row>97</xdr:row>
      <xdr:rowOff>30632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1">
          <cell r="C41">
            <v>0.80558451044020529</v>
          </cell>
          <cell r="D41">
            <v>0.75</v>
          </cell>
          <cell r="E41">
            <v>0.80890079918421609</v>
          </cell>
          <cell r="F41">
            <v>0.27164901806536035</v>
          </cell>
          <cell r="G41">
            <v>0.46444703398099701</v>
          </cell>
        </row>
        <row r="42">
          <cell r="C42">
            <v>0.94055185443048506</v>
          </cell>
          <cell r="D42">
            <v>0.5</v>
          </cell>
          <cell r="E42">
            <v>0.79155969555065653</v>
          </cell>
          <cell r="F42">
            <v>0.13278607396570202</v>
          </cell>
          <cell r="G42">
            <v>1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9"/>
  <sheetViews>
    <sheetView tabSelected="1" topLeftCell="A36" zoomScale="55" zoomScaleNormal="55" workbookViewId="0">
      <selection activeCell="X50" sqref="X50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2021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2022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2024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2023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71" spans="1:7" x14ac:dyDescent="0.25">
      <c r="A171" s="1" t="s">
        <v>0</v>
      </c>
      <c r="B171" s="1" t="s">
        <v>1</v>
      </c>
      <c r="C171" s="1" t="s">
        <v>2</v>
      </c>
      <c r="D171" s="1" t="s">
        <v>3</v>
      </c>
      <c r="E171" s="1" t="s">
        <v>4</v>
      </c>
      <c r="F171" s="1" t="s">
        <v>5</v>
      </c>
      <c r="G171" s="1" t="s">
        <v>6</v>
      </c>
    </row>
    <row r="172" spans="1:7" x14ac:dyDescent="0.25">
      <c r="A172" s="2" t="s">
        <v>19</v>
      </c>
      <c r="B172" s="8" t="s">
        <v>20</v>
      </c>
      <c r="C172" s="2">
        <v>2022</v>
      </c>
      <c r="D172" s="3">
        <v>327266.01547195681</v>
      </c>
      <c r="E172" s="3">
        <v>2736.7203125999999</v>
      </c>
      <c r="F172" s="4">
        <v>6.5575458761258591E-4</v>
      </c>
      <c r="G172" s="4">
        <v>9.6186040198574876E-4</v>
      </c>
    </row>
    <row r="173" spans="1:7" x14ac:dyDescent="0.25">
      <c r="A173" s="2" t="s">
        <v>19</v>
      </c>
      <c r="B173" s="8" t="s">
        <v>20</v>
      </c>
      <c r="C173" s="2">
        <v>2023</v>
      </c>
      <c r="D173" s="3">
        <v>323997.44760210218</v>
      </c>
      <c r="E173" s="3">
        <v>2594.2840083999999</v>
      </c>
      <c r="F173" s="4">
        <v>4.4144095106468531E-4</v>
      </c>
      <c r="G173" s="4">
        <v>4.2813564143465432E-3</v>
      </c>
    </row>
    <row r="174" spans="1:7" x14ac:dyDescent="0.25">
      <c r="A174" s="2" t="s">
        <v>19</v>
      </c>
      <c r="B174" s="8" t="s">
        <v>20</v>
      </c>
      <c r="C174" s="2">
        <v>2024</v>
      </c>
      <c r="D174" s="3">
        <v>321762.90970591619</v>
      </c>
      <c r="E174" s="3">
        <v>2793.945984</v>
      </c>
      <c r="F174" s="4">
        <v>3.0877619142976242E-4</v>
      </c>
      <c r="G174" s="4">
        <v>1.0062327675981299E-3</v>
      </c>
    </row>
    <row r="175" spans="1:7" x14ac:dyDescent="0.25">
      <c r="A175" s="2" t="s">
        <v>19</v>
      </c>
      <c r="B175" s="8" t="s">
        <v>20</v>
      </c>
      <c r="C175" s="2">
        <v>2021</v>
      </c>
      <c r="D175" s="3">
        <v>297602.00445720641</v>
      </c>
      <c r="E175" s="3">
        <v>3256.4356082999998</v>
      </c>
      <c r="F175" s="4">
        <v>3.8592436982227681E-4</v>
      </c>
      <c r="G175" s="4">
        <v>2.369477916386043E-3</v>
      </c>
    </row>
    <row r="177" spans="1:7" x14ac:dyDescent="0.25">
      <c r="B177" s="7" t="s">
        <v>40</v>
      </c>
      <c r="D177" s="3">
        <f>AVERAGE(D172:D173)</f>
        <v>325631.7315370295</v>
      </c>
      <c r="E177" s="3">
        <f t="shared" ref="E177:G177" si="25">AVERAGE(E172:E173)</f>
        <v>2665.5021605000002</v>
      </c>
      <c r="F177" s="4">
        <f t="shared" si="25"/>
        <v>5.4859776933863561E-4</v>
      </c>
      <c r="G177" s="4">
        <f t="shared" si="25"/>
        <v>2.6216084081661459E-3</v>
      </c>
    </row>
    <row r="178" spans="1:7" x14ac:dyDescent="0.25">
      <c r="B178" s="7" t="s">
        <v>41</v>
      </c>
      <c r="D178" s="3">
        <f>AVERAGE(D174:D175)</f>
        <v>309682.45708156133</v>
      </c>
      <c r="E178" s="3">
        <f t="shared" ref="E178:G178" si="26">AVERAGE(E174:E175)</f>
        <v>3025.1907961500001</v>
      </c>
      <c r="F178" s="4">
        <f t="shared" si="26"/>
        <v>3.4735028062601961E-4</v>
      </c>
      <c r="G178" s="4">
        <f t="shared" si="26"/>
        <v>1.6878553419920864E-3</v>
      </c>
    </row>
    <row r="180" spans="1:7" x14ac:dyDescent="0.25">
      <c r="C180" s="7" t="s">
        <v>42</v>
      </c>
      <c r="D180" s="3">
        <f>D177/D178</f>
        <v>1.0515020276116822</v>
      </c>
      <c r="E180" s="3">
        <f t="shared" ref="E180:G180" si="27">E177/E178</f>
        <v>0.88110216515673767</v>
      </c>
      <c r="F180" s="3">
        <f t="shared" si="27"/>
        <v>1.5793790877321685</v>
      </c>
      <c r="G180" s="3">
        <f t="shared" si="27"/>
        <v>1.5532186573951297</v>
      </c>
    </row>
    <row r="182" spans="1:7" x14ac:dyDescent="0.25">
      <c r="A182" s="1" t="s">
        <v>0</v>
      </c>
      <c r="B182" s="1" t="s">
        <v>1</v>
      </c>
      <c r="C182" s="1" t="s">
        <v>2</v>
      </c>
      <c r="D182" s="1" t="s">
        <v>3</v>
      </c>
      <c r="E182" s="1" t="s">
        <v>4</v>
      </c>
      <c r="F182" s="1" t="s">
        <v>5</v>
      </c>
      <c r="G182" s="1" t="s">
        <v>6</v>
      </c>
    </row>
    <row r="183" spans="1:7" x14ac:dyDescent="0.25">
      <c r="A183" s="2" t="s">
        <v>21</v>
      </c>
      <c r="B183" s="8" t="s">
        <v>22</v>
      </c>
      <c r="C183" s="2">
        <v>2024</v>
      </c>
      <c r="D183" s="3">
        <v>589836.07301855378</v>
      </c>
      <c r="E183" s="3">
        <v>3459.2387039999999</v>
      </c>
      <c r="F183" s="4">
        <v>2.6129124854981389E-3</v>
      </c>
      <c r="G183" s="4">
        <v>2.2962786554205951E-3</v>
      </c>
    </row>
    <row r="184" spans="1:7" x14ac:dyDescent="0.25">
      <c r="A184" s="2" t="s">
        <v>21</v>
      </c>
      <c r="B184" s="8" t="s">
        <v>22</v>
      </c>
      <c r="C184" s="2">
        <v>2022</v>
      </c>
      <c r="D184" s="3">
        <v>585427.26654459862</v>
      </c>
      <c r="E184" s="3">
        <v>4854.6591208600003</v>
      </c>
      <c r="F184" s="4">
        <v>3.7612999688359748E-4</v>
      </c>
      <c r="G184" s="4">
        <v>2.0756040556386131E-3</v>
      </c>
    </row>
    <row r="185" spans="1:7" x14ac:dyDescent="0.25">
      <c r="A185" s="2" t="s">
        <v>21</v>
      </c>
      <c r="B185" s="8" t="s">
        <v>22</v>
      </c>
      <c r="C185" s="2">
        <v>2023</v>
      </c>
      <c r="D185" s="3">
        <v>575669.32501484314</v>
      </c>
      <c r="E185" s="3">
        <v>4774.9529707199999</v>
      </c>
      <c r="F185" s="4">
        <v>2.8738600116371028E-4</v>
      </c>
      <c r="G185" s="4">
        <v>1.316480132589062E-3</v>
      </c>
    </row>
    <row r="186" spans="1:7" x14ac:dyDescent="0.25">
      <c r="A186" s="2" t="s">
        <v>21</v>
      </c>
      <c r="B186" s="8" t="s">
        <v>22</v>
      </c>
      <c r="C186" s="2">
        <v>2021</v>
      </c>
      <c r="D186" s="3">
        <v>532258.74860418728</v>
      </c>
      <c r="E186" s="3">
        <v>5998.8555937799993</v>
      </c>
      <c r="F186" s="4">
        <v>3.3561812091085249E-3</v>
      </c>
      <c r="G186" s="4">
        <v>1.7434020366891251E-3</v>
      </c>
    </row>
    <row r="188" spans="1:7" x14ac:dyDescent="0.25">
      <c r="B188" s="7" t="s">
        <v>40</v>
      </c>
      <c r="D188" s="3">
        <f>AVERAGE(D183:D184)</f>
        <v>587631.66978157614</v>
      </c>
      <c r="E188" s="3">
        <f t="shared" ref="E188:G188" si="28">AVERAGE(E183:E184)</f>
        <v>4156.9489124299998</v>
      </c>
      <c r="F188" s="4">
        <f t="shared" si="28"/>
        <v>1.4945212411908682E-3</v>
      </c>
      <c r="G188" s="4">
        <f t="shared" si="28"/>
        <v>2.1859413555296043E-3</v>
      </c>
    </row>
    <row r="189" spans="1:7" x14ac:dyDescent="0.25">
      <c r="B189" s="7" t="s">
        <v>41</v>
      </c>
      <c r="D189" s="3">
        <f>AVERAGE(D185:D186)</f>
        <v>553964.03680951521</v>
      </c>
      <c r="E189" s="3">
        <f t="shared" ref="E189:G189" si="29">AVERAGE(E185:E186)</f>
        <v>5386.9042822499996</v>
      </c>
      <c r="F189" s="4">
        <f t="shared" si="29"/>
        <v>1.8217836051361176E-3</v>
      </c>
      <c r="G189" s="4">
        <f t="shared" si="29"/>
        <v>1.5299410846390934E-3</v>
      </c>
    </row>
    <row r="191" spans="1:7" x14ac:dyDescent="0.25">
      <c r="C191" s="7" t="s">
        <v>42</v>
      </c>
      <c r="D191" s="3">
        <f>D188/D189</f>
        <v>1.0607758459664012</v>
      </c>
      <c r="E191" s="3">
        <f t="shared" ref="E191:G191" si="30">E188/E189</f>
        <v>0.77167677289668257</v>
      </c>
      <c r="F191" s="3">
        <f t="shared" si="30"/>
        <v>0.82036156049346076</v>
      </c>
      <c r="G191" s="3">
        <f t="shared" si="30"/>
        <v>1.4287748577228767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23</v>
      </c>
      <c r="B194" s="8" t="s">
        <v>24</v>
      </c>
      <c r="C194" s="2">
        <v>2021</v>
      </c>
      <c r="D194" s="3">
        <v>2688475.9724428668</v>
      </c>
      <c r="E194" s="3">
        <v>22918.622383440001</v>
      </c>
      <c r="F194" s="4">
        <v>1.411209606183382E-2</v>
      </c>
      <c r="G194" s="4">
        <v>6.7540592802753808E-4</v>
      </c>
    </row>
    <row r="195" spans="1:7" x14ac:dyDescent="0.25">
      <c r="A195" s="2" t="s">
        <v>23</v>
      </c>
      <c r="B195" s="8" t="s">
        <v>24</v>
      </c>
      <c r="C195" s="2">
        <v>2022</v>
      </c>
      <c r="D195" s="3">
        <v>2199098.9702055152</v>
      </c>
      <c r="E195" s="3">
        <v>27186.587841839999</v>
      </c>
      <c r="F195" s="4">
        <v>1.428164445640567E-2</v>
      </c>
      <c r="G195" s="4">
        <v>1.063284111568874E-3</v>
      </c>
    </row>
    <row r="196" spans="1:7" x14ac:dyDescent="0.25">
      <c r="A196" s="2" t="s">
        <v>23</v>
      </c>
      <c r="B196" s="8" t="s">
        <v>24</v>
      </c>
      <c r="C196" s="2">
        <v>2023</v>
      </c>
      <c r="D196" s="3">
        <v>2110825.0242093089</v>
      </c>
      <c r="E196" s="3">
        <v>36820.330575920001</v>
      </c>
      <c r="F196" s="4">
        <v>1.1388913987487259E-2</v>
      </c>
      <c r="G196" s="4">
        <v>1.346627653376551E-3</v>
      </c>
    </row>
    <row r="197" spans="1:7" x14ac:dyDescent="0.25">
      <c r="A197" s="2" t="s">
        <v>23</v>
      </c>
      <c r="B197" s="8" t="s">
        <v>24</v>
      </c>
      <c r="C197" s="2">
        <v>2024</v>
      </c>
      <c r="D197" s="3">
        <v>2060147.693651289</v>
      </c>
      <c r="E197" s="3">
        <v>24111.565200000001</v>
      </c>
      <c r="F197" s="4">
        <v>1.6816288641435851E-2</v>
      </c>
      <c r="G197" s="4">
        <v>4.7603910840263489E-4</v>
      </c>
    </row>
    <row r="199" spans="1:7" x14ac:dyDescent="0.25">
      <c r="B199" s="7" t="s">
        <v>40</v>
      </c>
      <c r="D199" s="3">
        <f>AVERAGE(D194:D195)</f>
        <v>2443787.471324191</v>
      </c>
      <c r="E199" s="3">
        <f t="shared" ref="E199:G199" si="31">AVERAGE(E194:E195)</f>
        <v>25052.605112639998</v>
      </c>
      <c r="F199" s="4">
        <f t="shared" si="31"/>
        <v>1.4196870259119745E-2</v>
      </c>
      <c r="G199" s="4">
        <f t="shared" si="31"/>
        <v>8.6934501979820604E-4</v>
      </c>
    </row>
    <row r="200" spans="1:7" x14ac:dyDescent="0.25">
      <c r="B200" s="7" t="s">
        <v>41</v>
      </c>
      <c r="D200" s="3">
        <f>AVERAGE(D196:D197)</f>
        <v>2085486.3589302991</v>
      </c>
      <c r="E200" s="3">
        <f t="shared" ref="E200:G200" si="32">AVERAGE(E196:E197)</f>
        <v>30465.947887959999</v>
      </c>
      <c r="F200" s="4">
        <f t="shared" si="32"/>
        <v>1.4102601314461555E-2</v>
      </c>
      <c r="G200" s="4">
        <f t="shared" si="32"/>
        <v>9.1133338088959293E-4</v>
      </c>
    </row>
    <row r="202" spans="1:7" x14ac:dyDescent="0.25">
      <c r="C202" s="7" t="s">
        <v>42</v>
      </c>
      <c r="D202" s="3">
        <f>D199/D200</f>
        <v>1.1718069796331221</v>
      </c>
      <c r="E202" s="3">
        <f t="shared" ref="E202:G202" si="33">E199/E200</f>
        <v>0.82231497292558131</v>
      </c>
      <c r="F202" s="3">
        <f t="shared" si="33"/>
        <v>1.0066845075285169</v>
      </c>
      <c r="G202" s="3">
        <f t="shared" si="33"/>
        <v>0.95392645329154935</v>
      </c>
    </row>
    <row r="204" spans="1:7" x14ac:dyDescent="0.25">
      <c r="A204" s="1" t="s">
        <v>0</v>
      </c>
      <c r="B204" s="1" t="s">
        <v>1</v>
      </c>
      <c r="C204" s="1" t="s">
        <v>2</v>
      </c>
      <c r="D204" s="1" t="s">
        <v>3</v>
      </c>
      <c r="E204" s="1" t="s">
        <v>4</v>
      </c>
      <c r="F204" s="1" t="s">
        <v>5</v>
      </c>
      <c r="G204" s="1" t="s">
        <v>6</v>
      </c>
    </row>
    <row r="205" spans="1:7" x14ac:dyDescent="0.25">
      <c r="A205" s="2" t="s">
        <v>25</v>
      </c>
      <c r="B205" s="8" t="s">
        <v>26</v>
      </c>
      <c r="C205" s="2">
        <v>2024</v>
      </c>
      <c r="D205" s="3">
        <v>1079590.799601601</v>
      </c>
      <c r="E205" s="3">
        <v>29824.255583999999</v>
      </c>
      <c r="F205" s="4">
        <v>1.7700063980245699E-2</v>
      </c>
      <c r="G205" s="4">
        <v>1.8406361575525849E-2</v>
      </c>
    </row>
    <row r="206" spans="1:7" x14ac:dyDescent="0.25">
      <c r="A206" s="2" t="s">
        <v>25</v>
      </c>
      <c r="B206" s="8" t="s">
        <v>26</v>
      </c>
      <c r="C206" s="2">
        <v>2023</v>
      </c>
      <c r="D206" s="3">
        <v>917032.53729645221</v>
      </c>
      <c r="E206" s="3">
        <v>21948.7441788</v>
      </c>
      <c r="F206" s="4">
        <v>5.1385668600091312E-2</v>
      </c>
      <c r="G206" s="4">
        <v>1.045825844659099E-3</v>
      </c>
    </row>
    <row r="207" spans="1:7" x14ac:dyDescent="0.25">
      <c r="A207" s="2" t="s">
        <v>25</v>
      </c>
      <c r="B207" s="8" t="s">
        <v>26</v>
      </c>
      <c r="C207" s="2">
        <v>2022</v>
      </c>
      <c r="D207" s="3">
        <v>802566.08061441511</v>
      </c>
      <c r="E207" s="3">
        <v>12046.641059559999</v>
      </c>
      <c r="F207" s="4">
        <v>1.264319260007594E-2</v>
      </c>
      <c r="G207" s="4">
        <v>9.2646432850616075E-4</v>
      </c>
    </row>
    <row r="208" spans="1:7" x14ac:dyDescent="0.25">
      <c r="A208" s="2" t="s">
        <v>25</v>
      </c>
      <c r="B208" s="8" t="s">
        <v>26</v>
      </c>
      <c r="C208" s="2">
        <v>2021</v>
      </c>
      <c r="D208" s="3">
        <v>774599.50938466226</v>
      </c>
      <c r="E208" s="3">
        <v>31768.917493320001</v>
      </c>
      <c r="F208" s="4">
        <v>4.5024994770462897E-3</v>
      </c>
      <c r="G208" s="4">
        <v>6.1504127372638605E-4</v>
      </c>
    </row>
    <row r="210" spans="1:7" x14ac:dyDescent="0.25">
      <c r="B210" s="7" t="s">
        <v>40</v>
      </c>
      <c r="D210" s="3">
        <f>AVERAGE(D205:D206)</f>
        <v>998311.66844902653</v>
      </c>
      <c r="E210" s="3">
        <f t="shared" ref="E210:G210" si="34">AVERAGE(E205:E206)</f>
        <v>25886.499881399999</v>
      </c>
      <c r="F210" s="4">
        <f t="shared" si="34"/>
        <v>3.4542866290168506E-2</v>
      </c>
      <c r="G210" s="4">
        <f t="shared" si="34"/>
        <v>9.7260937100924743E-3</v>
      </c>
    </row>
    <row r="211" spans="1:7" x14ac:dyDescent="0.25">
      <c r="B211" s="7" t="s">
        <v>41</v>
      </c>
      <c r="D211" s="3">
        <f>AVERAGE(D207:D208)</f>
        <v>788582.79499953869</v>
      </c>
      <c r="E211" s="3">
        <f t="shared" ref="E211:G211" si="35">AVERAGE(E207:E208)</f>
        <v>21907.77927644</v>
      </c>
      <c r="F211" s="4">
        <f t="shared" si="35"/>
        <v>8.5728460385611147E-3</v>
      </c>
      <c r="G211" s="4">
        <f t="shared" si="35"/>
        <v>7.7075280111627334E-4</v>
      </c>
    </row>
    <row r="213" spans="1:7" x14ac:dyDescent="0.25">
      <c r="C213" s="7" t="s">
        <v>42</v>
      </c>
      <c r="D213" s="3">
        <f>D210/D211</f>
        <v>1.2659566944389276</v>
      </c>
      <c r="E213" s="3">
        <f t="shared" ref="E213:G213" si="36">E210/E211</f>
        <v>1.1816122280015293</v>
      </c>
      <c r="F213" s="3">
        <f t="shared" si="36"/>
        <v>4.0293347314057506</v>
      </c>
      <c r="G213" s="3">
        <f t="shared" si="36"/>
        <v>12.618953438776055</v>
      </c>
    </row>
    <row r="215" spans="1:7" x14ac:dyDescent="0.25">
      <c r="A215" s="1" t="s">
        <v>0</v>
      </c>
      <c r="B215" s="1" t="s">
        <v>1</v>
      </c>
      <c r="C215" s="1" t="s">
        <v>2</v>
      </c>
      <c r="D215" s="1" t="s">
        <v>3</v>
      </c>
      <c r="E215" s="1" t="s">
        <v>4</v>
      </c>
      <c r="F215" s="1" t="s">
        <v>5</v>
      </c>
      <c r="G215" s="1" t="s">
        <v>6</v>
      </c>
    </row>
    <row r="216" spans="1:7" x14ac:dyDescent="0.25">
      <c r="A216" s="2" t="s">
        <v>27</v>
      </c>
      <c r="B216" s="8" t="s">
        <v>28</v>
      </c>
      <c r="C216" s="2">
        <v>2024</v>
      </c>
      <c r="D216" s="3">
        <v>702640.28510284843</v>
      </c>
      <c r="E216" s="3">
        <v>24692.815392</v>
      </c>
      <c r="F216" s="4">
        <v>1.2473785395074479E-2</v>
      </c>
      <c r="G216" s="4">
        <v>1.210844187888221E-3</v>
      </c>
    </row>
    <row r="217" spans="1:7" x14ac:dyDescent="0.25">
      <c r="A217" s="2" t="s">
        <v>27</v>
      </c>
      <c r="B217" s="8" t="s">
        <v>28</v>
      </c>
      <c r="C217" s="2">
        <v>2023</v>
      </c>
      <c r="D217" s="3">
        <v>648523.59030139784</v>
      </c>
      <c r="E217" s="3">
        <v>20365.73930736</v>
      </c>
      <c r="F217" s="4">
        <v>2.3285205202868371E-2</v>
      </c>
      <c r="G217" s="4">
        <v>1.5783067550306741E-3</v>
      </c>
    </row>
    <row r="218" spans="1:7" x14ac:dyDescent="0.25">
      <c r="A218" s="2" t="s">
        <v>27</v>
      </c>
      <c r="B218" s="8" t="s">
        <v>28</v>
      </c>
      <c r="C218" s="2">
        <v>2022</v>
      </c>
      <c r="D218" s="3">
        <v>525586.90611574077</v>
      </c>
      <c r="E218" s="3">
        <v>57596.7124071</v>
      </c>
      <c r="F218" s="4">
        <v>6.9328647193893768E-4</v>
      </c>
      <c r="G218" s="4">
        <v>1.2640594598421069E-2</v>
      </c>
    </row>
    <row r="219" spans="1:7" x14ac:dyDescent="0.25">
      <c r="A219" s="2" t="s">
        <v>27</v>
      </c>
      <c r="B219" s="8" t="s">
        <v>28</v>
      </c>
      <c r="C219" s="2">
        <v>2021</v>
      </c>
      <c r="D219" s="3">
        <v>489831.22166003252</v>
      </c>
      <c r="E219" s="3">
        <v>28233.8392518</v>
      </c>
      <c r="F219" s="4">
        <v>1.7629362658082969E-3</v>
      </c>
      <c r="G219" s="4">
        <v>1.091290811894655E-3</v>
      </c>
    </row>
    <row r="221" spans="1:7" x14ac:dyDescent="0.25">
      <c r="B221" s="7" t="s">
        <v>40</v>
      </c>
      <c r="D221" s="3">
        <f>AVERAGE(D216:D217)</f>
        <v>675581.93770212308</v>
      </c>
      <c r="E221" s="3">
        <f t="shared" ref="E221:G221" si="37">AVERAGE(E216:E217)</f>
        <v>22529.27734968</v>
      </c>
      <c r="F221" s="4">
        <f t="shared" si="37"/>
        <v>1.7879495298971426E-2</v>
      </c>
      <c r="G221" s="4">
        <f t="shared" si="37"/>
        <v>1.3945754714594475E-3</v>
      </c>
    </row>
    <row r="222" spans="1:7" x14ac:dyDescent="0.25">
      <c r="B222" s="7" t="s">
        <v>41</v>
      </c>
      <c r="D222" s="3">
        <f>AVERAGE(D218:D219)</f>
        <v>507709.06388788664</v>
      </c>
      <c r="E222" s="3">
        <f t="shared" ref="E222:G222" si="38">AVERAGE(E218:E219)</f>
        <v>42915.275829450002</v>
      </c>
      <c r="F222" s="4">
        <f t="shared" si="38"/>
        <v>1.2281113688736172E-3</v>
      </c>
      <c r="G222" s="4">
        <f t="shared" si="38"/>
        <v>6.8659427051578625E-3</v>
      </c>
    </row>
    <row r="224" spans="1:7" x14ac:dyDescent="0.25">
      <c r="C224" s="7" t="s">
        <v>42</v>
      </c>
      <c r="D224" s="3">
        <f>D221/D222</f>
        <v>1.3306477779394272</v>
      </c>
      <c r="E224" s="3">
        <f t="shared" ref="E224:G224" si="39">E221/E222</f>
        <v>0.52497104851926879</v>
      </c>
      <c r="F224" s="3">
        <f t="shared" si="39"/>
        <v>14.558529260558757</v>
      </c>
      <c r="G224" s="3">
        <f t="shared" si="39"/>
        <v>0.20311492992969613</v>
      </c>
    </row>
    <row r="226" spans="1:7" x14ac:dyDescent="0.25">
      <c r="A226" s="1" t="s">
        <v>0</v>
      </c>
      <c r="B226" s="1" t="s">
        <v>1</v>
      </c>
      <c r="C226" s="1" t="s">
        <v>2</v>
      </c>
      <c r="D226" s="1" t="s">
        <v>3</v>
      </c>
      <c r="E226" s="1" t="s">
        <v>4</v>
      </c>
      <c r="F226" s="1" t="s">
        <v>5</v>
      </c>
      <c r="G226" s="1" t="s">
        <v>6</v>
      </c>
    </row>
    <row r="227" spans="1:7" x14ac:dyDescent="0.25">
      <c r="A227" s="2" t="s">
        <v>29</v>
      </c>
      <c r="B227" s="8" t="s">
        <v>30</v>
      </c>
      <c r="C227" s="2">
        <v>2024</v>
      </c>
      <c r="D227" s="3">
        <v>333902.21266145178</v>
      </c>
      <c r="E227" s="3">
        <v>6590.0541599999997</v>
      </c>
      <c r="F227" s="4">
        <v>3.968817154607421E-3</v>
      </c>
      <c r="G227" s="4">
        <v>1.4273582237145071E-3</v>
      </c>
    </row>
    <row r="228" spans="1:7" x14ac:dyDescent="0.25">
      <c r="A228" s="2" t="s">
        <v>29</v>
      </c>
      <c r="B228" s="8" t="s">
        <v>30</v>
      </c>
      <c r="C228" s="2">
        <v>2023</v>
      </c>
      <c r="D228" s="3">
        <v>289865.32010952412</v>
      </c>
      <c r="E228" s="3">
        <v>5130.8202951200001</v>
      </c>
      <c r="F228" s="4">
        <v>7.1409024001186736E-3</v>
      </c>
      <c r="G228" s="4">
        <v>1.6292149323472839E-3</v>
      </c>
    </row>
    <row r="229" spans="1:7" x14ac:dyDescent="0.25">
      <c r="A229" s="2" t="s">
        <v>29</v>
      </c>
      <c r="B229" s="8" t="s">
        <v>30</v>
      </c>
      <c r="C229" s="2">
        <v>2022</v>
      </c>
      <c r="D229" s="3">
        <v>259818.50988372459</v>
      </c>
      <c r="E229" s="3">
        <v>45922.658233419999</v>
      </c>
      <c r="F229" s="4">
        <v>4.0433840100499702E-5</v>
      </c>
      <c r="G229" s="4">
        <v>1.5232724169502069E-4</v>
      </c>
    </row>
    <row r="230" spans="1:7" x14ac:dyDescent="0.25">
      <c r="A230" s="2" t="s">
        <v>29</v>
      </c>
      <c r="B230" s="8" t="s">
        <v>30</v>
      </c>
      <c r="C230" s="2">
        <v>2021</v>
      </c>
      <c r="D230" s="3">
        <v>234189.89306239539</v>
      </c>
      <c r="E230" s="3">
        <v>4733.3383234200001</v>
      </c>
      <c r="F230" s="4">
        <v>6.6356632156617178E-4</v>
      </c>
      <c r="G230" s="4">
        <v>3.1476572520248271E-3</v>
      </c>
    </row>
    <row r="232" spans="1:7" x14ac:dyDescent="0.25">
      <c r="B232" s="7" t="s">
        <v>40</v>
      </c>
      <c r="D232" s="3">
        <f>AVERAGE(D227:D228)</f>
        <v>311883.76638548798</v>
      </c>
      <c r="E232" s="3">
        <f t="shared" ref="E232:G232" si="40">AVERAGE(E227:E228)</f>
        <v>5860.4372275599999</v>
      </c>
      <c r="F232" s="4">
        <f t="shared" si="40"/>
        <v>5.5548597773630477E-3</v>
      </c>
      <c r="G232" s="4">
        <f t="shared" si="40"/>
        <v>1.5282865780308955E-3</v>
      </c>
    </row>
    <row r="233" spans="1:7" x14ac:dyDescent="0.25">
      <c r="B233" s="7" t="s">
        <v>41</v>
      </c>
      <c r="D233" s="3">
        <f>AVERAGE(D229:D230)</f>
        <v>247004.20147306001</v>
      </c>
      <c r="E233" s="3">
        <f t="shared" ref="E233:G233" si="41">AVERAGE(E229:E230)</f>
        <v>25327.99827842</v>
      </c>
      <c r="F233" s="4">
        <f t="shared" si="41"/>
        <v>3.5200008083333573E-4</v>
      </c>
      <c r="G233" s="4">
        <f t="shared" si="41"/>
        <v>1.6499922468599239E-3</v>
      </c>
    </row>
    <row r="235" spans="1:7" x14ac:dyDescent="0.25">
      <c r="C235" s="7" t="s">
        <v>42</v>
      </c>
      <c r="D235" s="3">
        <f>D232/D233</f>
        <v>1.2626658353400688</v>
      </c>
      <c r="E235" s="3">
        <f t="shared" ref="E235:G235" si="42">E232/E233</f>
        <v>0.23138177613322164</v>
      </c>
      <c r="F235" s="3">
        <f t="shared" si="42"/>
        <v>15.780848016319494</v>
      </c>
      <c r="G235" s="3">
        <f t="shared" si="42"/>
        <v>0.9262386419932308</v>
      </c>
    </row>
    <row r="237" spans="1:7" x14ac:dyDescent="0.25">
      <c r="A237" s="1" t="s">
        <v>0</v>
      </c>
      <c r="B237" s="1" t="s">
        <v>1</v>
      </c>
      <c r="C237" s="1" t="s">
        <v>2</v>
      </c>
      <c r="D237" s="1" t="s">
        <v>3</v>
      </c>
      <c r="E237" s="1" t="s">
        <v>4</v>
      </c>
      <c r="F237" s="1" t="s">
        <v>5</v>
      </c>
      <c r="G237" s="1" t="s">
        <v>6</v>
      </c>
    </row>
    <row r="238" spans="1:7" x14ac:dyDescent="0.25">
      <c r="A238" s="2" t="s">
        <v>31</v>
      </c>
      <c r="B238" s="8" t="s">
        <v>32</v>
      </c>
      <c r="C238" s="2">
        <v>2024</v>
      </c>
      <c r="D238" s="3">
        <v>615324.90182869229</v>
      </c>
      <c r="E238" s="3">
        <v>12188.037840000001</v>
      </c>
      <c r="F238" s="4">
        <v>3.5563801629943082E-3</v>
      </c>
      <c r="G238" s="4">
        <v>2.3262126662383252E-3</v>
      </c>
    </row>
    <row r="239" spans="1:7" x14ac:dyDescent="0.25">
      <c r="A239" s="2" t="s">
        <v>31</v>
      </c>
      <c r="B239" s="8" t="s">
        <v>32</v>
      </c>
      <c r="C239" s="2">
        <v>2023</v>
      </c>
      <c r="D239" s="3">
        <v>463470.71898289572</v>
      </c>
      <c r="E239" s="3">
        <v>9380.3853557600014</v>
      </c>
      <c r="F239" s="4">
        <v>2.4821681068467739E-3</v>
      </c>
      <c r="G239" s="4">
        <v>1.7821392198706289E-3</v>
      </c>
    </row>
    <row r="240" spans="1:7" x14ac:dyDescent="0.25">
      <c r="A240" s="2" t="s">
        <v>31</v>
      </c>
      <c r="B240" s="8" t="s">
        <v>32</v>
      </c>
      <c r="C240" s="2">
        <v>2022</v>
      </c>
      <c r="D240" s="3">
        <v>441905.15975913568</v>
      </c>
      <c r="E240" s="3">
        <v>8680.9984719799995</v>
      </c>
      <c r="F240" s="4">
        <v>5.3628300774693723E-2</v>
      </c>
      <c r="G240" s="4">
        <v>1.9809359137092151E-3</v>
      </c>
    </row>
    <row r="241" spans="1:7" x14ac:dyDescent="0.25">
      <c r="A241" s="2" t="s">
        <v>31</v>
      </c>
      <c r="B241" s="8" t="s">
        <v>32</v>
      </c>
      <c r="C241" s="2">
        <v>2021</v>
      </c>
      <c r="D241" s="3">
        <v>396416.47748978873</v>
      </c>
      <c r="E241" s="3">
        <v>10615.43888874</v>
      </c>
      <c r="F241" s="4">
        <v>5.7122249315871114E-3</v>
      </c>
      <c r="G241" s="4">
        <v>1.223257961926933E-3</v>
      </c>
    </row>
    <row r="243" spans="1:7" x14ac:dyDescent="0.25">
      <c r="B243" s="7" t="s">
        <v>40</v>
      </c>
      <c r="D243" s="3">
        <f>AVERAGE(D238:D239)</f>
        <v>539397.81040579407</v>
      </c>
      <c r="E243" s="3">
        <f t="shared" ref="E243:G243" si="43">AVERAGE(E238:E239)</f>
        <v>10784.211597880001</v>
      </c>
      <c r="F243" s="4">
        <f t="shared" si="43"/>
        <v>3.0192741349205411E-3</v>
      </c>
      <c r="G243" s="4">
        <f t="shared" si="43"/>
        <v>2.0541759430544771E-3</v>
      </c>
    </row>
    <row r="244" spans="1:7" x14ac:dyDescent="0.25">
      <c r="B244" s="7" t="s">
        <v>41</v>
      </c>
      <c r="D244" s="3">
        <f>AVERAGE(D240:D241)</f>
        <v>419160.81862446223</v>
      </c>
      <c r="E244" s="3">
        <f t="shared" ref="E244:G244" si="44">AVERAGE(E240:E241)</f>
        <v>9648.2186803599998</v>
      </c>
      <c r="F244" s="4">
        <f t="shared" si="44"/>
        <v>2.9670262853140415E-2</v>
      </c>
      <c r="G244" s="4">
        <f t="shared" si="44"/>
        <v>1.602096937818074E-3</v>
      </c>
    </row>
    <row r="246" spans="1:7" x14ac:dyDescent="0.25">
      <c r="C246" s="7" t="s">
        <v>42</v>
      </c>
      <c r="D246" s="3">
        <f>D243/D244</f>
        <v>1.2868516961482879</v>
      </c>
      <c r="E246" s="3">
        <f t="shared" ref="E246:G246" si="45">E243/E244</f>
        <v>1.1177412074865631</v>
      </c>
      <c r="F246" s="3">
        <f t="shared" si="45"/>
        <v>0.10176095000792922</v>
      </c>
      <c r="G246" s="3">
        <f t="shared" si="45"/>
        <v>1.2821795576565411</v>
      </c>
    </row>
    <row r="248" spans="1:7" x14ac:dyDescent="0.25">
      <c r="A248" s="1" t="s">
        <v>0</v>
      </c>
      <c r="B248" s="1" t="s">
        <v>1</v>
      </c>
      <c r="C248" s="1" t="s">
        <v>2</v>
      </c>
      <c r="D248" s="1" t="s">
        <v>3</v>
      </c>
      <c r="E248" s="1" t="s">
        <v>4</v>
      </c>
      <c r="F248" s="1" t="s">
        <v>5</v>
      </c>
      <c r="G248" s="1" t="s">
        <v>6</v>
      </c>
    </row>
    <row r="249" spans="1:7" x14ac:dyDescent="0.25">
      <c r="A249" s="2" t="s">
        <v>33</v>
      </c>
      <c r="B249" s="8" t="s">
        <v>34</v>
      </c>
      <c r="C249" s="2">
        <v>2021</v>
      </c>
      <c r="D249" s="3">
        <v>480752.63075950177</v>
      </c>
      <c r="E249" s="3">
        <v>13713.99982974</v>
      </c>
      <c r="F249" s="4">
        <v>1.8909555433829729E-4</v>
      </c>
      <c r="G249" s="4">
        <v>1.421912259449817E-2</v>
      </c>
    </row>
    <row r="250" spans="1:7" x14ac:dyDescent="0.25">
      <c r="A250" s="2" t="s">
        <v>33</v>
      </c>
      <c r="B250" s="8" t="s">
        <v>34</v>
      </c>
      <c r="C250" s="2">
        <v>2024</v>
      </c>
      <c r="D250" s="3">
        <v>430680.74778667098</v>
      </c>
      <c r="E250" s="3">
        <v>9650.7308639999992</v>
      </c>
      <c r="F250" s="4">
        <v>3.2382873836611008E-4</v>
      </c>
      <c r="G250" s="4">
        <v>1.307147425181787E-3</v>
      </c>
    </row>
    <row r="251" spans="1:7" x14ac:dyDescent="0.25">
      <c r="A251" s="2" t="s">
        <v>33</v>
      </c>
      <c r="B251" s="8" t="s">
        <v>34</v>
      </c>
      <c r="C251" s="2">
        <v>2023</v>
      </c>
      <c r="D251" s="3">
        <v>344818.33344279532</v>
      </c>
      <c r="E251" s="3">
        <v>7766.5175531200011</v>
      </c>
      <c r="F251" s="4">
        <v>5.6879237956854514E-4</v>
      </c>
      <c r="G251" s="4">
        <v>9.2862762115340628E-4</v>
      </c>
    </row>
    <row r="252" spans="1:7" x14ac:dyDescent="0.25">
      <c r="A252" s="2" t="s">
        <v>33</v>
      </c>
      <c r="B252" s="8" t="s">
        <v>34</v>
      </c>
      <c r="C252" s="2">
        <v>2022</v>
      </c>
      <c r="D252" s="3">
        <v>310794.74797233898</v>
      </c>
      <c r="E252" s="3">
        <v>8210.8821614400003</v>
      </c>
      <c r="F252" s="4">
        <v>1.515288413031857E-4</v>
      </c>
      <c r="G252" s="4">
        <v>1.134724744407487E-2</v>
      </c>
    </row>
    <row r="254" spans="1:7" x14ac:dyDescent="0.25">
      <c r="B254" s="7" t="s">
        <v>40</v>
      </c>
      <c r="D254" s="3">
        <f>AVERAGE(D249:D250)</f>
        <v>455716.68927308638</v>
      </c>
      <c r="E254" s="3">
        <f t="shared" ref="E254:G254" si="46">AVERAGE(E249:E250)</f>
        <v>11682.365346869999</v>
      </c>
      <c r="F254" s="4">
        <f t="shared" si="46"/>
        <v>2.5646214635220368E-4</v>
      </c>
      <c r="G254" s="4">
        <f t="shared" si="46"/>
        <v>7.7631350098399787E-3</v>
      </c>
    </row>
    <row r="255" spans="1:7" x14ac:dyDescent="0.25">
      <c r="B255" s="7" t="s">
        <v>41</v>
      </c>
      <c r="D255" s="3">
        <f>AVERAGE(D251:D252)</f>
        <v>327806.54070756712</v>
      </c>
      <c r="E255" s="3">
        <f t="shared" ref="E255:G255" si="47">AVERAGE(E251:E252)</f>
        <v>7988.6998572800003</v>
      </c>
      <c r="F255" s="4">
        <f t="shared" si="47"/>
        <v>3.6016061043586542E-4</v>
      </c>
      <c r="G255" s="4">
        <f t="shared" si="47"/>
        <v>6.1379375326141381E-3</v>
      </c>
    </row>
    <row r="257" spans="1:7" x14ac:dyDescent="0.25">
      <c r="C257" s="7" t="s">
        <v>42</v>
      </c>
      <c r="D257" s="3">
        <f>D254/D255</f>
        <v>1.3902001109844437</v>
      </c>
      <c r="E257" s="3">
        <f t="shared" ref="E257:G257" si="48">E254/E255</f>
        <v>1.462361279754929</v>
      </c>
      <c r="F257" s="3">
        <f t="shared" si="48"/>
        <v>0.71207716480109773</v>
      </c>
      <c r="G257" s="3">
        <f t="shared" si="48"/>
        <v>1.2647790839496653</v>
      </c>
    </row>
    <row r="259" spans="1:7" x14ac:dyDescent="0.25">
      <c r="A259" s="1" t="s">
        <v>0</v>
      </c>
      <c r="B259" s="1" t="s">
        <v>1</v>
      </c>
      <c r="C259" s="1" t="s">
        <v>2</v>
      </c>
      <c r="D259" s="1" t="s">
        <v>3</v>
      </c>
      <c r="E259" s="1" t="s">
        <v>4</v>
      </c>
      <c r="F259" s="1" t="s">
        <v>5</v>
      </c>
      <c r="G259" s="1" t="s">
        <v>6</v>
      </c>
    </row>
    <row r="260" spans="1:7" x14ac:dyDescent="0.25">
      <c r="A260" s="2" t="s">
        <v>35</v>
      </c>
      <c r="B260" s="8" t="s">
        <v>36</v>
      </c>
      <c r="C260" s="2">
        <v>2024</v>
      </c>
      <c r="D260" s="3">
        <v>624490.81179662514</v>
      </c>
      <c r="E260" s="3">
        <v>23490.718752000001</v>
      </c>
      <c r="F260" s="4">
        <v>1.927088927244758E-3</v>
      </c>
      <c r="G260" s="4">
        <v>1.8760825696850091E-3</v>
      </c>
    </row>
    <row r="261" spans="1:7" x14ac:dyDescent="0.25">
      <c r="A261" s="2" t="s">
        <v>35</v>
      </c>
      <c r="B261" s="8" t="s">
        <v>36</v>
      </c>
      <c r="C261" s="2">
        <v>2023</v>
      </c>
      <c r="D261" s="3">
        <v>615005.46689121344</v>
      </c>
      <c r="E261" s="3">
        <v>18304.5266156</v>
      </c>
      <c r="F261" s="4">
        <v>2.0544865338363899E-3</v>
      </c>
      <c r="G261" s="4">
        <v>2.397692315221963E-3</v>
      </c>
    </row>
    <row r="262" spans="1:7" x14ac:dyDescent="0.25">
      <c r="A262" s="2" t="s">
        <v>35</v>
      </c>
      <c r="B262" s="8" t="s">
        <v>36</v>
      </c>
      <c r="C262" s="2">
        <v>2021</v>
      </c>
      <c r="D262" s="3">
        <v>557880.96074185451</v>
      </c>
      <c r="E262" s="3">
        <v>17673.58753398</v>
      </c>
      <c r="F262" s="4">
        <v>1.2639185721094849E-3</v>
      </c>
      <c r="G262" s="4">
        <v>7.224852054202324E-4</v>
      </c>
    </row>
    <row r="263" spans="1:7" x14ac:dyDescent="0.25">
      <c r="A263" s="2" t="s">
        <v>35</v>
      </c>
      <c r="B263" s="8" t="s">
        <v>36</v>
      </c>
      <c r="C263" s="2">
        <v>2022</v>
      </c>
      <c r="D263" s="3">
        <v>528936.59684355662</v>
      </c>
      <c r="E263" s="3">
        <v>14840.029964359999</v>
      </c>
      <c r="F263" s="4">
        <v>3.348617336982791E-3</v>
      </c>
      <c r="G263" s="4">
        <v>9.7700369843055682E-4</v>
      </c>
    </row>
    <row r="265" spans="1:7" x14ac:dyDescent="0.25">
      <c r="B265" s="7" t="s">
        <v>40</v>
      </c>
      <c r="D265" s="3">
        <f>AVERAGE(D260:D261)</f>
        <v>619748.13934391923</v>
      </c>
      <c r="E265" s="3">
        <f t="shared" ref="E265:G265" si="49">AVERAGE(E260:E261)</f>
        <v>20897.6226838</v>
      </c>
      <c r="F265" s="4">
        <f t="shared" si="49"/>
        <v>1.9907877305405742E-3</v>
      </c>
      <c r="G265" s="4">
        <f t="shared" si="49"/>
        <v>2.1368874424534858E-3</v>
      </c>
    </row>
    <row r="266" spans="1:7" x14ac:dyDescent="0.25">
      <c r="B266" s="7" t="s">
        <v>41</v>
      </c>
      <c r="D266" s="3">
        <f>AVERAGE(D262:D263)</f>
        <v>543408.77879270562</v>
      </c>
      <c r="E266" s="3">
        <f t="shared" ref="E266:G266" si="50">AVERAGE(E262:E263)</f>
        <v>16256.808749169999</v>
      </c>
      <c r="F266" s="4">
        <f t="shared" si="50"/>
        <v>2.3062679545461382E-3</v>
      </c>
      <c r="G266" s="4">
        <f t="shared" si="50"/>
        <v>8.4974445192539461E-4</v>
      </c>
    </row>
    <row r="268" spans="1:7" x14ac:dyDescent="0.25">
      <c r="C268" s="7" t="s">
        <v>42</v>
      </c>
      <c r="D268" s="3">
        <f>D265/D266</f>
        <v>1.1404823836685474</v>
      </c>
      <c r="E268" s="3">
        <f t="shared" ref="E268:G268" si="51">E265/E266</f>
        <v>1.2854689383527957</v>
      </c>
      <c r="F268" s="3">
        <f t="shared" si="51"/>
        <v>0.8632074718882139</v>
      </c>
      <c r="G268" s="3">
        <f t="shared" si="51"/>
        <v>2.5147412702861627</v>
      </c>
    </row>
    <row r="270" spans="1:7" x14ac:dyDescent="0.25">
      <c r="A270" s="1" t="s">
        <v>0</v>
      </c>
      <c r="B270" s="1" t="s">
        <v>1</v>
      </c>
      <c r="C270" s="1" t="s">
        <v>2</v>
      </c>
      <c r="D270" s="1" t="s">
        <v>3</v>
      </c>
      <c r="E270" s="1" t="s">
        <v>4</v>
      </c>
      <c r="F270" s="1" t="s">
        <v>5</v>
      </c>
      <c r="G270" s="1" t="s">
        <v>6</v>
      </c>
    </row>
    <row r="271" spans="1:7" x14ac:dyDescent="0.25">
      <c r="A271" s="2" t="s">
        <v>37</v>
      </c>
      <c r="B271" s="8" t="s">
        <v>38</v>
      </c>
      <c r="C271" s="2">
        <v>2021</v>
      </c>
      <c r="D271" s="3">
        <v>496312.33844584553</v>
      </c>
      <c r="E271" s="3">
        <v>6058.6276942799996</v>
      </c>
      <c r="F271" s="4">
        <v>1.149126975828702E-3</v>
      </c>
      <c r="G271" s="4">
        <v>4.3326889923906344E-3</v>
      </c>
    </row>
    <row r="272" spans="1:7" x14ac:dyDescent="0.25">
      <c r="A272" s="5" t="s">
        <v>37</v>
      </c>
      <c r="B272" s="9" t="s">
        <v>38</v>
      </c>
      <c r="C272" s="5">
        <v>2023</v>
      </c>
      <c r="D272" s="3">
        <v>481190.63450056087</v>
      </c>
      <c r="E272" s="3">
        <v>5659.2905294400007</v>
      </c>
      <c r="F272" s="4">
        <v>2.7642536319032169E-4</v>
      </c>
      <c r="G272" s="4">
        <v>2.609783923120391E-3</v>
      </c>
    </row>
    <row r="273" spans="1:7" x14ac:dyDescent="0.25">
      <c r="A273" s="2" t="s">
        <v>37</v>
      </c>
      <c r="B273" s="8" t="s">
        <v>38</v>
      </c>
      <c r="C273" s="2">
        <v>2022</v>
      </c>
      <c r="D273" s="3">
        <v>463554.2380744408</v>
      </c>
      <c r="E273" s="3">
        <v>6405.1162323599992</v>
      </c>
      <c r="F273" s="4">
        <v>1.36542870460566E-3</v>
      </c>
      <c r="G273" s="4">
        <v>1.06191448730258E-3</v>
      </c>
    </row>
    <row r="274" spans="1:7" x14ac:dyDescent="0.25">
      <c r="A274" s="2" t="s">
        <v>37</v>
      </c>
      <c r="B274" s="8" t="s">
        <v>38</v>
      </c>
      <c r="C274" s="2">
        <v>2024</v>
      </c>
      <c r="D274" s="3">
        <v>463215.01884109463</v>
      </c>
      <c r="E274" s="3">
        <v>6600.4823040000001</v>
      </c>
      <c r="F274" s="4">
        <v>1.0184783005820781E-3</v>
      </c>
      <c r="G274" s="4">
        <v>1.1952508372333631E-3</v>
      </c>
    </row>
    <row r="276" spans="1:7" x14ac:dyDescent="0.25">
      <c r="B276" s="7" t="s">
        <v>40</v>
      </c>
      <c r="D276" s="3">
        <f>AVERAGE(D271:D272)</f>
        <v>488751.48647320317</v>
      </c>
      <c r="E276" s="3">
        <f t="shared" ref="E276:G276" si="52">AVERAGE(E271:E272)</f>
        <v>5858.9591118600001</v>
      </c>
      <c r="F276" s="4">
        <f t="shared" si="52"/>
        <v>7.1277616950951182E-4</v>
      </c>
      <c r="G276" s="4">
        <f t="shared" si="52"/>
        <v>3.4712364577555127E-3</v>
      </c>
    </row>
    <row r="277" spans="1:7" x14ac:dyDescent="0.25">
      <c r="B277" s="7" t="s">
        <v>41</v>
      </c>
      <c r="D277" s="3">
        <f>AVERAGE(D273:D274)</f>
        <v>463384.62845776771</v>
      </c>
      <c r="E277" s="3">
        <f t="shared" ref="E277:G277" si="53">AVERAGE(E273:E274)</f>
        <v>6502.7992681799997</v>
      </c>
      <c r="F277" s="4">
        <f t="shared" si="53"/>
        <v>1.191953502593869E-3</v>
      </c>
      <c r="G277" s="4">
        <f t="shared" si="53"/>
        <v>1.1285826622679715E-3</v>
      </c>
    </row>
    <row r="279" spans="1:7" x14ac:dyDescent="0.25">
      <c r="C279" s="7" t="s">
        <v>42</v>
      </c>
      <c r="D279" s="3">
        <f>D276/D277</f>
        <v>1.0547425539337831</v>
      </c>
      <c r="E279" s="3">
        <f t="shared" ref="E279:G279" si="54">E276/E277</f>
        <v>0.9009903074402914</v>
      </c>
      <c r="F279" s="3">
        <f t="shared" si="54"/>
        <v>0.59798991148430225</v>
      </c>
      <c r="G279" s="3">
        <f t="shared" si="54"/>
        <v>3.0757485240645135</v>
      </c>
    </row>
  </sheetData>
  <sortState ref="C138:G141">
    <sortCondition ref="C138:C141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2:D175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2:E175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2:F175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2:G175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7:D178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7:E17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7:F178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7:G178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83:D186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3:E186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3:F186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3:G186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88:D189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8:E189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8:F189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8:G189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5:D20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05:E20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05:F20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05:G20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0:D211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0:E211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0:F211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0:G211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6:D219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6:E219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6:F219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6:G219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1:D222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1:E222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1:F222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1:G222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7:D230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7:E230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7:F230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7:G230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2:D23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2:E2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2:F23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2:G233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8:D24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8:E24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8:F24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8:G24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3:D24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3:E24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3:F24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3:G24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2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2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4:D255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4:E255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4:F255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4:G255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0:D26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0:E26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0:F26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0:G26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5:D2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5:E2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5:F2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5:G26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1:D27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1:E27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1:F27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1:G27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6:D27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6:E27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6:F27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6:G27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2026-05-26T07:57:40Z</dcterms:modified>
</cp:coreProperties>
</file>