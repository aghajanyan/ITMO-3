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2" i="1" l="1"/>
  <c r="B38" i="1"/>
  <c r="B34" i="1"/>
  <c r="B32" i="1"/>
  <c r="E42" i="1"/>
  <c r="D42" i="1"/>
  <c r="C42" i="1"/>
  <c r="E38" i="1"/>
  <c r="D38" i="1"/>
  <c r="C38" i="1"/>
  <c r="E34" i="1"/>
  <c r="D34" i="1"/>
  <c r="C34" i="1"/>
  <c r="D32" i="1"/>
  <c r="E32" i="1"/>
  <c r="C32" i="1"/>
  <c r="C18" i="1"/>
  <c r="D18" i="1"/>
  <c r="E18" i="1"/>
  <c r="C19" i="1"/>
  <c r="D19" i="1"/>
  <c r="E19" i="1"/>
  <c r="C20" i="1"/>
  <c r="D20" i="1"/>
  <c r="E20" i="1"/>
  <c r="C23" i="1"/>
  <c r="D23" i="1"/>
  <c r="E23" i="1"/>
  <c r="C24" i="1"/>
  <c r="D24" i="1"/>
  <c r="E24" i="1"/>
  <c r="C27" i="1"/>
  <c r="D27" i="1"/>
  <c r="E27" i="1"/>
  <c r="C28" i="1"/>
  <c r="D28" i="1"/>
  <c r="E28" i="1"/>
  <c r="D17" i="1"/>
  <c r="E17" i="1"/>
  <c r="C17" i="1"/>
</calcChain>
</file>

<file path=xl/sharedStrings.xml><?xml version="1.0" encoding="utf-8"?>
<sst xmlns="http://schemas.openxmlformats.org/spreadsheetml/2006/main" count="21" uniqueCount="6">
  <si>
    <t>clust</t>
  </si>
  <si>
    <t>factoriescap_s</t>
  </si>
  <si>
    <t>ITcosts_s</t>
  </si>
  <si>
    <t>skvozcosts_s</t>
  </si>
  <si>
    <t>trainingcosts_s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</si>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</sst>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000%"/>
    <numFmt numFmtId="165" formatCode="#,##0.00_ ;\-#,##0.00\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3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G17" sqref="G17"/>
    </sheetView>
  </sheetViews>
  <sheetFormatPr defaultRowHeight="15" x14ac:dyDescent="0.25"/>
  <cols>
    <col min="1" max="1" width="21.85546875" customWidth="1"/>
    <col min="2" max="2" width="17.5703125" customWidth="1"/>
    <col min="3" max="3" width="13.42578125" customWidth="1"/>
    <col min="4" max="4" width="14.42578125" customWidth="1"/>
    <col min="5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13613152</v>
      </c>
      <c r="C2" s="3">
        <v>28870.29926820999</v>
      </c>
      <c r="D2" s="3">
        <v>4801.8645655200007</v>
      </c>
      <c r="E2" s="3">
        <v>6.7763591199995874</v>
      </c>
    </row>
    <row r="3" spans="1:5" x14ac:dyDescent="0.25">
      <c r="A3" s="2">
        <v>0</v>
      </c>
      <c r="B3" s="3">
        <v>14090596.499999991</v>
      </c>
      <c r="C3" s="3">
        <v>38217.517777599991</v>
      </c>
      <c r="D3" s="3">
        <v>5240.6774820000001</v>
      </c>
      <c r="E3" s="3">
        <v>12.22452427999966</v>
      </c>
    </row>
    <row r="4" spans="1:5" x14ac:dyDescent="0.25">
      <c r="A4" s="2">
        <v>1</v>
      </c>
      <c r="B4" s="3">
        <v>726762.21348314185</v>
      </c>
      <c r="C4" s="3">
        <v>1626.066825586503</v>
      </c>
      <c r="D4" s="3">
        <v>2.097042289887332</v>
      </c>
      <c r="E4" s="3">
        <v>1.655023936853685</v>
      </c>
    </row>
    <row r="5" spans="1:5" x14ac:dyDescent="0.25">
      <c r="A5" s="2">
        <v>1</v>
      </c>
      <c r="B5" s="3">
        <v>3523909.359550558</v>
      </c>
      <c r="C5" s="3">
        <v>8638.2869852526273</v>
      </c>
      <c r="D5" s="3">
        <v>73.611913158651333</v>
      </c>
      <c r="E5" s="3">
        <v>22.9252996126963</v>
      </c>
    </row>
    <row r="6" spans="1:5" x14ac:dyDescent="0.25">
      <c r="A6" s="2">
        <v>2</v>
      </c>
      <c r="B6" s="3">
        <v>723904.99999999453</v>
      </c>
      <c r="C6" s="3">
        <v>9537.5395684799951</v>
      </c>
      <c r="D6" s="3">
        <v>0.21320964000000001</v>
      </c>
      <c r="E6" s="3">
        <v>6388.6231835999988</v>
      </c>
    </row>
    <row r="7" spans="1:5" x14ac:dyDescent="0.25">
      <c r="A7" s="2">
        <v>2</v>
      </c>
      <c r="B7" s="3">
        <v>23598403</v>
      </c>
      <c r="C7" s="3">
        <v>61599.78433853999</v>
      </c>
      <c r="D7" s="3">
        <v>1184.0482836000001</v>
      </c>
      <c r="E7" s="3">
        <v>6438.3812715599997</v>
      </c>
    </row>
    <row r="8" spans="1:5" x14ac:dyDescent="0.25">
      <c r="A8" s="2">
        <v>3</v>
      </c>
      <c r="B8" s="3">
        <v>50017917.000000007</v>
      </c>
      <c r="C8" s="3">
        <v>193299.219548875</v>
      </c>
      <c r="D8" s="3">
        <v>978.37784099999919</v>
      </c>
      <c r="E8" s="3">
        <v>676.24855955999988</v>
      </c>
    </row>
    <row r="9" spans="1:5" x14ac:dyDescent="0.25">
      <c r="A9" s="2">
        <v>3</v>
      </c>
      <c r="B9" s="3">
        <v>87323581</v>
      </c>
      <c r="C9" s="3">
        <v>235445.33845601999</v>
      </c>
      <c r="D9" s="3">
        <v>1905.2652479999999</v>
      </c>
      <c r="E9" s="3">
        <v>1170.684354949999</v>
      </c>
    </row>
    <row r="10" spans="1:5" x14ac:dyDescent="0.25">
      <c r="A10" s="2">
        <v>4</v>
      </c>
      <c r="B10" s="3">
        <v>66796992</v>
      </c>
      <c r="C10" s="3">
        <v>212048.78478367999</v>
      </c>
      <c r="D10" s="3">
        <v>6498.3629939000011</v>
      </c>
      <c r="E10" s="3">
        <v>281.43069239999983</v>
      </c>
    </row>
    <row r="11" spans="1:5" x14ac:dyDescent="0.25">
      <c r="A11" s="2">
        <v>4</v>
      </c>
      <c r="B11" s="3">
        <v>74573767</v>
      </c>
      <c r="C11" s="3">
        <v>258750.9908536</v>
      </c>
      <c r="D11" s="3">
        <v>7049.4571275200014</v>
      </c>
      <c r="E11" s="3">
        <v>985.79842147999943</v>
      </c>
    </row>
    <row r="12" spans="1:5" x14ac:dyDescent="0.25">
      <c r="A12" s="2">
        <v>5</v>
      </c>
      <c r="B12" s="3">
        <v>4338501.8999999966</v>
      </c>
      <c r="C12" s="3">
        <v>27540.64896981699</v>
      </c>
      <c r="D12" s="3">
        <v>200.3164092799997</v>
      </c>
      <c r="E12" s="3">
        <v>20.09568265899965</v>
      </c>
    </row>
    <row r="13" spans="1:5" x14ac:dyDescent="0.25">
      <c r="A13" s="2">
        <v>5</v>
      </c>
      <c r="B13" s="3">
        <v>16423087.52631579</v>
      </c>
      <c r="C13" s="3">
        <v>54337.506318234737</v>
      </c>
      <c r="D13" s="3">
        <v>719.18024692324957</v>
      </c>
      <c r="E13" s="3">
        <v>371.04789130474973</v>
      </c>
    </row>
    <row r="16" spans="1:5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spans="1:5" x14ac:dyDescent="0.25">
      <c r="A17" s="2">
        <v>0</v>
      </c>
      <c r="C17" s="4">
        <f>C2/$B2</f>
        <v>2.1207652179458503E-3</v>
      </c>
      <c r="D17" s="4">
        <f t="shared" ref="D17:E17" si="0">D2/$B2</f>
        <v>3.5273715929418851E-4</v>
      </c>
      <c r="E17" s="4">
        <f t="shared" si="0"/>
        <v>4.9778031715208846E-7</v>
      </c>
    </row>
    <row r="18" spans="1:5" x14ac:dyDescent="0.25">
      <c r="A18" s="2">
        <v>0</v>
      </c>
      <c r="C18" s="4">
        <f t="shared" ref="C18:E18" si="1">C3/$B3</f>
        <v>2.7122711077277686E-3</v>
      </c>
      <c r="D18" s="4">
        <f t="shared" si="1"/>
        <v>3.7192729789686357E-4</v>
      </c>
      <c r="E18" s="4">
        <f t="shared" si="1"/>
        <v>8.6756613036216516E-7</v>
      </c>
    </row>
    <row r="19" spans="1:5" x14ac:dyDescent="0.25">
      <c r="A19" s="2">
        <v>1</v>
      </c>
      <c r="C19" s="4">
        <f t="shared" ref="C19:E19" si="2">C4/$B4</f>
        <v>2.2374124513068424E-3</v>
      </c>
      <c r="D19" s="4">
        <f t="shared" si="2"/>
        <v>2.8854586149118434E-6</v>
      </c>
      <c r="E19" s="4">
        <f t="shared" si="2"/>
        <v>2.2772564480501509E-6</v>
      </c>
    </row>
    <row r="20" spans="1:5" x14ac:dyDescent="0.25">
      <c r="A20" s="2">
        <v>1</v>
      </c>
      <c r="C20" s="4">
        <f t="shared" ref="C20:E20" si="3">C5/$B5</f>
        <v>2.4513363154023806E-3</v>
      </c>
      <c r="D20" s="4">
        <f t="shared" si="3"/>
        <v>2.0889275417696854E-5</v>
      </c>
      <c r="E20" s="4">
        <f t="shared" si="3"/>
        <v>6.5056439520964891E-6</v>
      </c>
    </row>
    <row r="21" spans="1:5" x14ac:dyDescent="0.25">
      <c r="A21" s="2"/>
      <c r="C21" s="4"/>
      <c r="D21" s="4"/>
      <c r="E21" s="4"/>
    </row>
    <row r="22" spans="1:5" x14ac:dyDescent="0.25">
      <c r="A22" s="2"/>
      <c r="C22" s="4"/>
      <c r="D22" s="4"/>
      <c r="E22" s="4"/>
    </row>
    <row r="23" spans="1:5" x14ac:dyDescent="0.25">
      <c r="A23" s="2">
        <v>3</v>
      </c>
      <c r="C23" s="4">
        <f t="shared" ref="C23:E23" si="4">C8/$B8</f>
        <v>3.8645995503746181E-3</v>
      </c>
      <c r="D23" s="4">
        <f t="shared" si="4"/>
        <v>1.9560547493411192E-5</v>
      </c>
      <c r="E23" s="4">
        <f t="shared" si="4"/>
        <v>1.3520126389109722E-5</v>
      </c>
    </row>
    <row r="24" spans="1:5" x14ac:dyDescent="0.25">
      <c r="A24" s="2">
        <v>3</v>
      </c>
      <c r="C24" s="4">
        <f t="shared" ref="C24:E24" si="5">C9/$B9</f>
        <v>2.6962400735263022E-3</v>
      </c>
      <c r="D24" s="4">
        <f t="shared" si="5"/>
        <v>2.1818450711497963E-5</v>
      </c>
      <c r="E24" s="4">
        <f t="shared" si="5"/>
        <v>1.3406279741894678E-5</v>
      </c>
    </row>
    <row r="25" spans="1:5" x14ac:dyDescent="0.25">
      <c r="A25" s="2"/>
      <c r="C25" s="4"/>
      <c r="D25" s="4"/>
      <c r="E25" s="4"/>
    </row>
    <row r="26" spans="1:5" x14ac:dyDescent="0.25">
      <c r="A26" s="2"/>
      <c r="C26" s="4"/>
      <c r="D26" s="4"/>
      <c r="E26" s="4"/>
    </row>
    <row r="27" spans="1:5" x14ac:dyDescent="0.25">
      <c r="A27" s="2">
        <v>5</v>
      </c>
      <c r="C27" s="4">
        <f t="shared" ref="C27:E27" si="6">C12/$B12</f>
        <v>6.3479628693529008E-3</v>
      </c>
      <c r="D27" s="4">
        <f t="shared" si="6"/>
        <v>4.6171792452136499E-5</v>
      </c>
      <c r="E27" s="4">
        <f t="shared" si="6"/>
        <v>4.6319404997839613E-6</v>
      </c>
    </row>
    <row r="28" spans="1:5" x14ac:dyDescent="0.25">
      <c r="A28" s="2">
        <v>5</v>
      </c>
      <c r="C28" s="4">
        <f t="shared" ref="C28:E28" si="7">C13/$B13</f>
        <v>3.3086048059578436E-3</v>
      </c>
      <c r="D28" s="4">
        <f t="shared" si="7"/>
        <v>4.3790806434591542E-5</v>
      </c>
      <c r="E28" s="4">
        <f t="shared" si="7"/>
        <v>2.2593065445836259E-5</v>
      </c>
    </row>
    <row r="30" spans="1: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25">
      <c r="A31" s="2">
        <v>0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2">
        <v>0</v>
      </c>
      <c r="B32" s="3">
        <f>B3/B2</f>
        <v>1.035072296261732</v>
      </c>
      <c r="C32" s="5">
        <f>C18/C17</f>
        <v>1.2789115385223284</v>
      </c>
      <c r="D32" s="5">
        <f t="shared" ref="D32:E32" si="8">D18/D17</f>
        <v>1.0544035072490623</v>
      </c>
      <c r="E32" s="5">
        <f t="shared" si="8"/>
        <v>1.7428694957761754</v>
      </c>
    </row>
    <row r="33" spans="1:5" x14ac:dyDescent="0.25">
      <c r="A33" s="2">
        <v>1</v>
      </c>
      <c r="B33" s="2">
        <v>0</v>
      </c>
      <c r="C33" s="2">
        <v>0</v>
      </c>
      <c r="D33" s="2">
        <v>0</v>
      </c>
      <c r="E33" s="2">
        <v>0</v>
      </c>
    </row>
    <row r="34" spans="1:5" x14ac:dyDescent="0.25">
      <c r="A34" s="2">
        <v>1</v>
      </c>
      <c r="B34" s="3">
        <f>B5/B4</f>
        <v>4.8487790011282685</v>
      </c>
      <c r="C34" s="5">
        <f>C20/C19</f>
        <v>1.0956121719849141</v>
      </c>
      <c r="D34" s="5">
        <f t="shared" ref="D34:E34" si="9">D20/D19</f>
        <v>7.2394992289068281</v>
      </c>
      <c r="E34" s="5">
        <f t="shared" si="9"/>
        <v>2.8567902212624312</v>
      </c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3"/>
      <c r="C36" s="5"/>
      <c r="D36" s="5"/>
      <c r="E36" s="5"/>
    </row>
    <row r="37" spans="1:5" x14ac:dyDescent="0.25">
      <c r="A37" s="2">
        <v>3</v>
      </c>
      <c r="B37" s="2">
        <v>0</v>
      </c>
      <c r="C37" s="2">
        <v>0</v>
      </c>
      <c r="D37" s="2">
        <v>0</v>
      </c>
      <c r="E37" s="2">
        <v>0</v>
      </c>
    </row>
    <row r="38" spans="1:5" x14ac:dyDescent="0.25">
      <c r="A38" s="2">
        <v>3</v>
      </c>
      <c r="B38" s="3">
        <f>B9/B8</f>
        <v>1.745846013539508</v>
      </c>
      <c r="C38" s="5">
        <f>C24/C23</f>
        <v>0.69767644444944887</v>
      </c>
      <c r="D38" s="5">
        <f t="shared" ref="D38:E38" si="10">D24/D23</f>
        <v>1.1154314938703698</v>
      </c>
      <c r="E38" s="5">
        <f t="shared" si="10"/>
        <v>0.9915794687165983</v>
      </c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3"/>
      <c r="C40" s="5"/>
      <c r="D40" s="5"/>
      <c r="E40" s="5"/>
    </row>
    <row r="41" spans="1:5" x14ac:dyDescent="0.25">
      <c r="A41" s="2">
        <v>5</v>
      </c>
      <c r="B41" s="2">
        <v>0</v>
      </c>
      <c r="C41" s="2">
        <v>0</v>
      </c>
      <c r="D41" s="2">
        <v>0</v>
      </c>
      <c r="E41" s="2">
        <v>0</v>
      </c>
    </row>
    <row r="42" spans="1:5" x14ac:dyDescent="0.25">
      <c r="A42" s="2">
        <v>5</v>
      </c>
      <c r="B42" s="3">
        <f>B13/B12</f>
        <v>3.7854282203531597</v>
      </c>
      <c r="C42" s="5">
        <f>C28/C27</f>
        <v>0.5212073343924768</v>
      </c>
      <c r="D42" s="5">
        <f t="shared" ref="D42:E42" si="11">D28/D27</f>
        <v>0.94843202113036484</v>
      </c>
      <c r="E42" s="5">
        <f t="shared" si="11"/>
        <v>4.8776674585716338</v>
      </c>
    </row>
    <row r="45" spans="1:5" x14ac:dyDescent="0.25">
      <c r="A45" s="6" t="s">
        <v>5</v>
      </c>
    </row>
    <row r="46" spans="1:5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</row>
    <row r="47" spans="1:5" x14ac:dyDescent="0.25">
      <c r="A47" s="2">
        <v>0</v>
      </c>
      <c r="B47" s="3">
        <v>13858386.5</v>
      </c>
      <c r="C47" s="3">
        <v>33565.597076099992</v>
      </c>
      <c r="D47" s="3">
        <v>5021.2710237600004</v>
      </c>
      <c r="E47" s="3">
        <v>9.3762416399997388</v>
      </c>
    </row>
    <row r="48" spans="1:5" x14ac:dyDescent="0.25">
      <c r="A48" s="2">
        <v>1</v>
      </c>
      <c r="B48" s="3">
        <v>1368960.9999999939</v>
      </c>
      <c r="C48" s="3">
        <v>3010.4278660399891</v>
      </c>
      <c r="D48" s="3">
        <v>6.2364203999998411</v>
      </c>
      <c r="E48" s="3">
        <v>4.571804639999506</v>
      </c>
    </row>
    <row r="49" spans="1:5" x14ac:dyDescent="0.25">
      <c r="A49" s="2">
        <v>2</v>
      </c>
      <c r="B49" s="3">
        <v>12161153.999999991</v>
      </c>
      <c r="C49" s="3">
        <v>35568.661953510004</v>
      </c>
      <c r="D49" s="3">
        <v>592.13074661999974</v>
      </c>
      <c r="E49" s="3">
        <v>6413.5022275799993</v>
      </c>
    </row>
    <row r="50" spans="1:5" x14ac:dyDescent="0.25">
      <c r="A50" s="2">
        <v>3</v>
      </c>
      <c r="B50" s="3">
        <v>62978040</v>
      </c>
      <c r="C50" s="3">
        <v>220411.94692799999</v>
      </c>
      <c r="D50" s="3">
        <v>1131.9292105</v>
      </c>
      <c r="E50" s="3">
        <v>768.4297439999998</v>
      </c>
    </row>
    <row r="51" spans="1:5" x14ac:dyDescent="0.25">
      <c r="A51" s="2">
        <v>4</v>
      </c>
      <c r="B51" s="3">
        <v>70685379.5</v>
      </c>
      <c r="C51" s="3">
        <v>235399.88781864001</v>
      </c>
      <c r="D51" s="3">
        <v>6773.9100607100017</v>
      </c>
      <c r="E51" s="3">
        <v>633.6145569399996</v>
      </c>
    </row>
    <row r="52" spans="1:5" x14ac:dyDescent="0.25">
      <c r="A52" s="2">
        <v>5</v>
      </c>
      <c r="B52" s="3">
        <v>7506179.9999999925</v>
      </c>
      <c r="C52" s="3">
        <v>34419.640424399993</v>
      </c>
      <c r="D52" s="3">
        <v>413.53550399999978</v>
      </c>
      <c r="E52" s="3">
        <v>42.596015000000001</v>
      </c>
    </row>
  </sheetData>
  <conditionalFormatting sqref="B2:B1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7:B5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7:C5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7:D5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7:E5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2026-04-10T11:11:01Z</dcterms:created>
  <dcterms:modified xsi:type="dcterms:W3CDTF">2026-04-15T09:27:49Z</dcterms:modified>
</cp:coreProperties>
</file>