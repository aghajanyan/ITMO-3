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"/>
    </mc:Choice>
  </mc:AlternateContent>
  <bookViews>
    <workbookView xWindow="0" yWindow="0" windowWidth="28800" windowHeight="12885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C20" i="1" l="1"/>
  <c r="C18" i="1"/>
  <c r="C16" i="1"/>
  <c r="C14" i="1"/>
  <c r="D14" i="1"/>
  <c r="E14" i="1"/>
  <c r="D15" i="1"/>
  <c r="E15" i="1"/>
  <c r="D16" i="1"/>
  <c r="E16" i="1"/>
  <c r="D17" i="1"/>
  <c r="E17" i="1"/>
  <c r="D18" i="1"/>
  <c r="E18" i="1"/>
  <c r="D19" i="1"/>
  <c r="E19" i="1"/>
  <c r="D20" i="1"/>
  <c r="E20" i="1"/>
  <c r="E13" i="1"/>
  <c r="D13" i="1"/>
  <c r="B20" i="1"/>
  <c r="B18" i="1"/>
  <c r="B16" i="1"/>
  <c r="B14" i="1"/>
</calcChain>
</file>

<file path=xl/sharedStrings.xml><?xml version="1.0" encoding="utf-8"?>
<sst xmlns="http://schemas.openxmlformats.org/spreadsheetml/2006/main" count="26" uniqueCount="13">
  <si>
    <t>clust</t>
  </si>
  <si>
    <t>factoriescap_s</t>
  </si>
  <si>
    <t>ITusage_s</t>
  </si>
  <si>
    <t>AIusage_s</t>
  </si>
  <si>
    <t>BDusage_s</t>
  </si>
  <si>
    <t>0 (lower)</t>
  </si>
  <si>
    <t>0 (upper)</t>
  </si>
  <si>
    <t>1 (lower)</t>
  </si>
  <si>
    <t>1 (upper)</t>
  </si>
  <si>
    <t>2 (lower)</t>
  </si>
  <si>
    <t>2 (upper)</t>
  </si>
  <si>
    <t>3 (lower)</t>
  </si>
  <si>
    <t>3 (upper)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</si>
</sst>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\ _₽_-;\-* #,##0.00\ _₽_-;_-* &quot;-&quot;??\ _₽_-;_-@_-"/>
    <numFmt numFmtId="164" formatCode="#,##0.00_ ;\-#,##0.00\ 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  <charset val="204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1" applyNumberFormat="1" applyFont="1" applyAlignment="1">
      <alignment horizontal="center"/>
    </xf>
    <xf numFmtId="9" fontId="0" fillId="0" borderId="0" xfId="2" applyFont="1" applyAlignment="1">
      <alignment horizontal="center"/>
    </xf>
    <xf numFmtId="9" fontId="0" fillId="0" borderId="0" xfId="2" applyFont="1" applyFill="1" applyAlignment="1">
      <alignment horizontal="center"/>
    </xf>
  </cellXfs>
  <cellStyles count="3">
    <cellStyle name="Обычный" xfId="0" builtinId="0"/>
    <cellStyle name="Процентный" xfId="2" builtinId="5"/>
    <cellStyle name="Финансовый" xfId="1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0"/>
  <sheetViews>
    <sheetView tabSelected="1" workbookViewId="0">
      <selection activeCell="H7" sqref="H7"/>
    </sheetView>
  </sheetViews>
  <sheetFormatPr defaultRowHeight="15" x14ac:dyDescent="0.25"/>
  <cols>
    <col min="1" max="1" width="21" customWidth="1"/>
    <col min="2" max="2" width="19.7109375" customWidth="1"/>
    <col min="3" max="3" width="16.7109375" customWidth="1"/>
    <col min="4" max="4" width="14.28515625" customWidth="1"/>
    <col min="5" max="5" width="14.7109375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 t="s">
        <v>5</v>
      </c>
      <c r="B2" s="3">
        <v>105012.1823962593</v>
      </c>
      <c r="C2" s="3">
        <v>60.056603773584072</v>
      </c>
      <c r="D2" s="3">
        <v>1.8470588235293639</v>
      </c>
      <c r="E2" s="3">
        <v>10.77570093457922</v>
      </c>
    </row>
    <row r="3" spans="1:5" x14ac:dyDescent="0.25">
      <c r="A3" s="2" t="s">
        <v>6</v>
      </c>
      <c r="B3" s="3">
        <v>1204494.7994710261</v>
      </c>
      <c r="C3" s="3">
        <v>220.47663551401789</v>
      </c>
      <c r="D3" s="3">
        <v>9.0285714285713858</v>
      </c>
      <c r="E3" s="3">
        <v>46.104761904761602</v>
      </c>
    </row>
    <row r="4" spans="1:5" x14ac:dyDescent="0.25">
      <c r="A4" s="2" t="s">
        <v>7</v>
      </c>
      <c r="B4" s="3">
        <v>901865.85511999822</v>
      </c>
      <c r="C4" s="3">
        <v>930.53333333333251</v>
      </c>
      <c r="D4" s="3">
        <v>37.133333333333297</v>
      </c>
      <c r="E4" s="3">
        <v>160.2666666666664</v>
      </c>
    </row>
    <row r="5" spans="1:5" x14ac:dyDescent="0.25">
      <c r="A5" s="2" t="s">
        <v>8</v>
      </c>
      <c r="B5" s="3">
        <v>2551882.202013331</v>
      </c>
      <c r="C5" s="3">
        <v>1558.5333333333331</v>
      </c>
      <c r="D5" s="3">
        <v>60.999999999999972</v>
      </c>
      <c r="E5" s="3">
        <v>353.99999999999972</v>
      </c>
    </row>
    <row r="6" spans="1:5" x14ac:dyDescent="0.25">
      <c r="A6" s="2" t="s">
        <v>9</v>
      </c>
      <c r="B6" s="3">
        <v>1561252.205759997</v>
      </c>
      <c r="C6" s="3">
        <v>2201.9999999999991</v>
      </c>
      <c r="D6" s="3">
        <v>102.4</v>
      </c>
      <c r="E6" s="3">
        <v>336.1999999999997</v>
      </c>
    </row>
    <row r="7" spans="1:5" x14ac:dyDescent="0.25">
      <c r="A7" s="2" t="s">
        <v>10</v>
      </c>
      <c r="B7" s="3">
        <v>4986741.752799998</v>
      </c>
      <c r="C7" s="3">
        <v>2921.4</v>
      </c>
      <c r="D7" s="3">
        <v>141.39999999999989</v>
      </c>
      <c r="E7" s="3">
        <v>771.79999999999973</v>
      </c>
    </row>
    <row r="8" spans="1:5" x14ac:dyDescent="0.25">
      <c r="A8" s="2" t="s">
        <v>11</v>
      </c>
      <c r="B8" s="3">
        <v>528784.78545365622</v>
      </c>
      <c r="C8" s="3">
        <v>358.43902439024311</v>
      </c>
      <c r="D8" s="3">
        <v>14.628571428571391</v>
      </c>
      <c r="E8" s="3">
        <v>64.536585365853426</v>
      </c>
    </row>
    <row r="9" spans="1:5" x14ac:dyDescent="0.25">
      <c r="A9" s="2" t="s">
        <v>12</v>
      </c>
      <c r="B9" s="3">
        <v>2933316.7589463401</v>
      </c>
      <c r="C9" s="3">
        <v>629.75609756097481</v>
      </c>
      <c r="D9" s="3">
        <v>27.439024390243869</v>
      </c>
      <c r="E9" s="3">
        <v>146.84999999999971</v>
      </c>
    </row>
    <row r="12" spans="1:5" x14ac:dyDescent="0.25">
      <c r="A12" s="1" t="s">
        <v>0</v>
      </c>
      <c r="B12" s="1" t="s">
        <v>1</v>
      </c>
      <c r="C12" s="1" t="s">
        <v>2</v>
      </c>
      <c r="D12" s="1" t="s">
        <v>3</v>
      </c>
      <c r="E12" s="1" t="s">
        <v>4</v>
      </c>
    </row>
    <row r="13" spans="1:5" x14ac:dyDescent="0.25">
      <c r="A13" s="2" t="s">
        <v>5</v>
      </c>
      <c r="B13" s="2">
        <v>0</v>
      </c>
      <c r="C13" s="2">
        <v>0</v>
      </c>
      <c r="D13" s="5">
        <f>D2/$C2</f>
        <v>3.0755299292195303E-2</v>
      </c>
      <c r="E13" s="6">
        <f>E2/$C2</f>
        <v>0.17942574600462036</v>
      </c>
    </row>
    <row r="14" spans="1:5" x14ac:dyDescent="0.25">
      <c r="A14" s="2" t="s">
        <v>6</v>
      </c>
      <c r="B14" s="4">
        <f>B3/B2</f>
        <v>11.470048255219691</v>
      </c>
      <c r="C14" s="5">
        <f>C3/C2</f>
        <v>3.6711472454423846</v>
      </c>
      <c r="D14" s="5">
        <f t="shared" ref="D14:E14" si="0">D3/$C3</f>
        <v>4.095024131478707E-2</v>
      </c>
      <c r="E14" s="6">
        <f t="shared" si="0"/>
        <v>0.20911404873932896</v>
      </c>
    </row>
    <row r="15" spans="1:5" x14ac:dyDescent="0.25">
      <c r="A15" s="2" t="s">
        <v>7</v>
      </c>
      <c r="B15" s="2">
        <v>0</v>
      </c>
      <c r="C15" s="2">
        <v>0</v>
      </c>
      <c r="D15" s="5">
        <f t="shared" ref="D15:E15" si="1">D4/$C4</f>
        <v>3.9905430577446624E-2</v>
      </c>
      <c r="E15" s="5">
        <f t="shared" si="1"/>
        <v>0.17223097865023629</v>
      </c>
    </row>
    <row r="16" spans="1:5" x14ac:dyDescent="0.25">
      <c r="A16" s="2" t="s">
        <v>8</v>
      </c>
      <c r="B16" s="4">
        <f>B5/B4</f>
        <v>2.8295585064297497</v>
      </c>
      <c r="C16" s="5">
        <f>C5/C4</f>
        <v>1.6748817882218094</v>
      </c>
      <c r="D16" s="5">
        <f t="shared" ref="D16:E16" si="2">D5/$C5</f>
        <v>3.9139361793138837E-2</v>
      </c>
      <c r="E16" s="5">
        <f t="shared" si="2"/>
        <v>0.22713662417657612</v>
      </c>
    </row>
    <row r="17" spans="1:5" x14ac:dyDescent="0.25">
      <c r="A17" s="2" t="s">
        <v>9</v>
      </c>
      <c r="B17" s="2">
        <v>0</v>
      </c>
      <c r="C17" s="2">
        <v>0</v>
      </c>
      <c r="D17" s="5">
        <f t="shared" ref="D17:E17" si="3">D6/$C6</f>
        <v>4.6503178928247069E-2</v>
      </c>
      <c r="E17" s="5">
        <f t="shared" si="3"/>
        <v>0.15267938237965478</v>
      </c>
    </row>
    <row r="18" spans="1:5" x14ac:dyDescent="0.25">
      <c r="A18" s="2" t="s">
        <v>10</v>
      </c>
      <c r="B18" s="4">
        <f>B7/B6</f>
        <v>3.1940654651453433</v>
      </c>
      <c r="C18" s="5">
        <f>C7/C6</f>
        <v>1.3267029972752049</v>
      </c>
      <c r="D18" s="5">
        <f t="shared" ref="D18:E18" si="4">D7/$C7</f>
        <v>4.8401451358937454E-2</v>
      </c>
      <c r="E18" s="5">
        <f t="shared" si="4"/>
        <v>0.26418840282056538</v>
      </c>
    </row>
    <row r="19" spans="1:5" x14ac:dyDescent="0.25">
      <c r="A19" s="2" t="s">
        <v>11</v>
      </c>
      <c r="B19" s="2">
        <v>0</v>
      </c>
      <c r="C19" s="2">
        <v>0</v>
      </c>
      <c r="D19" s="5">
        <f t="shared" ref="D19:E19" si="5">D8/$C8</f>
        <v>4.0811882728050378E-2</v>
      </c>
      <c r="E19" s="5">
        <f t="shared" si="5"/>
        <v>0.18004899292324417</v>
      </c>
    </row>
    <row r="20" spans="1:5" x14ac:dyDescent="0.25">
      <c r="A20" s="2" t="s">
        <v>12</v>
      </c>
      <c r="B20" s="4">
        <f>B9/B8</f>
        <v>5.5472790436468067</v>
      </c>
      <c r="C20" s="5">
        <f>C9/C8</f>
        <v>1.7569406641262946</v>
      </c>
      <c r="D20" s="5">
        <f t="shared" ref="D20:E20" si="6">D9/$C9</f>
        <v>4.3570875290472502E-2</v>
      </c>
      <c r="E20" s="5">
        <f t="shared" si="6"/>
        <v>0.23318551510456995</v>
      </c>
    </row>
  </sheetData>
  <conditionalFormatting sqref="B2:B9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:C9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:D9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2026-04-13T11:29:17Z</dcterms:created>
  <dcterms:modified xsi:type="dcterms:W3CDTF">2026-04-13T11:40:34Z</dcterms:modified>
</cp:coreProperties>
</file>