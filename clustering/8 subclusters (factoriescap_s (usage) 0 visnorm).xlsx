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34" i="1" l="1"/>
  <c r="D34" i="1"/>
  <c r="E33" i="1"/>
  <c r="D33" i="1"/>
  <c r="E32" i="1"/>
  <c r="D32" i="1"/>
  <c r="E31" i="1"/>
  <c r="D31" i="1"/>
  <c r="C14" i="1" l="1"/>
  <c r="E20" i="1"/>
  <c r="D20" i="1"/>
  <c r="C20" i="1"/>
  <c r="B20" i="1"/>
  <c r="E19" i="1"/>
  <c r="D19" i="1"/>
  <c r="E18" i="1"/>
  <c r="D18" i="1"/>
  <c r="C18" i="1"/>
  <c r="B18" i="1"/>
  <c r="E17" i="1"/>
  <c r="D17" i="1"/>
  <c r="E16" i="1"/>
  <c r="D16" i="1"/>
  <c r="C16" i="1"/>
  <c r="B16" i="1"/>
  <c r="E15" i="1"/>
  <c r="D15" i="1"/>
  <c r="E14" i="1"/>
  <c r="D14" i="1"/>
  <c r="B14" i="1"/>
  <c r="E13" i="1"/>
  <c r="D13" i="1"/>
</calcChain>
</file>

<file path=xl/sharedStrings.xml><?xml version="1.0" encoding="utf-8"?>
<sst xmlns="http://schemas.openxmlformats.org/spreadsheetml/2006/main" count="29" uniqueCount="14">
  <si>
    <t>clust</t>
  </si>
  <si>
    <t>factoriescap_s</t>
  </si>
  <si>
    <t>ITusage_s</t>
  </si>
  <si>
    <t>AIusage_s</t>
  </si>
  <si>
    <t>BDusage_s</t>
  </si>
  <si>
    <t>0 (lower)</t>
  </si>
  <si>
    <t>0 (upper)</t>
  </si>
  <si>
    <t>1 (lower)</t>
  </si>
  <si>
    <t>1 (upper)</t>
  </si>
  <si>
    <t>2 (lower)</t>
  </si>
  <si>
    <t>2 (upper)</t>
  </si>
  <si>
    <t>3 (lower)</t>
  </si>
  <si>
    <t>3 (upper)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</si>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</sst>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#,##0.00_ ;\-#,##0.00\ 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5" fontId="0" fillId="2" borderId="7" xfId="2" applyNumberFormat="1" applyFont="1" applyFill="1" applyBorder="1" applyAlignment="1">
      <alignment horizontal="center"/>
    </xf>
    <xf numFmtId="10" fontId="0" fillId="0" borderId="7" xfId="2" applyNumberFormat="1" applyFont="1" applyBorder="1" applyAlignment="1">
      <alignment horizontal="center"/>
    </xf>
    <xf numFmtId="10" fontId="0" fillId="0" borderId="8" xfId="2" applyNumberFormat="1" applyFont="1" applyFill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2" fontId="0" fillId="0" borderId="7" xfId="2" applyNumberFormat="1" applyFont="1" applyBorder="1" applyAlignment="1">
      <alignment horizontal="center"/>
    </xf>
    <xf numFmtId="10" fontId="0" fillId="2" borderId="7" xfId="2" applyNumberFormat="1" applyFont="1" applyFill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2" borderId="7" xfId="2" applyNumberFormat="1" applyFont="1" applyFill="1" applyBorder="1" applyAlignment="1">
      <alignment horizontal="center"/>
    </xf>
    <xf numFmtId="10" fontId="0" fillId="2" borderId="4" xfId="2" applyNumberFormat="1" applyFont="1" applyFill="1" applyBorder="1" applyAlignment="1">
      <alignment horizontal="center"/>
    </xf>
    <xf numFmtId="10" fontId="0" fillId="2" borderId="5" xfId="2" applyNumberFormat="1" applyFont="1" applyFill="1" applyBorder="1" applyAlignment="1">
      <alignment horizontal="center"/>
    </xf>
    <xf numFmtId="10" fontId="0" fillId="2" borderId="8" xfId="2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0" fontId="0" fillId="0" borderId="0" xfId="2" applyNumberFormat="1" applyFont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0</xdr:row>
      <xdr:rowOff>85725</xdr:rowOff>
    </xdr:from>
    <xdr:to>
      <xdr:col>16</xdr:col>
      <xdr:colOff>204789</xdr:colOff>
      <xdr:row>20</xdr:row>
      <xdr:rowOff>9525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6" y="85725"/>
          <a:ext cx="5672138" cy="3781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I27" sqref="I27"/>
    </sheetView>
  </sheetViews>
  <sheetFormatPr defaultRowHeight="15" x14ac:dyDescent="0.25"/>
  <cols>
    <col min="2" max="2" width="18.28515625" customWidth="1"/>
    <col min="3" max="3" width="11.7109375" customWidth="1"/>
    <col min="4" max="4" width="12.28515625" customWidth="1"/>
    <col min="5" max="5" width="12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504459.74453636142</v>
      </c>
      <c r="C2" s="3">
        <v>411.29545454545382</v>
      </c>
      <c r="D2" s="3">
        <v>18.909090909090871</v>
      </c>
      <c r="E2" s="3">
        <v>92.88636363636337</v>
      </c>
    </row>
    <row r="3" spans="1:5" x14ac:dyDescent="0.25">
      <c r="A3" s="2">
        <v>0</v>
      </c>
      <c r="B3" s="2">
        <v>2972238.8305590879</v>
      </c>
      <c r="C3" s="3">
        <v>539.49999999999932</v>
      </c>
      <c r="D3" s="3">
        <v>22.340909090909062</v>
      </c>
      <c r="E3" s="3">
        <v>111.54545454545431</v>
      </c>
    </row>
    <row r="4" spans="1:5" x14ac:dyDescent="0.25">
      <c r="A4" s="2">
        <v>1</v>
      </c>
      <c r="B4" s="2">
        <v>895395.92730666487</v>
      </c>
      <c r="C4" s="3">
        <v>1336.5333333333331</v>
      </c>
      <c r="D4" s="3">
        <v>50.599999999999987</v>
      </c>
      <c r="E4" s="3">
        <v>275.26666666666642</v>
      </c>
    </row>
    <row r="5" spans="1:5" x14ac:dyDescent="0.25">
      <c r="A5" s="2">
        <v>1</v>
      </c>
      <c r="B5" s="2">
        <v>2551882.202013331</v>
      </c>
      <c r="C5" s="3">
        <v>1155.399999999999</v>
      </c>
      <c r="D5" s="3">
        <v>45.933333333333287</v>
      </c>
      <c r="E5" s="3">
        <v>231.66666666666629</v>
      </c>
    </row>
    <row r="6" spans="1:5" x14ac:dyDescent="0.25">
      <c r="A6" s="2">
        <v>2</v>
      </c>
      <c r="B6" s="2">
        <v>1561252.205759997</v>
      </c>
      <c r="C6" s="3">
        <v>2616.599999999999</v>
      </c>
      <c r="D6" s="3">
        <v>114.2</v>
      </c>
      <c r="E6" s="3">
        <v>514.99999999999977</v>
      </c>
    </row>
    <row r="7" spans="1:5" x14ac:dyDescent="0.25">
      <c r="A7" s="2">
        <v>2</v>
      </c>
      <c r="B7" s="2">
        <v>4986741.752799998</v>
      </c>
      <c r="C7" s="3">
        <v>2506.8000000000002</v>
      </c>
      <c r="D7" s="3">
        <v>129.6</v>
      </c>
      <c r="E7" s="3">
        <v>592.99999999999966</v>
      </c>
    </row>
    <row r="8" spans="1:5" x14ac:dyDescent="0.25">
      <c r="A8" s="2">
        <v>3</v>
      </c>
      <c r="B8" s="2">
        <v>101373.9196576899</v>
      </c>
      <c r="C8" s="3">
        <v>91.490384615383775</v>
      </c>
      <c r="D8" s="3">
        <v>3.4230769230768798</v>
      </c>
      <c r="E8" s="3">
        <v>17.221153846153609</v>
      </c>
    </row>
    <row r="9" spans="1:5" x14ac:dyDescent="0.25">
      <c r="A9" s="2">
        <v>3</v>
      </c>
      <c r="B9" s="2">
        <v>1135779.941959613</v>
      </c>
      <c r="C9" s="3">
        <v>181.5865384615376</v>
      </c>
      <c r="D9" s="3">
        <v>7.3942307692307319</v>
      </c>
      <c r="E9" s="3">
        <v>36.28846153846127</v>
      </c>
    </row>
    <row r="12" spans="1:5" ht="15.75" thickBot="1" x14ac:dyDescent="0.3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</row>
    <row r="13" spans="1:5" x14ac:dyDescent="0.25">
      <c r="A13" s="6" t="s">
        <v>5</v>
      </c>
      <c r="B13" s="7"/>
      <c r="C13" s="7"/>
      <c r="D13" s="20">
        <f>D2/$C2</f>
        <v>4.597447090678012E-2</v>
      </c>
      <c r="E13" s="21">
        <f>E2/$C2</f>
        <v>0.22583853677405069</v>
      </c>
    </row>
    <row r="14" spans="1:5" ht="15.75" thickBot="1" x14ac:dyDescent="0.3">
      <c r="A14" s="9" t="s">
        <v>6</v>
      </c>
      <c r="B14" s="10">
        <f>B3/B2</f>
        <v>5.8919247031114672</v>
      </c>
      <c r="C14" s="11">
        <f>C3/C2</f>
        <v>1.3117091230590712</v>
      </c>
      <c r="D14" s="12">
        <f t="shared" ref="D14:E20" si="0">D3/$C3</f>
        <v>4.1410396832083578E-2</v>
      </c>
      <c r="E14" s="13">
        <f t="shared" si="0"/>
        <v>0.2067570983233632</v>
      </c>
    </row>
    <row r="15" spans="1:5" x14ac:dyDescent="0.25">
      <c r="A15" s="6" t="s">
        <v>7</v>
      </c>
      <c r="B15" s="7"/>
      <c r="C15" s="7"/>
      <c r="D15" s="8">
        <f t="shared" si="0"/>
        <v>3.7859138068635272E-2</v>
      </c>
      <c r="E15" s="21">
        <f t="shared" si="0"/>
        <v>0.20595570630486817</v>
      </c>
    </row>
    <row r="16" spans="1:5" ht="15.75" thickBot="1" x14ac:dyDescent="0.3">
      <c r="A16" s="9" t="s">
        <v>8</v>
      </c>
      <c r="B16" s="10">
        <f>B5/B4</f>
        <v>2.8500042541955128</v>
      </c>
      <c r="C16" s="15">
        <f>C5/C4</f>
        <v>0.86447525937749337</v>
      </c>
      <c r="D16" s="16">
        <f t="shared" si="0"/>
        <v>3.9755351681957179E-2</v>
      </c>
      <c r="E16" s="17">
        <f t="shared" si="0"/>
        <v>0.20050776066008871</v>
      </c>
    </row>
    <row r="17" spans="1:5" x14ac:dyDescent="0.25">
      <c r="A17" s="6" t="s">
        <v>9</v>
      </c>
      <c r="B17" s="7"/>
      <c r="C17" s="18"/>
      <c r="D17" s="8">
        <f t="shared" si="0"/>
        <v>4.364442406175955E-2</v>
      </c>
      <c r="E17" s="14">
        <f t="shared" si="0"/>
        <v>0.19682030115416951</v>
      </c>
    </row>
    <row r="18" spans="1:5" ht="15.75" thickBot="1" x14ac:dyDescent="0.3">
      <c r="A18" s="9" t="s">
        <v>10</v>
      </c>
      <c r="B18" s="10">
        <f>B7/B6</f>
        <v>3.1940654651453433</v>
      </c>
      <c r="C18" s="15">
        <f>C7/C6</f>
        <v>0.95803714744324742</v>
      </c>
      <c r="D18" s="16">
        <f t="shared" si="0"/>
        <v>5.1699377692675914E-2</v>
      </c>
      <c r="E18" s="22">
        <f t="shared" si="0"/>
        <v>0.23655656614009879</v>
      </c>
    </row>
    <row r="19" spans="1:5" x14ac:dyDescent="0.25">
      <c r="A19" s="6" t="s">
        <v>11</v>
      </c>
      <c r="B19" s="7"/>
      <c r="C19" s="18"/>
      <c r="D19" s="8">
        <f t="shared" si="0"/>
        <v>3.741460851287428E-2</v>
      </c>
      <c r="E19" s="14">
        <f t="shared" si="0"/>
        <v>0.18822911192853303</v>
      </c>
    </row>
    <row r="20" spans="1:5" ht="15.75" thickBot="1" x14ac:dyDescent="0.3">
      <c r="A20" s="9" t="s">
        <v>12</v>
      </c>
      <c r="B20" s="10">
        <f>B9/B8</f>
        <v>11.20386728455218</v>
      </c>
      <c r="C20" s="19">
        <f>C9/C8</f>
        <v>1.9847609038360572</v>
      </c>
      <c r="D20" s="16">
        <f t="shared" si="0"/>
        <v>4.072014826581942E-2</v>
      </c>
      <c r="E20" s="22">
        <f t="shared" si="0"/>
        <v>0.19984114376489223</v>
      </c>
    </row>
    <row r="22" spans="1:5" x14ac:dyDescent="0.25">
      <c r="B22" s="23" t="s">
        <v>13</v>
      </c>
    </row>
    <row r="23" spans="1:5" x14ac:dyDescent="0.2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</row>
    <row r="24" spans="1:5" x14ac:dyDescent="0.25">
      <c r="A24" s="2">
        <v>0</v>
      </c>
      <c r="B24" s="2">
        <v>820608.91839999636</v>
      </c>
      <c r="C24" s="2">
        <v>431.9999999999996</v>
      </c>
      <c r="D24" s="2">
        <v>18.999999999999972</v>
      </c>
      <c r="E24" s="2">
        <v>96.000000000000014</v>
      </c>
    </row>
    <row r="25" spans="1:5" x14ac:dyDescent="0.25">
      <c r="A25" s="2">
        <v>1</v>
      </c>
      <c r="B25" s="2">
        <v>1391118.346799999</v>
      </c>
      <c r="C25" s="2">
        <v>1141.9999999999991</v>
      </c>
      <c r="D25" s="2">
        <v>48.999999999999943</v>
      </c>
      <c r="E25" s="2">
        <v>236.99999999999949</v>
      </c>
    </row>
    <row r="26" spans="1:5" x14ac:dyDescent="0.25">
      <c r="A26" s="2">
        <v>2</v>
      </c>
      <c r="B26" s="2">
        <v>2814023.5847999961</v>
      </c>
      <c r="C26" s="2">
        <v>2743.5</v>
      </c>
      <c r="D26" s="2">
        <v>127.5</v>
      </c>
      <c r="E26" s="2">
        <v>533.49999999999955</v>
      </c>
    </row>
    <row r="27" spans="1:5" x14ac:dyDescent="0.25">
      <c r="A27" s="2">
        <v>3</v>
      </c>
      <c r="B27" s="2">
        <v>230117.38799999989</v>
      </c>
      <c r="C27" s="2">
        <v>123.99999999999849</v>
      </c>
      <c r="D27" s="2">
        <v>3.9999999999999818</v>
      </c>
      <c r="E27" s="2">
        <v>21.99999999999979</v>
      </c>
    </row>
    <row r="30" spans="1:5" x14ac:dyDescent="0.25">
      <c r="A30" s="1" t="s">
        <v>0</v>
      </c>
      <c r="B30" s="4" t="s">
        <v>1</v>
      </c>
      <c r="C30" s="4" t="s">
        <v>2</v>
      </c>
      <c r="D30" s="4" t="s">
        <v>3</v>
      </c>
      <c r="E30" s="4" t="s">
        <v>4</v>
      </c>
    </row>
    <row r="31" spans="1:5" x14ac:dyDescent="0.25">
      <c r="A31" s="2">
        <v>0</v>
      </c>
      <c r="B31" s="2">
        <v>239537.8512039996</v>
      </c>
      <c r="C31" s="2">
        <v>1418</v>
      </c>
      <c r="D31" s="24">
        <f>D24/$C24</f>
        <v>4.3981481481481455E-2</v>
      </c>
      <c r="E31" s="24">
        <f>E24/$C24</f>
        <v>0.22222222222222246</v>
      </c>
    </row>
    <row r="32" spans="1:5" x14ac:dyDescent="0.25">
      <c r="A32" s="2">
        <v>1</v>
      </c>
      <c r="B32" s="2">
        <v>1615284.14922</v>
      </c>
      <c r="C32" s="2">
        <v>5560.5</v>
      </c>
      <c r="D32" s="24">
        <f t="shared" ref="D32:E34" si="1">D25/$C25</f>
        <v>4.290718038528895E-2</v>
      </c>
      <c r="E32" s="24">
        <f t="shared" si="1"/>
        <v>0.20753064798598922</v>
      </c>
    </row>
    <row r="33" spans="1:5" x14ac:dyDescent="0.25">
      <c r="A33" s="2">
        <v>2</v>
      </c>
      <c r="B33" s="2">
        <v>1418484.1690199999</v>
      </c>
      <c r="C33" s="2">
        <v>4248.5</v>
      </c>
      <c r="D33" s="24">
        <f t="shared" si="1"/>
        <v>4.6473482777474026E-2</v>
      </c>
      <c r="E33" s="24">
        <f t="shared" si="1"/>
        <v>0.19445963185711665</v>
      </c>
    </row>
    <row r="34" spans="1:5" x14ac:dyDescent="0.25">
      <c r="A34" s="2">
        <v>3</v>
      </c>
      <c r="B34" s="2">
        <v>578868.78119999985</v>
      </c>
      <c r="C34" s="2">
        <v>2406.9999999999991</v>
      </c>
      <c r="D34" s="24">
        <f t="shared" si="1"/>
        <v>3.2258064516129274E-2</v>
      </c>
      <c r="E34" s="24">
        <f t="shared" si="1"/>
        <v>0.17741935483871013</v>
      </c>
    </row>
  </sheetData>
  <conditionalFormatting sqref="B2:B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B2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:C2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:D2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4:E2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B3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1:C3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1:D3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1:E3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2026-04-29T10:57:04Z</dcterms:created>
  <dcterms:modified xsi:type="dcterms:W3CDTF">2026-05-05T11:58:07Z</dcterms:modified>
</cp:coreProperties>
</file>