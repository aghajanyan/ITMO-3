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19830" windowHeight="1177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4" i="1" l="1"/>
  <c r="D24" i="1"/>
  <c r="C24" i="1"/>
  <c r="B24" i="1"/>
  <c r="E22" i="1"/>
  <c r="D22" i="1"/>
  <c r="C22" i="1"/>
  <c r="B22" i="1"/>
  <c r="E20" i="1"/>
  <c r="D20" i="1"/>
  <c r="C20" i="1"/>
  <c r="B20" i="1"/>
  <c r="E18" i="1"/>
  <c r="D18" i="1"/>
  <c r="C18" i="1"/>
  <c r="B18" i="1"/>
  <c r="C16" i="1"/>
  <c r="D16" i="1"/>
  <c r="E16" i="1"/>
  <c r="B16" i="1"/>
</calcChain>
</file>

<file path=xl/sharedStrings.xml><?xml version="1.0" encoding="utf-8"?>
<sst xmlns="http://schemas.openxmlformats.org/spreadsheetml/2006/main" count="10" uniqueCount="5">
  <si>
    <t>clust</t>
  </si>
  <si>
    <t>factoriescap_s</t>
  </si>
  <si>
    <t>researchorg_s</t>
  </si>
  <si>
    <t>researchersavg_s</t>
  </si>
  <si>
    <t>researchers_s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</si>
</sst>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H26" sqref="H26"/>
    </sheetView>
  </sheetViews>
  <sheetFormatPr defaultRowHeight="15" x14ac:dyDescent="0.25"/>
  <cols>
    <col min="1" max="1" width="13.28515625" customWidth="1"/>
    <col min="2" max="3" width="16.140625" customWidth="1"/>
    <col min="4" max="4" width="18.42578125" customWidth="1"/>
    <col min="5" max="5" width="1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3">
        <v>1070793.730129997</v>
      </c>
      <c r="C2" s="3">
        <v>45.999999999999979</v>
      </c>
      <c r="D2" s="3">
        <v>2190.399999999996</v>
      </c>
      <c r="E2" s="3">
        <v>2574.299999999992</v>
      </c>
    </row>
    <row r="3" spans="1:5" x14ac:dyDescent="0.25">
      <c r="A3" s="2">
        <v>0</v>
      </c>
      <c r="B3" s="3">
        <v>2767629.0447099982</v>
      </c>
      <c r="C3" s="3">
        <v>54.499999999999957</v>
      </c>
      <c r="D3" s="3">
        <v>4653.4099999999926</v>
      </c>
      <c r="E3" s="3">
        <v>5187.7999999999947</v>
      </c>
    </row>
    <row r="4" spans="1:5" x14ac:dyDescent="0.25">
      <c r="A4" s="2">
        <v>1</v>
      </c>
      <c r="B4" s="3">
        <v>159716.92475630841</v>
      </c>
      <c r="C4" s="3">
        <v>2.7777777777777501</v>
      </c>
      <c r="D4" s="3">
        <v>80.360194174752749</v>
      </c>
      <c r="E4" s="3">
        <v>88.669902912615697</v>
      </c>
    </row>
    <row r="5" spans="1:5" x14ac:dyDescent="0.25">
      <c r="A5" s="2">
        <v>1</v>
      </c>
      <c r="B5" s="3">
        <v>3135626.5212902902</v>
      </c>
      <c r="C5" s="3">
        <v>7.7012987012986844</v>
      </c>
      <c r="D5" s="3">
        <v>416.37961165048029</v>
      </c>
      <c r="E5" s="3">
        <v>461.59223300970251</v>
      </c>
    </row>
    <row r="6" spans="1:5" x14ac:dyDescent="0.25">
      <c r="A6" s="2">
        <v>2</v>
      </c>
      <c r="B6" s="3">
        <v>737279.92048333201</v>
      </c>
      <c r="C6" s="3">
        <v>33.166666666666643</v>
      </c>
      <c r="D6" s="3">
        <v>15045.5</v>
      </c>
      <c r="E6" s="3">
        <v>17607.833333333328</v>
      </c>
    </row>
    <row r="7" spans="1:5" x14ac:dyDescent="0.25">
      <c r="A7" s="2">
        <v>2</v>
      </c>
      <c r="B7" s="3">
        <v>1899618.0359333309</v>
      </c>
      <c r="C7" s="3">
        <v>47.166666666666643</v>
      </c>
      <c r="D7" s="3">
        <v>17749.383333333331</v>
      </c>
      <c r="E7" s="3">
        <v>20649.999999999989</v>
      </c>
    </row>
    <row r="8" spans="1:5" x14ac:dyDescent="0.25">
      <c r="A8" s="2">
        <v>3</v>
      </c>
      <c r="B8" s="3">
        <v>1057295.046339998</v>
      </c>
      <c r="C8" s="3">
        <v>7.1999999999999797</v>
      </c>
      <c r="D8" s="3">
        <v>3909.979999999995</v>
      </c>
      <c r="E8" s="3">
        <v>3931.3999999999928</v>
      </c>
    </row>
    <row r="9" spans="1:5" x14ac:dyDescent="0.25">
      <c r="A9" s="2">
        <v>3</v>
      </c>
      <c r="B9" s="3">
        <v>2056976.645919997</v>
      </c>
      <c r="C9" s="3">
        <v>20.199999999999971</v>
      </c>
      <c r="D9" s="3">
        <v>8136.6399999999967</v>
      </c>
      <c r="E9" s="3">
        <v>8925.1999999999935</v>
      </c>
    </row>
    <row r="10" spans="1:5" x14ac:dyDescent="0.25">
      <c r="A10" s="2">
        <v>4</v>
      </c>
      <c r="B10" s="3">
        <v>411941.4643749973</v>
      </c>
      <c r="C10" s="3">
        <v>15.2083333333333</v>
      </c>
      <c r="D10" s="3">
        <v>1057.31428571428</v>
      </c>
      <c r="E10" s="3">
        <v>1235.5925925925869</v>
      </c>
    </row>
    <row r="11" spans="1:5" x14ac:dyDescent="0.25">
      <c r="A11" s="2">
        <v>4</v>
      </c>
      <c r="B11" s="3">
        <v>3485435.6023999979</v>
      </c>
      <c r="C11" s="3">
        <v>28.185185185185169</v>
      </c>
      <c r="D11" s="3">
        <v>2311.9714285714231</v>
      </c>
      <c r="E11" s="3">
        <v>2564.8214285714212</v>
      </c>
    </row>
    <row r="14" spans="1:5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5" x14ac:dyDescent="0.25">
      <c r="A15" s="2"/>
      <c r="B15" s="2"/>
      <c r="C15" s="2"/>
      <c r="D15" s="2"/>
      <c r="E15" s="2"/>
    </row>
    <row r="16" spans="1:5" x14ac:dyDescent="0.25">
      <c r="A16" s="2">
        <v>0</v>
      </c>
      <c r="B16" s="3">
        <f>B3/B2</f>
        <v>2.5846518959108971</v>
      </c>
      <c r="C16" s="3">
        <f t="shared" ref="C16:E24" si="0">C3/C2</f>
        <v>1.1847826086956519</v>
      </c>
      <c r="D16" s="3">
        <f t="shared" si="0"/>
        <v>2.1244567202337477</v>
      </c>
      <c r="E16" s="3">
        <f t="shared" si="0"/>
        <v>2.0152274404692578</v>
      </c>
    </row>
    <row r="17" spans="1:5" x14ac:dyDescent="0.25">
      <c r="A17" s="2"/>
      <c r="B17" s="2"/>
      <c r="C17" s="2"/>
      <c r="D17" s="2"/>
      <c r="E17" s="2"/>
    </row>
    <row r="18" spans="1:5" x14ac:dyDescent="0.25">
      <c r="A18" s="2">
        <v>1</v>
      </c>
      <c r="B18" s="3">
        <f>B5/B4</f>
        <v>19.632399797795639</v>
      </c>
      <c r="C18" s="3">
        <f t="shared" si="0"/>
        <v>2.7724675324675538</v>
      </c>
      <c r="D18" s="3">
        <f t="shared" si="0"/>
        <v>5.181416196494169</v>
      </c>
      <c r="E18" s="3">
        <f t="shared" si="0"/>
        <v>5.2057374356730968</v>
      </c>
    </row>
    <row r="19" spans="1:5" x14ac:dyDescent="0.25">
      <c r="A19" s="2"/>
    </row>
    <row r="20" spans="1:5" x14ac:dyDescent="0.25">
      <c r="A20" s="2">
        <v>2</v>
      </c>
      <c r="B20" s="3">
        <f>B7/B6</f>
        <v>2.5765221365150093</v>
      </c>
      <c r="C20" s="3">
        <f t="shared" si="0"/>
        <v>1.4221105527638194</v>
      </c>
      <c r="D20" s="3">
        <f t="shared" si="0"/>
        <v>1.1797137571588403</v>
      </c>
      <c r="E20" s="3">
        <f t="shared" si="0"/>
        <v>1.1727734814997111</v>
      </c>
    </row>
    <row r="21" spans="1:5" x14ac:dyDescent="0.25">
      <c r="A21" s="2"/>
    </row>
    <row r="22" spans="1:5" x14ac:dyDescent="0.25">
      <c r="A22" s="2">
        <v>3</v>
      </c>
      <c r="B22" s="3">
        <f>B9/B8</f>
        <v>1.945508638331904</v>
      </c>
      <c r="C22" s="3">
        <f t="shared" si="0"/>
        <v>2.8055555555555594</v>
      </c>
      <c r="D22" s="3">
        <f t="shared" si="0"/>
        <v>2.0809927416508542</v>
      </c>
      <c r="E22" s="3">
        <f t="shared" si="0"/>
        <v>2.2702345220532152</v>
      </c>
    </row>
    <row r="23" spans="1:5" x14ac:dyDescent="0.25">
      <c r="A23" s="2"/>
    </row>
    <row r="24" spans="1:5" x14ac:dyDescent="0.25">
      <c r="A24" s="2">
        <v>4</v>
      </c>
      <c r="B24" s="3">
        <f>B11/B10</f>
        <v>8.4609972625313254</v>
      </c>
      <c r="C24" s="3">
        <f t="shared" si="0"/>
        <v>1.8532724505327276</v>
      </c>
      <c r="D24" s="3">
        <f t="shared" si="0"/>
        <v>2.186645408852625</v>
      </c>
      <c r="E24" s="3">
        <f t="shared" si="0"/>
        <v>2.0757824577029673</v>
      </c>
    </row>
  </sheetData>
  <conditionalFormatting sqref="B2:B1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1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2026-04-14T06:40:05Z</dcterms:created>
  <dcterms:modified xsi:type="dcterms:W3CDTF">2026-04-14T06:48:13Z</dcterms:modified>
</cp:coreProperties>
</file>