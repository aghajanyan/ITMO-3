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D24" i="1" l="1"/>
  <c r="C24" i="1"/>
  <c r="B24" i="1"/>
  <c r="D22" i="1"/>
  <c r="C22" i="1"/>
  <c r="B22" i="1"/>
  <c r="D20" i="1"/>
  <c r="C20" i="1"/>
  <c r="B20" i="1"/>
  <c r="D18" i="1"/>
  <c r="C18" i="1"/>
  <c r="B18" i="1"/>
  <c r="D16" i="1"/>
  <c r="C16" i="1"/>
  <c r="B16" i="1"/>
</calcChain>
</file>

<file path=xl/sharedStrings.xml><?xml version="1.0" encoding="utf-8"?>
<sst xmlns="http://schemas.openxmlformats.org/spreadsheetml/2006/main" count="12" uniqueCount="4">
  <si>
    <t>clust</t>
  </si>
  <si>
    <t>factoriescap_s</t>
  </si>
  <si>
    <t>researchorg_s</t>
  </si>
  <si>
    <t>researchersavg_s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</si>
</sst>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top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Border="1"/>
    <xf numFmtId="2" fontId="0" fillId="2" borderId="0" xfId="0" applyNumberForma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466724</xdr:colOff>
      <xdr:row>0</xdr:row>
      <xdr:rowOff>0</xdr:rowOff>
    </xdr:from>
    <xdr:to>
      <xdr:col>13</xdr:col>
      <xdr:colOff>42685</xdr:colOff>
      <xdr:row>20</xdr:row>
      <xdr:rowOff>44826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499" y="0"/>
          <a:ext cx="5062361" cy="38548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tabSelected="1" workbookViewId="0">
      <selection activeCell="F25" sqref="F25"/>
    </sheetView>
  </sheetViews>
  <sheetFormatPr defaultRowHeight="15" x14ac:dyDescent="0.25"/>
  <cols>
    <col min="2" max="2" width="20.42578125" customWidth="1"/>
    <col min="3" max="3" width="16" customWidth="1"/>
    <col min="4" max="4" width="18.855468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5" x14ac:dyDescent="0.25">
      <c r="A2" s="2">
        <v>0</v>
      </c>
      <c r="B2" s="3">
        <v>162837.21855912951</v>
      </c>
      <c r="C2" s="3">
        <v>4.7217391304347807</v>
      </c>
      <c r="D2" s="3">
        <v>212.19999999999871</v>
      </c>
    </row>
    <row r="3" spans="1:5" x14ac:dyDescent="0.25">
      <c r="A3" s="2">
        <v>0</v>
      </c>
      <c r="B3" s="3">
        <v>3025432.4796913038</v>
      </c>
      <c r="C3" s="3">
        <v>5.3391304347826063</v>
      </c>
      <c r="D3" s="3">
        <v>688.9017391304335</v>
      </c>
    </row>
    <row r="4" spans="1:5" x14ac:dyDescent="0.25">
      <c r="A4" s="2">
        <v>1</v>
      </c>
      <c r="B4" s="3">
        <v>801635.29944285634</v>
      </c>
      <c r="C4" s="3">
        <v>33.571428571428569</v>
      </c>
      <c r="D4" s="3">
        <v>16103.87142857143</v>
      </c>
    </row>
    <row r="5" spans="1:5" x14ac:dyDescent="0.25">
      <c r="A5" s="2">
        <v>1</v>
      </c>
      <c r="B5" s="3">
        <v>2011498.296257142</v>
      </c>
      <c r="C5" s="3">
        <v>43.428571428571431</v>
      </c>
      <c r="D5" s="3">
        <v>16420.185714285719</v>
      </c>
    </row>
    <row r="6" spans="1:5" x14ac:dyDescent="0.25">
      <c r="A6" s="2">
        <v>2</v>
      </c>
      <c r="B6" s="3">
        <v>976198.38146363525</v>
      </c>
      <c r="C6" s="3">
        <v>46.18181818181818</v>
      </c>
      <c r="D6" s="3">
        <v>2625.9363636363628</v>
      </c>
    </row>
    <row r="7" spans="1:5" x14ac:dyDescent="0.25">
      <c r="A7" s="2">
        <v>2</v>
      </c>
      <c r="B7" s="3">
        <v>2636356.2542272718</v>
      </c>
      <c r="C7" s="3">
        <v>51.81818181818182</v>
      </c>
      <c r="D7" s="3">
        <v>3627.5</v>
      </c>
    </row>
    <row r="8" spans="1:5" x14ac:dyDescent="0.25">
      <c r="A8" s="2">
        <v>3</v>
      </c>
      <c r="B8" s="3">
        <v>1714676.431074999</v>
      </c>
      <c r="C8" s="3">
        <v>56</v>
      </c>
      <c r="D8" s="3">
        <v>24939.875</v>
      </c>
    </row>
    <row r="9" spans="1:5" x14ac:dyDescent="0.25">
      <c r="A9" s="2">
        <v>3</v>
      </c>
      <c r="B9" s="3">
        <v>2915021.2695749989</v>
      </c>
      <c r="C9" s="3">
        <v>68.25</v>
      </c>
      <c r="D9" s="3">
        <v>25690.75</v>
      </c>
    </row>
    <row r="10" spans="1:5" x14ac:dyDescent="0.25">
      <c r="A10" s="2">
        <v>4</v>
      </c>
      <c r="B10" s="3">
        <v>396399.34201922989</v>
      </c>
      <c r="C10" s="3">
        <v>22.80769230769231</v>
      </c>
      <c r="D10" s="3">
        <v>1834.0230769230759</v>
      </c>
    </row>
    <row r="11" spans="1:5" x14ac:dyDescent="0.25">
      <c r="A11" s="2">
        <v>4</v>
      </c>
      <c r="B11" s="3">
        <v>3494599.600007691</v>
      </c>
      <c r="C11" s="3">
        <v>23.07692307692308</v>
      </c>
      <c r="D11" s="3">
        <v>2018.4461538461519</v>
      </c>
    </row>
    <row r="14" spans="1:5" x14ac:dyDescent="0.25">
      <c r="A14" s="4" t="s">
        <v>0</v>
      </c>
      <c r="B14" s="4" t="s">
        <v>1</v>
      </c>
      <c r="C14" s="4" t="s">
        <v>2</v>
      </c>
      <c r="D14" s="5" t="s">
        <v>3</v>
      </c>
      <c r="E14" s="6"/>
    </row>
    <row r="15" spans="1:5" x14ac:dyDescent="0.25">
      <c r="A15" s="2"/>
      <c r="B15" s="2"/>
      <c r="C15" s="2"/>
      <c r="D15" s="2"/>
      <c r="E15" s="7"/>
    </row>
    <row r="16" spans="1:5" x14ac:dyDescent="0.25">
      <c r="A16" s="2">
        <v>0</v>
      </c>
      <c r="B16" s="3">
        <f>B3/B2</f>
        <v>18.579490035889478</v>
      </c>
      <c r="C16" s="10">
        <f t="shared" ref="C16:E24" si="0">C3/C2</f>
        <v>1.1307550644567219</v>
      </c>
      <c r="D16" s="10">
        <f t="shared" si="0"/>
        <v>3.2464737942056443</v>
      </c>
      <c r="E16" s="8"/>
    </row>
    <row r="17" spans="1:5" x14ac:dyDescent="0.25">
      <c r="A17" s="2"/>
      <c r="B17" s="2"/>
      <c r="C17" s="2"/>
      <c r="D17" s="2"/>
      <c r="E17" s="7"/>
    </row>
    <row r="18" spans="1:5" x14ac:dyDescent="0.25">
      <c r="A18" s="2">
        <v>1</v>
      </c>
      <c r="B18" s="3">
        <f>B5/B4</f>
        <v>2.5092436643635221</v>
      </c>
      <c r="C18" s="10">
        <f t="shared" si="0"/>
        <v>1.2936170212765958</v>
      </c>
      <c r="D18" s="3">
        <f t="shared" si="0"/>
        <v>1.019642126871001</v>
      </c>
      <c r="E18" s="8"/>
    </row>
    <row r="19" spans="1:5" x14ac:dyDescent="0.25">
      <c r="A19" s="2"/>
      <c r="E19" s="9"/>
    </row>
    <row r="20" spans="1:5" x14ac:dyDescent="0.25">
      <c r="A20" s="2">
        <v>2</v>
      </c>
      <c r="B20" s="3">
        <f>B7/B6</f>
        <v>2.7006357563044983</v>
      </c>
      <c r="C20" s="10">
        <f t="shared" si="0"/>
        <v>1.1220472440944882</v>
      </c>
      <c r="D20" s="10">
        <f t="shared" si="0"/>
        <v>1.3814119984905822</v>
      </c>
      <c r="E20" s="8"/>
    </row>
    <row r="21" spans="1:5" x14ac:dyDescent="0.25">
      <c r="A21" s="2"/>
      <c r="E21" s="9"/>
    </row>
    <row r="22" spans="1:5" x14ac:dyDescent="0.25">
      <c r="A22" s="2">
        <v>3</v>
      </c>
      <c r="B22" s="3">
        <f>B9/B8</f>
        <v>1.7000416036204893</v>
      </c>
      <c r="C22" s="10">
        <f t="shared" si="0"/>
        <v>1.21875</v>
      </c>
      <c r="D22" s="10">
        <f t="shared" si="0"/>
        <v>1.0301074083170023</v>
      </c>
      <c r="E22" s="8"/>
    </row>
    <row r="23" spans="1:5" x14ac:dyDescent="0.25">
      <c r="A23" s="2"/>
      <c r="E23" s="9"/>
    </row>
    <row r="24" spans="1:5" x14ac:dyDescent="0.25">
      <c r="A24" s="2">
        <v>4</v>
      </c>
      <c r="B24" s="3">
        <f>B11/B10</f>
        <v>8.8158562075467906</v>
      </c>
      <c r="C24" s="3">
        <f t="shared" si="0"/>
        <v>1.0118043844856661</v>
      </c>
      <c r="D24" s="10">
        <f t="shared" si="0"/>
        <v>1.1005565738204783</v>
      </c>
      <c r="E24" s="8"/>
    </row>
    <row r="25" spans="1:5" x14ac:dyDescent="0.25">
      <c r="E25" s="9"/>
    </row>
    <row r="27" spans="1:5" x14ac:dyDescent="0.25">
      <c r="A27" s="4" t="s">
        <v>0</v>
      </c>
      <c r="B27" s="4" t="s">
        <v>1</v>
      </c>
      <c r="C27" s="4" t="s">
        <v>2</v>
      </c>
      <c r="D27" s="4" t="s">
        <v>3</v>
      </c>
    </row>
    <row r="28" spans="1:5" x14ac:dyDescent="0.25">
      <c r="A28" s="2">
        <v>0</v>
      </c>
      <c r="B28" s="2">
        <v>377383.36859999882</v>
      </c>
      <c r="C28" s="2">
        <v>4.9999999999999947</v>
      </c>
      <c r="D28" s="2">
        <v>169.99999999999909</v>
      </c>
    </row>
    <row r="29" spans="1:5" x14ac:dyDescent="0.25">
      <c r="A29" s="2">
        <v>1</v>
      </c>
      <c r="B29" s="2">
        <v>1616706.626599998</v>
      </c>
      <c r="C29" s="2">
        <v>40</v>
      </c>
      <c r="D29" s="2">
        <v>15886.6</v>
      </c>
    </row>
    <row r="30" spans="1:5" x14ac:dyDescent="0.25">
      <c r="A30" s="2">
        <v>2</v>
      </c>
      <c r="B30" s="2">
        <v>1305131.6499999999</v>
      </c>
      <c r="C30" s="2">
        <v>50</v>
      </c>
      <c r="D30" s="2">
        <v>2638.199999999998</v>
      </c>
    </row>
    <row r="31" spans="1:5" x14ac:dyDescent="0.25">
      <c r="A31" s="2">
        <v>3</v>
      </c>
      <c r="B31" s="2">
        <v>2567021.7022000002</v>
      </c>
      <c r="C31" s="2">
        <v>65</v>
      </c>
      <c r="D31" s="2">
        <v>25879.4</v>
      </c>
    </row>
    <row r="32" spans="1:5" x14ac:dyDescent="0.25">
      <c r="A32" s="2">
        <v>4</v>
      </c>
      <c r="B32" s="2">
        <v>663392.6873999997</v>
      </c>
      <c r="C32" s="2">
        <v>22.5</v>
      </c>
      <c r="D32" s="2">
        <v>1325.9999999999991</v>
      </c>
    </row>
  </sheetData>
  <conditionalFormatting sqref="B2:B1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1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1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8:B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8:C3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2026-04-29T13:00:17Z</dcterms:created>
  <dcterms:modified xsi:type="dcterms:W3CDTF">2026-04-29T13:03:32Z</dcterms:modified>
</cp:coreProperties>
</file>