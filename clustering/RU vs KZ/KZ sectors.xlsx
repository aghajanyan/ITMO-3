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RU vs KZ\"/>
    </mc:Choice>
  </mc:AlternateContent>
  <bookViews>
    <workbookView xWindow="0" yWindow="0" windowWidth="28800" windowHeight="12885"/>
  </bookViews>
  <sheets>
    <sheet name="All sectors" sheetId="1" r:id="rId1"/>
    <sheet name="IT" sheetId="3" r:id="rId2"/>
    <sheet name="Добыча" sheetId="2" r:id="rId3"/>
    <sheet name="Промышленность" sheetId="6" r:id="rId4"/>
    <sheet name="Недвижимость" sheetId="7" r:id="rId5"/>
    <sheet name="Наука" sheetId="8" r:id="rId6"/>
    <sheet name="Сельхоз" sheetId="9" r:id="rId7"/>
    <sheet name="Строительство" sheetId="12" r:id="rId8"/>
    <sheet name="Логистика" sheetId="13" r:id="rId9"/>
    <sheet name="Коммуналка" sheetId="11" r:id="rId10"/>
    <sheet name="Административный" sheetId="5" r:id="rId11"/>
  </sheets>
  <calcPr calcId="162913"/>
</workbook>
</file>

<file path=xl/calcChain.xml><?xml version="1.0" encoding="utf-8"?>
<calcChain xmlns="http://schemas.openxmlformats.org/spreadsheetml/2006/main">
  <c r="D82" i="1" l="1"/>
  <c r="E82" i="1"/>
  <c r="F82" i="1"/>
  <c r="D83" i="1"/>
  <c r="E83" i="1"/>
  <c r="F83" i="1"/>
  <c r="D84" i="1"/>
  <c r="E84" i="1"/>
  <c r="F84" i="1"/>
  <c r="D85" i="1"/>
  <c r="E85" i="1"/>
  <c r="F85" i="1"/>
  <c r="D86" i="1"/>
  <c r="E86" i="1"/>
  <c r="F86" i="1"/>
  <c r="D87" i="1"/>
  <c r="E87" i="1"/>
  <c r="F87" i="1"/>
  <c r="D88" i="1"/>
  <c r="E88" i="1"/>
  <c r="F88" i="1"/>
  <c r="D89" i="1"/>
  <c r="E89" i="1"/>
  <c r="F89" i="1"/>
  <c r="C89" i="1"/>
  <c r="C85" i="1"/>
  <c r="C86" i="1"/>
  <c r="C87" i="1"/>
  <c r="C88" i="1"/>
  <c r="C84" i="1"/>
  <c r="C82" i="1"/>
  <c r="C83" i="1"/>
  <c r="D80" i="1"/>
  <c r="E80" i="1"/>
  <c r="F80" i="1"/>
  <c r="C80" i="1"/>
  <c r="F8" i="13" l="1"/>
  <c r="E8" i="13"/>
  <c r="D8" i="13"/>
  <c r="C8" i="13"/>
  <c r="F8" i="12"/>
  <c r="E8" i="12"/>
  <c r="D8" i="12"/>
  <c r="C8" i="12"/>
  <c r="F8" i="11"/>
  <c r="E8" i="11"/>
  <c r="D8" i="11"/>
  <c r="C8" i="11"/>
  <c r="F8" i="9"/>
  <c r="E8" i="9"/>
  <c r="D8" i="9"/>
  <c r="C8" i="9"/>
  <c r="F8" i="8"/>
  <c r="E8" i="8"/>
  <c r="D8" i="8"/>
  <c r="C8" i="8"/>
  <c r="F8" i="7"/>
  <c r="E8" i="7"/>
  <c r="D8" i="7"/>
  <c r="C8" i="7"/>
  <c r="F8" i="6"/>
  <c r="E8" i="6"/>
  <c r="D8" i="6"/>
  <c r="C8" i="6"/>
  <c r="F8" i="5"/>
  <c r="E8" i="5"/>
  <c r="D8" i="5"/>
  <c r="C8" i="5"/>
  <c r="F8" i="3"/>
  <c r="E8" i="3"/>
  <c r="D8" i="3"/>
  <c r="C8" i="3"/>
  <c r="D8" i="2"/>
  <c r="E8" i="2"/>
  <c r="F8" i="2"/>
  <c r="C8" i="2"/>
</calcChain>
</file>

<file path=xl/sharedStrings.xml><?xml version="1.0" encoding="utf-8"?>
<sst xmlns="http://schemas.openxmlformats.org/spreadsheetml/2006/main" count="284" uniqueCount="31">
  <si>
    <t>sector</t>
  </si>
  <si>
    <t>year</t>
  </si>
  <si>
    <t>VDS_s</t>
  </si>
  <si>
    <t>ITusage_s</t>
  </si>
  <si>
    <t>BDusage_s</t>
  </si>
  <si>
    <t>ITcosts_s</t>
  </si>
  <si>
    <t>Горнодобывающая промышленность и разработка карьеров</t>
  </si>
  <si>
    <t>Деятельность в области административного и вспомогательного обслуживания</t>
  </si>
  <si>
    <t>Информация и связь</t>
  </si>
  <si>
    <t>Обрабатывающая промышленность</t>
  </si>
  <si>
    <t>Операции с недвижимым имуществом</t>
  </si>
  <si>
    <t>Профессиональная, научная и техническая деятельность</t>
  </si>
  <si>
    <t>Сельское, лесное и рыбное хозяйство</t>
  </si>
  <si>
    <t>Снабжение электроэнергией, газом, паром, горячей водой и кондиционированным воздухом</t>
  </si>
  <si>
    <t>Строительство</t>
  </si>
  <si>
    <t>Транспорт и складирование</t>
  </si>
  <si>
    <t>Финансовая и страховая деятельность</t>
  </si>
  <si>
    <t>Медиана</t>
  </si>
  <si>
    <t>Медианы секторов (Казахстан)</t>
  </si>
  <si>
    <t>Добыча</t>
  </si>
  <si>
    <t>Промышленность</t>
  </si>
  <si>
    <t>IT</t>
  </si>
  <si>
    <t>Недвижимость</t>
  </si>
  <si>
    <t>Наука</t>
  </si>
  <si>
    <t>Сельхоз</t>
  </si>
  <si>
    <t>Логистика</t>
  </si>
  <si>
    <t>Коммуналка</t>
  </si>
  <si>
    <t>Административный</t>
  </si>
  <si>
    <t>Медианы секторов (РФ)</t>
  </si>
  <si>
    <t>Казахстан</t>
  </si>
  <si>
    <t>РФ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</si>
</sst>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'All sectors'!$B$57:$B$66</c:f>
              <c:strCache>
                <c:ptCount val="10"/>
                <c:pt idx="0">
                  <c:v>IT</c:v>
                </c:pt>
                <c:pt idx="1">
                  <c:v>Добыча</c:v>
                </c:pt>
                <c:pt idx="2">
                  <c:v>Промышленность</c:v>
                </c:pt>
                <c:pt idx="3">
                  <c:v>Недвижимость</c:v>
                </c:pt>
                <c:pt idx="4">
                  <c:v>Наука</c:v>
                </c:pt>
                <c:pt idx="5">
                  <c:v>Сельхоз</c:v>
                </c:pt>
                <c:pt idx="6">
                  <c:v>Строительство</c:v>
                </c:pt>
                <c:pt idx="7">
                  <c:v>Логистика</c:v>
                </c:pt>
                <c:pt idx="8">
                  <c:v>Коммуналка</c:v>
                </c:pt>
                <c:pt idx="9">
                  <c:v>Административный</c:v>
                </c:pt>
              </c:strCache>
            </c:strRef>
          </c:cat>
          <c:val>
            <c:numRef>
              <c:f>'All sectors'!$C$57:$C$66</c:f>
              <c:numCache>
                <c:formatCode>General</c:formatCode>
                <c:ptCount val="10"/>
                <c:pt idx="0">
                  <c:v>1862064.4055999999</c:v>
                </c:pt>
                <c:pt idx="1">
                  <c:v>10832458.244999999</c:v>
                </c:pt>
                <c:pt idx="2">
                  <c:v>10469620.812000001</c:v>
                </c:pt>
                <c:pt idx="3">
                  <c:v>6304234.7850000011</c:v>
                </c:pt>
                <c:pt idx="4">
                  <c:v>2913359.87</c:v>
                </c:pt>
                <c:pt idx="5">
                  <c:v>3279622.7940000002</c:v>
                </c:pt>
                <c:pt idx="6">
                  <c:v>4765552.5</c:v>
                </c:pt>
                <c:pt idx="7">
                  <c:v>4917959.9280000003</c:v>
                </c:pt>
                <c:pt idx="8">
                  <c:v>1234589.98</c:v>
                </c:pt>
                <c:pt idx="9">
                  <c:v>1886286.425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F4-4AAB-A84E-E0221FCA1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545935"/>
        <c:axId val="1805546351"/>
      </c:radarChart>
      <c:catAx>
        <c:axId val="180554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5546351"/>
        <c:crosses val="autoZero"/>
        <c:auto val="1"/>
        <c:lblAlgn val="ctr"/>
        <c:lblOffset val="100"/>
        <c:noMultiLvlLbl val="0"/>
      </c:catAx>
      <c:valAx>
        <c:axId val="180554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554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tx1"/>
                </a:solidFill>
              </a:rPr>
              <a:t>Распределение</a:t>
            </a:r>
            <a:r>
              <a:rPr lang="ru-RU" baseline="0">
                <a:solidFill>
                  <a:schemeClr val="tx1"/>
                </a:solidFill>
              </a:rPr>
              <a:t> ВДС по секторам экономики</a:t>
            </a:r>
            <a:endParaRPr lang="en-US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'All sectors'!$C$81</c:f>
              <c:strCache>
                <c:ptCount val="1"/>
                <c:pt idx="0">
                  <c:v>Казахстан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'All sectors'!$B$105:$B$112</c:f>
              <c:strCache>
                <c:ptCount val="8"/>
                <c:pt idx="0">
                  <c:v>IT</c:v>
                </c:pt>
                <c:pt idx="1">
                  <c:v>Добыча</c:v>
                </c:pt>
                <c:pt idx="2">
                  <c:v>Промышленность</c:v>
                </c:pt>
                <c:pt idx="3">
                  <c:v>Недвижимость</c:v>
                </c:pt>
                <c:pt idx="4">
                  <c:v>Наука</c:v>
                </c:pt>
                <c:pt idx="5">
                  <c:v>Сельхоз</c:v>
                </c:pt>
                <c:pt idx="6">
                  <c:v>Строительство</c:v>
                </c:pt>
                <c:pt idx="7">
                  <c:v>Логистика</c:v>
                </c:pt>
              </c:strCache>
            </c:strRef>
          </c:cat>
          <c:val>
            <c:numRef>
              <c:f>'All sectors'!$C$105:$C$112</c:f>
              <c:numCache>
                <c:formatCode>0.00</c:formatCode>
                <c:ptCount val="8"/>
                <c:pt idx="0">
                  <c:v>0.17189675357940878</c:v>
                </c:pt>
                <c:pt idx="1">
                  <c:v>1</c:v>
                </c:pt>
                <c:pt idx="2">
                  <c:v>0.96650460820677753</c:v>
                </c:pt>
                <c:pt idx="3">
                  <c:v>0.58197637529873547</c:v>
                </c:pt>
                <c:pt idx="4">
                  <c:v>0.2689472513170994</c:v>
                </c:pt>
                <c:pt idx="5">
                  <c:v>0.30275886782335809</c:v>
                </c:pt>
                <c:pt idx="6">
                  <c:v>0.43993269045829592</c:v>
                </c:pt>
                <c:pt idx="7">
                  <c:v>0.45400220492610821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C-4EC4-B768-C83E5816B4A1}"/>
            </c:ext>
          </c:extLst>
        </c:ser>
        <c:ser>
          <c:idx val="1"/>
          <c:order val="1"/>
          <c:tx>
            <c:strRef>
              <c:f>'All sectors'!$D$81</c:f>
              <c:strCache>
                <c:ptCount val="1"/>
                <c:pt idx="0">
                  <c:v>РФ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'All sectors'!$B$105:$B$112</c:f>
              <c:strCache>
                <c:ptCount val="8"/>
                <c:pt idx="0">
                  <c:v>IT</c:v>
                </c:pt>
                <c:pt idx="1">
                  <c:v>Добыча</c:v>
                </c:pt>
                <c:pt idx="2">
                  <c:v>Промышленность</c:v>
                </c:pt>
                <c:pt idx="3">
                  <c:v>Недвижимость</c:v>
                </c:pt>
                <c:pt idx="4">
                  <c:v>Наука</c:v>
                </c:pt>
                <c:pt idx="5">
                  <c:v>Сельхоз</c:v>
                </c:pt>
                <c:pt idx="6">
                  <c:v>Строительство</c:v>
                </c:pt>
                <c:pt idx="7">
                  <c:v>Логистика</c:v>
                </c:pt>
              </c:strCache>
            </c:strRef>
          </c:cat>
          <c:val>
            <c:numRef>
              <c:f>'All sectors'!$D$105:$D$112</c:f>
              <c:numCache>
                <c:formatCode>0.00</c:formatCode>
                <c:ptCount val="8"/>
                <c:pt idx="0">
                  <c:v>0.23909221105397971</c:v>
                </c:pt>
                <c:pt idx="1">
                  <c:v>0.87525754686183355</c:v>
                </c:pt>
                <c:pt idx="2">
                  <c:v>1</c:v>
                </c:pt>
                <c:pt idx="3">
                  <c:v>0.66866212817380788</c:v>
                </c:pt>
                <c:pt idx="4">
                  <c:v>0.30698749074179937</c:v>
                </c:pt>
                <c:pt idx="5">
                  <c:v>0.23562909901325846</c:v>
                </c:pt>
                <c:pt idx="6">
                  <c:v>0.33066611516635985</c:v>
                </c:pt>
                <c:pt idx="7">
                  <c:v>0.45264393486741733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6C-4EC4-B768-C83E5816B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058416"/>
        <c:axId val="814057168"/>
      </c:radarChart>
      <c:catAx>
        <c:axId val="81405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4057168"/>
        <c:crosses val="autoZero"/>
        <c:auto val="1"/>
        <c:lblAlgn val="ctr"/>
        <c:lblOffset val="100"/>
        <c:noMultiLvlLbl val="0"/>
      </c:catAx>
      <c:valAx>
        <c:axId val="8140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405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tx1"/>
                </a:solidFill>
              </a:rPr>
              <a:t>Распределение</a:t>
            </a:r>
            <a:r>
              <a:rPr lang="ru-RU" baseline="0">
                <a:solidFill>
                  <a:schemeClr val="tx1"/>
                </a:solidFill>
              </a:rPr>
              <a:t> затрат на внедрение </a:t>
            </a:r>
            <a:r>
              <a:rPr lang="en-US" baseline="0">
                <a:solidFill>
                  <a:schemeClr val="tx1"/>
                </a:solidFill>
              </a:rPr>
              <a:t>IT-</a:t>
            </a:r>
            <a:r>
              <a:rPr lang="ru-RU" baseline="0">
                <a:solidFill>
                  <a:schemeClr val="tx1"/>
                </a:solidFill>
              </a:rPr>
              <a:t>технологий по секторам экономики</a:t>
            </a:r>
            <a:endParaRPr lang="en-US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'All sectors'!$C$81</c:f>
              <c:strCache>
                <c:ptCount val="1"/>
                <c:pt idx="0">
                  <c:v>Казахстан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'All sectors'!$B$116:$B$123</c:f>
              <c:strCache>
                <c:ptCount val="8"/>
                <c:pt idx="0">
                  <c:v>IT</c:v>
                </c:pt>
                <c:pt idx="1">
                  <c:v>Добыча</c:v>
                </c:pt>
                <c:pt idx="2">
                  <c:v>Промышленность</c:v>
                </c:pt>
                <c:pt idx="3">
                  <c:v>Недвижимость</c:v>
                </c:pt>
                <c:pt idx="4">
                  <c:v>Наука</c:v>
                </c:pt>
                <c:pt idx="5">
                  <c:v>Сельхоз</c:v>
                </c:pt>
                <c:pt idx="6">
                  <c:v>Строительство</c:v>
                </c:pt>
                <c:pt idx="7">
                  <c:v>Логистика</c:v>
                </c:pt>
              </c:strCache>
            </c:strRef>
          </c:cat>
          <c:val>
            <c:numRef>
              <c:f>'All sectors'!$C$116:$C$123</c:f>
              <c:numCache>
                <c:formatCode>0.00</c:formatCode>
                <c:ptCount val="8"/>
                <c:pt idx="0">
                  <c:v>1</c:v>
                </c:pt>
                <c:pt idx="1">
                  <c:v>0.40273161712274291</c:v>
                </c:pt>
                <c:pt idx="2">
                  <c:v>0.31419559936997044</c:v>
                </c:pt>
                <c:pt idx="3">
                  <c:v>2.2539219608867549E-2</c:v>
                </c:pt>
                <c:pt idx="4">
                  <c:v>0.17160380347638785</c:v>
                </c:pt>
                <c:pt idx="5">
                  <c:v>1.1459374698038679E-2</c:v>
                </c:pt>
                <c:pt idx="6">
                  <c:v>5.1888826390731939E-2</c:v>
                </c:pt>
                <c:pt idx="7">
                  <c:v>0.16087984777659106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C-4522-A76D-68D55F603C25}"/>
            </c:ext>
          </c:extLst>
        </c:ser>
        <c:ser>
          <c:idx val="1"/>
          <c:order val="1"/>
          <c:tx>
            <c:strRef>
              <c:f>'All sectors'!$D$81</c:f>
              <c:strCache>
                <c:ptCount val="1"/>
                <c:pt idx="0">
                  <c:v>РФ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'All sectors'!$B$116:$B$123</c:f>
              <c:strCache>
                <c:ptCount val="8"/>
                <c:pt idx="0">
                  <c:v>IT</c:v>
                </c:pt>
                <c:pt idx="1">
                  <c:v>Добыча</c:v>
                </c:pt>
                <c:pt idx="2">
                  <c:v>Промышленность</c:v>
                </c:pt>
                <c:pt idx="3">
                  <c:v>Недвижимость</c:v>
                </c:pt>
                <c:pt idx="4">
                  <c:v>Наука</c:v>
                </c:pt>
                <c:pt idx="5">
                  <c:v>Сельхоз</c:v>
                </c:pt>
                <c:pt idx="6">
                  <c:v>Строительство</c:v>
                </c:pt>
                <c:pt idx="7">
                  <c:v>Логистика</c:v>
                </c:pt>
              </c:strCache>
            </c:strRef>
          </c:cat>
          <c:val>
            <c:numRef>
              <c:f>'All sectors'!$D$116:$D$123</c:f>
              <c:numCache>
                <c:formatCode>0.00</c:formatCode>
                <c:ptCount val="8"/>
                <c:pt idx="0">
                  <c:v>1</c:v>
                </c:pt>
                <c:pt idx="1">
                  <c:v>6.8481463056614095E-2</c:v>
                </c:pt>
                <c:pt idx="2">
                  <c:v>0.30837423906026395</c:v>
                </c:pt>
                <c:pt idx="3">
                  <c:v>2.8515961341410913E-2</c:v>
                </c:pt>
                <c:pt idx="4">
                  <c:v>0.21637851304519196</c:v>
                </c:pt>
                <c:pt idx="5">
                  <c:v>8.1808097742136088E-3</c:v>
                </c:pt>
                <c:pt idx="6">
                  <c:v>2.3271437218520076E-2</c:v>
                </c:pt>
                <c:pt idx="7">
                  <c:v>0.18542309535056511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C-4522-A76D-68D55F603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058416"/>
        <c:axId val="814057168"/>
      </c:radarChart>
      <c:catAx>
        <c:axId val="81405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4057168"/>
        <c:crosses val="autoZero"/>
        <c:auto val="1"/>
        <c:lblAlgn val="ctr"/>
        <c:lblOffset val="100"/>
        <c:noMultiLvlLbl val="0"/>
      </c:catAx>
      <c:valAx>
        <c:axId val="8140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405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tx1"/>
                </a:solidFill>
              </a:rPr>
              <a:t>Распределение</a:t>
            </a:r>
            <a:r>
              <a:rPr lang="ru-RU" baseline="0">
                <a:solidFill>
                  <a:schemeClr val="tx1"/>
                </a:solidFill>
              </a:rPr>
              <a:t> числа организаций использующих технологии сбора, обработки и анализа больших данных по секторам экономики</a:t>
            </a:r>
            <a:endParaRPr lang="en-US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'All sectors'!$C$81</c:f>
              <c:strCache>
                <c:ptCount val="1"/>
                <c:pt idx="0">
                  <c:v>Казахстан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'All sectors'!$B$126:$B$133</c:f>
              <c:strCache>
                <c:ptCount val="8"/>
                <c:pt idx="0">
                  <c:v>IT</c:v>
                </c:pt>
                <c:pt idx="1">
                  <c:v>Добыча</c:v>
                </c:pt>
                <c:pt idx="2">
                  <c:v>Промышленность</c:v>
                </c:pt>
                <c:pt idx="3">
                  <c:v>Недвижимость</c:v>
                </c:pt>
                <c:pt idx="4">
                  <c:v>Наука</c:v>
                </c:pt>
                <c:pt idx="5">
                  <c:v>Сельхоз</c:v>
                </c:pt>
                <c:pt idx="6">
                  <c:v>Строительство</c:v>
                </c:pt>
                <c:pt idx="7">
                  <c:v>Логистика</c:v>
                </c:pt>
              </c:strCache>
            </c:strRef>
          </c:cat>
          <c:val>
            <c:numRef>
              <c:f>'All sectors'!$C$126:$C$133</c:f>
              <c:numCache>
                <c:formatCode>0.00</c:formatCode>
                <c:ptCount val="8"/>
                <c:pt idx="0">
                  <c:v>1</c:v>
                </c:pt>
                <c:pt idx="1">
                  <c:v>0.50544662309368193</c:v>
                </c:pt>
                <c:pt idx="2">
                  <c:v>0.47791102514506761</c:v>
                </c:pt>
                <c:pt idx="3">
                  <c:v>0.12128300549353181</c:v>
                </c:pt>
                <c:pt idx="4">
                  <c:v>0.42401259497569999</c:v>
                </c:pt>
                <c:pt idx="5">
                  <c:v>9.1496179442938114E-2</c:v>
                </c:pt>
                <c:pt idx="6">
                  <c:v>0.26300651145359993</c:v>
                </c:pt>
                <c:pt idx="7">
                  <c:v>0.41596151743741117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0-4837-BC89-0032B236F324}"/>
            </c:ext>
          </c:extLst>
        </c:ser>
        <c:ser>
          <c:idx val="1"/>
          <c:order val="1"/>
          <c:tx>
            <c:strRef>
              <c:f>'All sectors'!$D$81</c:f>
              <c:strCache>
                <c:ptCount val="1"/>
                <c:pt idx="0">
                  <c:v>РФ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'All sectors'!$B$126:$B$133</c:f>
              <c:strCache>
                <c:ptCount val="8"/>
                <c:pt idx="0">
                  <c:v>IT</c:v>
                </c:pt>
                <c:pt idx="1">
                  <c:v>Добыча</c:v>
                </c:pt>
                <c:pt idx="2">
                  <c:v>Промышленность</c:v>
                </c:pt>
                <c:pt idx="3">
                  <c:v>Недвижимость</c:v>
                </c:pt>
                <c:pt idx="4">
                  <c:v>Наука</c:v>
                </c:pt>
                <c:pt idx="5">
                  <c:v>Сельхоз</c:v>
                </c:pt>
                <c:pt idx="6">
                  <c:v>Строительство</c:v>
                </c:pt>
                <c:pt idx="7">
                  <c:v>Логистика</c:v>
                </c:pt>
              </c:strCache>
            </c:strRef>
          </c:cat>
          <c:val>
            <c:numRef>
              <c:f>'All sectors'!$D$126:$D$133</c:f>
              <c:numCache>
                <c:formatCode>0.00</c:formatCode>
                <c:ptCount val="8"/>
                <c:pt idx="0">
                  <c:v>1</c:v>
                </c:pt>
                <c:pt idx="1">
                  <c:v>0.68607147392914902</c:v>
                </c:pt>
                <c:pt idx="2">
                  <c:v>0.80063757597530205</c:v>
                </c:pt>
                <c:pt idx="3">
                  <c:v>0.55400770573728275</c:v>
                </c:pt>
                <c:pt idx="4">
                  <c:v>0.58433435380303211</c:v>
                </c:pt>
                <c:pt idx="5">
                  <c:v>0.64644485253175021</c:v>
                </c:pt>
                <c:pt idx="6">
                  <c:v>0.62224991381325467</c:v>
                </c:pt>
                <c:pt idx="7">
                  <c:v>0.91469804388033071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90-4837-BC89-0032B236F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058416"/>
        <c:axId val="814057168"/>
      </c:radarChart>
      <c:catAx>
        <c:axId val="81405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4057168"/>
        <c:crosses val="autoZero"/>
        <c:auto val="1"/>
        <c:lblAlgn val="ctr"/>
        <c:lblOffset val="100"/>
        <c:noMultiLvlLbl val="0"/>
      </c:catAx>
      <c:valAx>
        <c:axId val="8140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405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tx1"/>
                </a:solidFill>
              </a:rPr>
              <a:t>Распределение</a:t>
            </a:r>
            <a:r>
              <a:rPr lang="ru-RU" baseline="0">
                <a:solidFill>
                  <a:schemeClr val="tx1"/>
                </a:solidFill>
              </a:rPr>
              <a:t> числа организаций использующих цифровые технологии по секторам экономики</a:t>
            </a:r>
            <a:endParaRPr lang="en-US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'All sectors'!$C$81</c:f>
              <c:strCache>
                <c:ptCount val="1"/>
                <c:pt idx="0">
                  <c:v>Казахстан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'All sectors'!$B$136:$B$143</c:f>
              <c:strCache>
                <c:ptCount val="8"/>
                <c:pt idx="0">
                  <c:v>IT</c:v>
                </c:pt>
                <c:pt idx="1">
                  <c:v>Добыча</c:v>
                </c:pt>
                <c:pt idx="2">
                  <c:v>Промышленность</c:v>
                </c:pt>
                <c:pt idx="3">
                  <c:v>Недвижимость</c:v>
                </c:pt>
                <c:pt idx="4">
                  <c:v>Наука</c:v>
                </c:pt>
                <c:pt idx="5">
                  <c:v>Сельхоз</c:v>
                </c:pt>
                <c:pt idx="6">
                  <c:v>Строительство</c:v>
                </c:pt>
                <c:pt idx="7">
                  <c:v>Логистика</c:v>
                </c:pt>
              </c:strCache>
            </c:strRef>
          </c:cat>
          <c:val>
            <c:numRef>
              <c:f>'All sectors'!$C$136:$C$143</c:f>
              <c:numCache>
                <c:formatCode>0.00</c:formatCode>
                <c:ptCount val="8"/>
                <c:pt idx="0">
                  <c:v>0.37726498373857831</c:v>
                </c:pt>
                <c:pt idx="1">
                  <c:v>8.1100614320375825E-2</c:v>
                </c:pt>
                <c:pt idx="2">
                  <c:v>0.53378762067007379</c:v>
                </c:pt>
                <c:pt idx="3">
                  <c:v>0.53306489081616848</c:v>
                </c:pt>
                <c:pt idx="4">
                  <c:v>0.7541686025502039</c:v>
                </c:pt>
                <c:pt idx="5">
                  <c:v>0.41887357389912755</c:v>
                </c:pt>
                <c:pt idx="6">
                  <c:v>1</c:v>
                </c:pt>
                <c:pt idx="7">
                  <c:v>0.42336482370553918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7-4A4A-BF3A-8CB1F5EB21E3}"/>
            </c:ext>
          </c:extLst>
        </c:ser>
        <c:ser>
          <c:idx val="1"/>
          <c:order val="1"/>
          <c:tx>
            <c:strRef>
              <c:f>'All sectors'!$D$81</c:f>
              <c:strCache>
                <c:ptCount val="1"/>
                <c:pt idx="0">
                  <c:v>РФ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'All sectors'!$B$136:$B$143</c:f>
              <c:strCache>
                <c:ptCount val="8"/>
                <c:pt idx="0">
                  <c:v>IT</c:v>
                </c:pt>
                <c:pt idx="1">
                  <c:v>Добыча</c:v>
                </c:pt>
                <c:pt idx="2">
                  <c:v>Промышленность</c:v>
                </c:pt>
                <c:pt idx="3">
                  <c:v>Недвижимость</c:v>
                </c:pt>
                <c:pt idx="4">
                  <c:v>Наука</c:v>
                </c:pt>
                <c:pt idx="5">
                  <c:v>Сельхоз</c:v>
                </c:pt>
                <c:pt idx="6">
                  <c:v>Строительство</c:v>
                </c:pt>
                <c:pt idx="7">
                  <c:v>Логистика</c:v>
                </c:pt>
              </c:strCache>
            </c:strRef>
          </c:cat>
          <c:val>
            <c:numRef>
              <c:f>'All sectors'!$D$136:$D$143</c:f>
              <c:numCache>
                <c:formatCode>0.00</c:formatCode>
                <c:ptCount val="8"/>
                <c:pt idx="0">
                  <c:v>0.55954614082444987</c:v>
                </c:pt>
                <c:pt idx="1">
                  <c:v>0.11136020496865992</c:v>
                </c:pt>
                <c:pt idx="2">
                  <c:v>0.78139726403440546</c:v>
                </c:pt>
                <c:pt idx="3">
                  <c:v>0.40261701056869653</c:v>
                </c:pt>
                <c:pt idx="4">
                  <c:v>1</c:v>
                </c:pt>
                <c:pt idx="5">
                  <c:v>0.26252459166399783</c:v>
                </c:pt>
                <c:pt idx="6">
                  <c:v>0.3124857025209315</c:v>
                </c:pt>
                <c:pt idx="7">
                  <c:v>0.51205563435055135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27-4A4A-BF3A-8CB1F5EB2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058416"/>
        <c:axId val="814057168"/>
      </c:radarChart>
      <c:catAx>
        <c:axId val="81405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4057168"/>
        <c:crosses val="autoZero"/>
        <c:auto val="1"/>
        <c:lblAlgn val="ctr"/>
        <c:lblOffset val="100"/>
        <c:noMultiLvlLbl val="0"/>
      </c:catAx>
      <c:valAx>
        <c:axId val="8140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405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201705</xdr:colOff>
      <xdr:row>38</xdr:row>
      <xdr:rowOff>124384</xdr:rowOff>
    </xdr:from>
    <xdr:to>
      <xdr:col>18</xdr:col>
      <xdr:colOff>425823</xdr:colOff>
      <xdr:row>65</xdr:row>
      <xdr:rowOff>168087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268941</xdr:colOff>
      <xdr:row>67</xdr:row>
      <xdr:rowOff>158002</xdr:rowOff>
    </xdr:from>
    <xdr:to>
      <xdr:col>20</xdr:col>
      <xdr:colOff>56029</xdr:colOff>
      <xdr:row>93</xdr:row>
      <xdr:rowOff>33618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336176</xdr:colOff>
      <xdr:row>95</xdr:row>
      <xdr:rowOff>56029</xdr:rowOff>
    </xdr:from>
    <xdr:to>
      <xdr:col>20</xdr:col>
      <xdr:colOff>123264</xdr:colOff>
      <xdr:row>120</xdr:row>
      <xdr:rowOff>122145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324971</xdr:colOff>
      <xdr:row>122</xdr:row>
      <xdr:rowOff>134470</xdr:rowOff>
    </xdr:from>
    <xdr:to>
      <xdr:col>20</xdr:col>
      <xdr:colOff>112059</xdr:colOff>
      <xdr:row>148</xdr:row>
      <xdr:rowOff>10086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381000</xdr:colOff>
      <xdr:row>149</xdr:row>
      <xdr:rowOff>44823</xdr:rowOff>
    </xdr:from>
    <xdr:to>
      <xdr:col>20</xdr:col>
      <xdr:colOff>168088</xdr:colOff>
      <xdr:row>174</xdr:row>
      <xdr:rowOff>110939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topLeftCell="A61" zoomScale="85" zoomScaleNormal="85" workbookViewId="0">
      <selection activeCell="V78" sqref="V78"/>
    </sheetView>
  </sheetViews>
  <sheetFormatPr defaultRowHeight="15" x14ac:dyDescent="0.25"/>
  <cols>
    <col min="1" max="1" width="88.28515625" customWidth="1"/>
    <col min="3" max="3" width="16" customWidth="1"/>
    <col min="4" max="4" width="12.7109375" customWidth="1"/>
    <col min="5" max="5" width="13.5703125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2021</v>
      </c>
      <c r="C2" s="4">
        <v>11886878</v>
      </c>
      <c r="D2" s="2">
        <v>1339</v>
      </c>
      <c r="E2" s="3">
        <v>1.9417475728155342E-2</v>
      </c>
      <c r="F2" s="4">
        <v>67742.100000000006</v>
      </c>
    </row>
    <row r="3" spans="1:6" x14ac:dyDescent="0.25">
      <c r="A3" s="2" t="s">
        <v>6</v>
      </c>
      <c r="B3" s="2">
        <v>2022</v>
      </c>
      <c r="C3" s="4">
        <v>12929253.949999999</v>
      </c>
      <c r="D3" s="2">
        <v>1571</v>
      </c>
      <c r="E3" s="3">
        <v>2.1642266072565249E-2</v>
      </c>
      <c r="F3" s="4">
        <v>70078.505000000005</v>
      </c>
    </row>
    <row r="4" spans="1:6" x14ac:dyDescent="0.25">
      <c r="A4" s="2" t="s">
        <v>6</v>
      </c>
      <c r="B4" s="2">
        <v>2023</v>
      </c>
      <c r="C4" s="4">
        <v>10832458.244999999</v>
      </c>
      <c r="D4" s="2">
        <v>1613</v>
      </c>
      <c r="E4" s="3">
        <v>2.603843769373838E-2</v>
      </c>
      <c r="F4" s="4">
        <v>84612.337500000009</v>
      </c>
    </row>
    <row r="5" spans="1:6" x14ac:dyDescent="0.25">
      <c r="A5" s="2" t="s">
        <v>6</v>
      </c>
      <c r="B5" s="2">
        <v>2024</v>
      </c>
      <c r="C5" s="4">
        <v>10153770.282</v>
      </c>
      <c r="D5" s="2">
        <v>1836</v>
      </c>
      <c r="E5" s="3">
        <v>2.178649237472767E-2</v>
      </c>
      <c r="F5" s="4">
        <v>48542.602199999987</v>
      </c>
    </row>
    <row r="6" spans="1:6" x14ac:dyDescent="0.25">
      <c r="A6" s="2" t="s">
        <v>6</v>
      </c>
      <c r="B6" s="2">
        <v>2025</v>
      </c>
      <c r="C6" s="4">
        <v>9396120.3839999996</v>
      </c>
      <c r="D6" s="2">
        <v>1505</v>
      </c>
      <c r="E6" s="3">
        <v>3.3887043189368769E-2</v>
      </c>
      <c r="F6" s="4">
        <v>44273.930399999997</v>
      </c>
    </row>
    <row r="7" spans="1:6" x14ac:dyDescent="0.25">
      <c r="A7" s="2" t="s">
        <v>7</v>
      </c>
      <c r="B7" s="2">
        <v>2021</v>
      </c>
      <c r="C7" s="4">
        <v>1741828.5</v>
      </c>
      <c r="D7" s="2">
        <v>9633</v>
      </c>
      <c r="E7" s="3">
        <v>5.3981106612685558E-3</v>
      </c>
      <c r="F7" s="4">
        <v>3351.3</v>
      </c>
    </row>
    <row r="8" spans="1:6" x14ac:dyDescent="0.25">
      <c r="A8" s="2" t="s">
        <v>7</v>
      </c>
      <c r="B8" s="2">
        <v>2022</v>
      </c>
      <c r="C8" s="4">
        <v>1886286.425</v>
      </c>
      <c r="D8" s="2">
        <v>11085</v>
      </c>
      <c r="E8" s="3">
        <v>1.0464591790708159E-2</v>
      </c>
      <c r="F8" s="4">
        <v>17033.744999999999</v>
      </c>
    </row>
    <row r="9" spans="1:6" x14ac:dyDescent="0.25">
      <c r="A9" s="2" t="s">
        <v>7</v>
      </c>
      <c r="B9" s="2">
        <v>2023</v>
      </c>
      <c r="C9" s="4">
        <v>1989346.0874999999</v>
      </c>
      <c r="D9" s="2">
        <v>11581</v>
      </c>
      <c r="E9" s="3">
        <v>7.5123046369052759E-3</v>
      </c>
      <c r="F9" s="4">
        <v>7830.7875000000004</v>
      </c>
    </row>
    <row r="10" spans="1:6" x14ac:dyDescent="0.25">
      <c r="A10" s="2" t="s">
        <v>7</v>
      </c>
      <c r="B10" s="2">
        <v>2024</v>
      </c>
      <c r="C10" s="4">
        <v>1983896.493</v>
      </c>
      <c r="D10" s="2">
        <v>12537</v>
      </c>
      <c r="E10" s="3">
        <v>1.57932519741565E-2</v>
      </c>
      <c r="F10" s="4">
        <v>5482.1543999999994</v>
      </c>
    </row>
    <row r="11" spans="1:6" x14ac:dyDescent="0.25">
      <c r="A11" s="2" t="s">
        <v>7</v>
      </c>
      <c r="B11" s="2">
        <v>2025</v>
      </c>
      <c r="C11" s="4">
        <v>1721759.004</v>
      </c>
      <c r="D11" s="2">
        <v>11444</v>
      </c>
      <c r="E11" s="3">
        <v>2.001048584411045E-2</v>
      </c>
      <c r="F11" s="4">
        <v>9169.1208000000006</v>
      </c>
    </row>
    <row r="12" spans="1:6" x14ac:dyDescent="0.25">
      <c r="A12" s="2" t="s">
        <v>8</v>
      </c>
      <c r="B12" s="2">
        <v>2021</v>
      </c>
      <c r="C12" s="4">
        <v>1952156.8</v>
      </c>
      <c r="D12" s="2">
        <v>5206</v>
      </c>
      <c r="E12" s="3">
        <v>3.2654629273914708E-2</v>
      </c>
      <c r="F12" s="4">
        <v>104634.9</v>
      </c>
    </row>
    <row r="13" spans="1:6" x14ac:dyDescent="0.25">
      <c r="A13" s="2" t="s">
        <v>8</v>
      </c>
      <c r="B13" s="2">
        <v>2022</v>
      </c>
      <c r="C13" s="4">
        <v>1792724.375</v>
      </c>
      <c r="D13" s="2">
        <v>6936</v>
      </c>
      <c r="E13" s="3">
        <v>6.58881199538639E-2</v>
      </c>
      <c r="F13" s="4">
        <v>199952.38500000001</v>
      </c>
    </row>
    <row r="14" spans="1:6" x14ac:dyDescent="0.25">
      <c r="A14" s="2" t="s">
        <v>8</v>
      </c>
      <c r="B14" s="2">
        <v>2023</v>
      </c>
      <c r="C14" s="4">
        <v>1829547.9675</v>
      </c>
      <c r="D14" s="2">
        <v>7308</v>
      </c>
      <c r="E14" s="3">
        <v>4.3103448275862072E-2</v>
      </c>
      <c r="F14" s="4">
        <v>312598.19850000012</v>
      </c>
    </row>
    <row r="15" spans="1:6" x14ac:dyDescent="0.25">
      <c r="A15" s="2" t="s">
        <v>8</v>
      </c>
      <c r="B15" s="2">
        <v>2024</v>
      </c>
      <c r="C15" s="4">
        <v>1862064.4055999999</v>
      </c>
      <c r="D15" s="2">
        <v>8035</v>
      </c>
      <c r="E15" s="3">
        <v>4.1194772868699443E-2</v>
      </c>
      <c r="F15" s="4">
        <v>168206.56020000001</v>
      </c>
    </row>
    <row r="16" spans="1:6" x14ac:dyDescent="0.25">
      <c r="A16" s="2" t="s">
        <v>8</v>
      </c>
      <c r="B16" s="2">
        <v>2025</v>
      </c>
      <c r="C16" s="4">
        <v>2054620.9151999999</v>
      </c>
      <c r="D16" s="2">
        <v>7393</v>
      </c>
      <c r="E16" s="3">
        <v>6.1679967536859191E-2</v>
      </c>
      <c r="F16" s="4">
        <v>167554.59839999999</v>
      </c>
    </row>
    <row r="17" spans="1:6" x14ac:dyDescent="0.25">
      <c r="A17" s="2" t="s">
        <v>9</v>
      </c>
      <c r="B17" s="2">
        <v>2021</v>
      </c>
      <c r="C17" s="4">
        <v>11424766</v>
      </c>
      <c r="D17" s="2">
        <v>8470</v>
      </c>
      <c r="E17" s="3">
        <v>1.3577331759149941E-2</v>
      </c>
      <c r="F17" s="4">
        <v>60729.1</v>
      </c>
    </row>
    <row r="18" spans="1:6" x14ac:dyDescent="0.25">
      <c r="A18" s="2" t="s">
        <v>9</v>
      </c>
      <c r="B18" s="2">
        <v>2022</v>
      </c>
      <c r="C18" s="4">
        <v>11840322.35</v>
      </c>
      <c r="D18" s="2">
        <v>10340</v>
      </c>
      <c r="E18" s="3">
        <v>2.059961315280464E-2</v>
      </c>
      <c r="F18" s="4">
        <v>59233.78</v>
      </c>
    </row>
    <row r="19" spans="1:6" x14ac:dyDescent="0.25">
      <c r="A19" s="2" t="s">
        <v>9</v>
      </c>
      <c r="B19" s="2">
        <v>2023</v>
      </c>
      <c r="C19" s="4">
        <v>10347492.27</v>
      </c>
      <c r="D19" s="2">
        <v>10256</v>
      </c>
      <c r="E19" s="3">
        <v>2.1840873634945399E-2</v>
      </c>
      <c r="F19" s="4">
        <v>52849.761000000013</v>
      </c>
    </row>
    <row r="20" spans="1:6" x14ac:dyDescent="0.25">
      <c r="A20" s="2" t="s">
        <v>9</v>
      </c>
      <c r="B20" s="2">
        <v>2024</v>
      </c>
      <c r="C20" s="4">
        <v>10469620.812000001</v>
      </c>
      <c r="D20" s="2">
        <v>11397</v>
      </c>
      <c r="E20" s="3">
        <v>1.8864613494779331E-2</v>
      </c>
      <c r="F20" s="4">
        <v>48243.0576</v>
      </c>
    </row>
    <row r="21" spans="1:6" x14ac:dyDescent="0.25">
      <c r="A21" s="2" t="s">
        <v>9</v>
      </c>
      <c r="B21" s="2">
        <v>2025</v>
      </c>
      <c r="C21" s="4">
        <v>10396322.495999999</v>
      </c>
      <c r="D21" s="2">
        <v>10611</v>
      </c>
      <c r="E21" s="3">
        <v>2.61049853925172E-2</v>
      </c>
      <c r="F21" s="4">
        <v>43959.535199999998</v>
      </c>
    </row>
    <row r="22" spans="1:6" x14ac:dyDescent="0.25">
      <c r="A22" s="2" t="s">
        <v>10</v>
      </c>
      <c r="B22" s="2">
        <v>2021</v>
      </c>
      <c r="C22" s="4">
        <v>5486403</v>
      </c>
      <c r="D22" s="2">
        <v>9472</v>
      </c>
      <c r="E22" s="3">
        <v>1.1613175675675681E-3</v>
      </c>
      <c r="F22" s="4">
        <v>5342.3</v>
      </c>
    </row>
    <row r="23" spans="1:6" x14ac:dyDescent="0.25">
      <c r="A23" s="2" t="s">
        <v>10</v>
      </c>
      <c r="B23" s="2">
        <v>2022</v>
      </c>
      <c r="C23" s="4">
        <v>5722677.7000000002</v>
      </c>
      <c r="D23" s="2">
        <v>10450</v>
      </c>
      <c r="E23" s="3">
        <v>7.3684210526315788E-3</v>
      </c>
      <c r="F23" s="4">
        <v>3380.11</v>
      </c>
    </row>
    <row r="24" spans="1:6" x14ac:dyDescent="0.25">
      <c r="A24" s="2" t="s">
        <v>10</v>
      </c>
      <c r="B24" s="2">
        <v>2023</v>
      </c>
      <c r="C24" s="4">
        <v>6304234.7850000011</v>
      </c>
      <c r="D24" s="2">
        <v>10282</v>
      </c>
      <c r="E24" s="3">
        <v>4.3765804318226034E-3</v>
      </c>
      <c r="F24" s="4">
        <v>3999.2534999999998</v>
      </c>
    </row>
    <row r="25" spans="1:6" x14ac:dyDescent="0.25">
      <c r="A25" s="2" t="s">
        <v>10</v>
      </c>
      <c r="B25" s="2">
        <v>2024</v>
      </c>
      <c r="C25" s="4">
        <v>7154088.5099999998</v>
      </c>
      <c r="D25" s="2">
        <v>11286</v>
      </c>
      <c r="E25" s="3">
        <v>5.2277157540315438E-3</v>
      </c>
      <c r="F25" s="4">
        <v>3791.2446</v>
      </c>
    </row>
    <row r="26" spans="1:6" x14ac:dyDescent="0.25">
      <c r="A26" s="2" t="s">
        <v>10</v>
      </c>
      <c r="B26" s="2">
        <v>2025</v>
      </c>
      <c r="C26" s="4">
        <v>7568458.6320000002</v>
      </c>
      <c r="D26" s="2">
        <v>10326</v>
      </c>
      <c r="E26" s="3">
        <v>1.6560139453805928E-2</v>
      </c>
      <c r="F26" s="4">
        <v>2749.6224000000002</v>
      </c>
    </row>
    <row r="27" spans="1:6" x14ac:dyDescent="0.25">
      <c r="A27" s="2" t="s">
        <v>11</v>
      </c>
      <c r="B27" s="2">
        <v>2021</v>
      </c>
      <c r="C27" s="4">
        <v>3106546.5</v>
      </c>
      <c r="D27" s="2">
        <v>13025</v>
      </c>
      <c r="E27" s="3">
        <v>1.2130518234165069E-2</v>
      </c>
      <c r="F27" s="4">
        <v>42336.800000000003</v>
      </c>
    </row>
    <row r="28" spans="1:6" x14ac:dyDescent="0.25">
      <c r="A28" s="2" t="s">
        <v>11</v>
      </c>
      <c r="B28" s="2">
        <v>2022</v>
      </c>
      <c r="C28" s="4">
        <v>2913359.87</v>
      </c>
      <c r="D28" s="2">
        <v>15632</v>
      </c>
      <c r="E28" s="3">
        <v>7.6125895598771753E-3</v>
      </c>
      <c r="F28" s="4">
        <v>31461.305</v>
      </c>
    </row>
    <row r="29" spans="1:6" x14ac:dyDescent="0.25">
      <c r="A29" s="2" t="s">
        <v>11</v>
      </c>
      <c r="B29" s="2">
        <v>2023</v>
      </c>
      <c r="C29" s="4">
        <v>2952657.7349999999</v>
      </c>
      <c r="D29" s="2">
        <v>14609</v>
      </c>
      <c r="E29" s="3">
        <v>1.8276404955849139E-2</v>
      </c>
      <c r="F29" s="4">
        <v>28864.8855</v>
      </c>
    </row>
    <row r="30" spans="1:6" x14ac:dyDescent="0.25">
      <c r="A30" s="2" t="s">
        <v>11</v>
      </c>
      <c r="B30" s="2">
        <v>2024</v>
      </c>
      <c r="C30" s="4">
        <v>2628025.8420000002</v>
      </c>
      <c r="D30" s="2">
        <v>15742</v>
      </c>
      <c r="E30" s="3">
        <v>2.42662939905984E-2</v>
      </c>
      <c r="F30" s="4">
        <v>23860.547399999999</v>
      </c>
    </row>
    <row r="31" spans="1:6" x14ac:dyDescent="0.25">
      <c r="A31" s="2" t="s">
        <v>11</v>
      </c>
      <c r="B31" s="2">
        <v>2025</v>
      </c>
      <c r="C31" s="4">
        <v>2367562.176</v>
      </c>
      <c r="D31" s="2">
        <v>14206</v>
      </c>
      <c r="E31" s="3">
        <v>2.2314514993664651E-2</v>
      </c>
      <c r="F31" s="4">
        <v>22153.32</v>
      </c>
    </row>
    <row r="32" spans="1:6" x14ac:dyDescent="0.25">
      <c r="A32" s="2" t="s">
        <v>12</v>
      </c>
      <c r="B32" s="2">
        <v>2021</v>
      </c>
      <c r="C32" s="4">
        <v>4222766.5</v>
      </c>
      <c r="D32" s="2">
        <v>7589</v>
      </c>
      <c r="E32" s="3">
        <v>1.8447753327184081E-3</v>
      </c>
      <c r="F32" s="4">
        <v>1413.9</v>
      </c>
    </row>
    <row r="33" spans="1:6" x14ac:dyDescent="0.25">
      <c r="A33" s="2" t="s">
        <v>12</v>
      </c>
      <c r="B33" s="2">
        <v>2022</v>
      </c>
      <c r="C33" s="4">
        <v>4628018.375</v>
      </c>
      <c r="D33" s="2">
        <v>8521</v>
      </c>
      <c r="E33" s="3">
        <v>2.699213707311349E-3</v>
      </c>
      <c r="F33" s="4">
        <v>2063.9699999999998</v>
      </c>
    </row>
    <row r="34" spans="1:6" x14ac:dyDescent="0.25">
      <c r="A34" s="2" t="s">
        <v>12</v>
      </c>
      <c r="B34" s="2">
        <v>2023</v>
      </c>
      <c r="C34" s="4">
        <v>3220913.4075000002</v>
      </c>
      <c r="D34" s="2">
        <v>8114</v>
      </c>
      <c r="E34" s="3">
        <v>3.9438008380576779E-3</v>
      </c>
      <c r="F34" s="4">
        <v>1958.067</v>
      </c>
    </row>
    <row r="35" spans="1:6" x14ac:dyDescent="0.25">
      <c r="A35" s="2" t="s">
        <v>12</v>
      </c>
      <c r="B35" s="2">
        <v>2024</v>
      </c>
      <c r="C35" s="4">
        <v>3279622.7940000002</v>
      </c>
      <c r="D35" s="2">
        <v>9339</v>
      </c>
      <c r="E35" s="3">
        <v>4.818503051718599E-3</v>
      </c>
      <c r="F35" s="4">
        <v>1927.5419999999999</v>
      </c>
    </row>
    <row r="36" spans="1:6" x14ac:dyDescent="0.25">
      <c r="A36" s="2" t="s">
        <v>12</v>
      </c>
      <c r="B36" s="2">
        <v>2025</v>
      </c>
      <c r="C36" s="4">
        <v>3101890.68</v>
      </c>
      <c r="D36" s="2">
        <v>6070</v>
      </c>
      <c r="E36" s="3">
        <v>9.5551894563426689E-3</v>
      </c>
      <c r="F36" s="4">
        <v>1384.0848000000001</v>
      </c>
    </row>
    <row r="37" spans="1:6" x14ac:dyDescent="0.25">
      <c r="A37" s="2" t="s">
        <v>13</v>
      </c>
      <c r="B37" s="2">
        <v>2021</v>
      </c>
      <c r="C37" s="4">
        <v>1310044.2</v>
      </c>
      <c r="D37" s="2">
        <v>717</v>
      </c>
      <c r="E37" s="3">
        <v>4.4630404463040438E-2</v>
      </c>
      <c r="F37" s="4">
        <v>11862.8</v>
      </c>
    </row>
    <row r="38" spans="1:6" x14ac:dyDescent="0.25">
      <c r="A38" s="2" t="s">
        <v>13</v>
      </c>
      <c r="B38" s="2">
        <v>2022</v>
      </c>
      <c r="C38" s="4">
        <v>1234589.98</v>
      </c>
      <c r="D38" s="2">
        <v>798</v>
      </c>
      <c r="E38" s="3">
        <v>3.5087719298245612E-2</v>
      </c>
      <c r="F38" s="4">
        <v>8198.76</v>
      </c>
    </row>
    <row r="39" spans="1:6" x14ac:dyDescent="0.25">
      <c r="A39" s="2" t="s">
        <v>13</v>
      </c>
      <c r="B39" s="2">
        <v>2023</v>
      </c>
      <c r="C39" s="4">
        <v>1191452.115</v>
      </c>
      <c r="D39" s="2">
        <v>834</v>
      </c>
      <c r="E39" s="3">
        <v>2.9976019184652279E-2</v>
      </c>
      <c r="F39" s="4">
        <v>9826.924500000001</v>
      </c>
    </row>
    <row r="40" spans="1:6" x14ac:dyDescent="0.25">
      <c r="A40" s="2" t="s">
        <v>13</v>
      </c>
      <c r="B40" s="2">
        <v>2024</v>
      </c>
      <c r="C40" s="4">
        <v>1246494.9996</v>
      </c>
      <c r="D40" s="2">
        <v>844</v>
      </c>
      <c r="E40" s="3">
        <v>4.1469194312796213E-2</v>
      </c>
      <c r="F40" s="4">
        <v>11792.5524</v>
      </c>
    </row>
    <row r="41" spans="1:6" x14ac:dyDescent="0.25">
      <c r="A41" s="2" t="s">
        <v>13</v>
      </c>
      <c r="B41" s="2">
        <v>2025</v>
      </c>
      <c r="C41" s="4">
        <v>1208385.2592</v>
      </c>
      <c r="D41" s="2">
        <v>639</v>
      </c>
      <c r="E41" s="3">
        <v>4.6948356807511728E-2</v>
      </c>
      <c r="F41" s="4">
        <v>10113.263999999999</v>
      </c>
    </row>
    <row r="42" spans="1:6" x14ac:dyDescent="0.25">
      <c r="A42" s="2" t="s">
        <v>14</v>
      </c>
      <c r="B42" s="2">
        <v>2021</v>
      </c>
      <c r="C42" s="4">
        <v>4765552.5</v>
      </c>
      <c r="D42" s="2">
        <v>15409</v>
      </c>
      <c r="E42" s="3">
        <v>3.8289311441365441E-3</v>
      </c>
      <c r="F42" s="4">
        <v>16509.599999999999</v>
      </c>
    </row>
    <row r="43" spans="1:6" x14ac:dyDescent="0.25">
      <c r="A43" s="2" t="s">
        <v>14</v>
      </c>
      <c r="B43" s="2">
        <v>2022</v>
      </c>
      <c r="C43" s="4">
        <v>4636488.625</v>
      </c>
      <c r="D43" s="2">
        <v>19371</v>
      </c>
      <c r="E43" s="3">
        <v>6.6594393681276131E-3</v>
      </c>
      <c r="F43" s="4">
        <v>6778.3249999999998</v>
      </c>
    </row>
    <row r="44" spans="1:6" x14ac:dyDescent="0.25">
      <c r="A44" s="2" t="s">
        <v>14</v>
      </c>
      <c r="B44" s="2">
        <v>2023</v>
      </c>
      <c r="C44" s="4">
        <v>4738252.4775</v>
      </c>
      <c r="D44" s="2">
        <v>17872</v>
      </c>
      <c r="E44" s="3">
        <v>1.2645478961504031E-2</v>
      </c>
      <c r="F44" s="4">
        <v>8728.0410000000011</v>
      </c>
    </row>
    <row r="45" spans="1:6" x14ac:dyDescent="0.25">
      <c r="A45" s="2" t="s">
        <v>14</v>
      </c>
      <c r="B45" s="2">
        <v>2024</v>
      </c>
      <c r="C45" s="4">
        <v>5054164.68</v>
      </c>
      <c r="D45" s="2">
        <v>21347</v>
      </c>
      <c r="E45" s="3">
        <v>1.133648756265517E-2</v>
      </c>
      <c r="F45" s="4">
        <v>10250.3334</v>
      </c>
    </row>
    <row r="46" spans="1:6" x14ac:dyDescent="0.25">
      <c r="A46" s="2" t="s">
        <v>14</v>
      </c>
      <c r="B46" s="2">
        <v>2025</v>
      </c>
      <c r="C46" s="4">
        <v>4969254.5279999999</v>
      </c>
      <c r="D46" s="2">
        <v>19714</v>
      </c>
      <c r="E46" s="3">
        <v>1.8311859592167998E-2</v>
      </c>
      <c r="F46" s="4">
        <v>6442.6824000000006</v>
      </c>
    </row>
    <row r="47" spans="1:6" x14ac:dyDescent="0.25">
      <c r="A47" s="2" t="s">
        <v>15</v>
      </c>
      <c r="B47" s="2">
        <v>2021</v>
      </c>
      <c r="C47" s="4">
        <v>5718757</v>
      </c>
      <c r="D47" s="2">
        <v>6539</v>
      </c>
      <c r="E47" s="3">
        <v>7.7993576999541214E-3</v>
      </c>
      <c r="F47" s="4">
        <v>28459.200000000001</v>
      </c>
    </row>
    <row r="48" spans="1:6" x14ac:dyDescent="0.25">
      <c r="A48" s="2" t="s">
        <v>15</v>
      </c>
      <c r="B48" s="2">
        <v>2022</v>
      </c>
      <c r="C48" s="4">
        <v>5432726.9749999996</v>
      </c>
      <c r="D48" s="2">
        <v>8191</v>
      </c>
      <c r="E48" s="3">
        <v>1.635941887437431E-2</v>
      </c>
      <c r="F48" s="4">
        <v>29470.945</v>
      </c>
    </row>
    <row r="49" spans="1:6" x14ac:dyDescent="0.25">
      <c r="A49" s="2" t="s">
        <v>15</v>
      </c>
      <c r="B49" s="2">
        <v>2023</v>
      </c>
      <c r="C49" s="4">
        <v>4735027.4550000001</v>
      </c>
      <c r="D49" s="2">
        <v>8201</v>
      </c>
      <c r="E49" s="3">
        <v>2.767955127423485E-2</v>
      </c>
      <c r="F49" s="4">
        <v>25761.334500000001</v>
      </c>
    </row>
    <row r="50" spans="1:6" x14ac:dyDescent="0.25">
      <c r="A50" s="2" t="s">
        <v>15</v>
      </c>
      <c r="B50" s="2">
        <v>2024</v>
      </c>
      <c r="C50" s="4">
        <v>4791203.8260000004</v>
      </c>
      <c r="D50" s="2">
        <v>9147</v>
      </c>
      <c r="E50" s="3">
        <v>1.7929375751612551E-2</v>
      </c>
      <c r="F50" s="4">
        <v>27061.0458</v>
      </c>
    </row>
    <row r="51" spans="1:6" x14ac:dyDescent="0.25">
      <c r="A51" s="2" t="s">
        <v>15</v>
      </c>
      <c r="B51" s="2">
        <v>2025</v>
      </c>
      <c r="C51" s="4">
        <v>4917959.9280000003</v>
      </c>
      <c r="D51" s="2">
        <v>8852</v>
      </c>
      <c r="E51" s="3">
        <v>2.0786262991414371E-2</v>
      </c>
      <c r="F51" s="4">
        <v>22122.2736</v>
      </c>
    </row>
    <row r="52" spans="1:6" x14ac:dyDescent="0.25">
      <c r="A52" s="2" t="s">
        <v>16</v>
      </c>
      <c r="B52" s="2">
        <v>2025</v>
      </c>
      <c r="C52" s="4">
        <v>2826751.0320000001</v>
      </c>
      <c r="D52" s="2">
        <v>18</v>
      </c>
      <c r="E52" s="3">
        <v>0.1111111111111111</v>
      </c>
      <c r="F52" s="4">
        <v>37.648800000000001</v>
      </c>
    </row>
    <row r="56" spans="1:6" x14ac:dyDescent="0.25">
      <c r="A56" s="5" t="s">
        <v>18</v>
      </c>
      <c r="C56" s="1" t="s">
        <v>2</v>
      </c>
      <c r="D56" s="1" t="s">
        <v>3</v>
      </c>
      <c r="E56" s="1" t="s">
        <v>4</v>
      </c>
      <c r="F56" s="1" t="s">
        <v>5</v>
      </c>
    </row>
    <row r="57" spans="1:6" x14ac:dyDescent="0.25">
      <c r="A57" s="2" t="s">
        <v>21</v>
      </c>
      <c r="B57" s="2" t="s">
        <v>21</v>
      </c>
      <c r="C57" s="2">
        <v>1862064.4055999999</v>
      </c>
      <c r="D57" s="2">
        <v>7308</v>
      </c>
      <c r="E57" s="3">
        <v>4.3103448275862072E-2</v>
      </c>
      <c r="F57" s="2">
        <v>168206.56020000001</v>
      </c>
    </row>
    <row r="58" spans="1:6" x14ac:dyDescent="0.25">
      <c r="A58" s="2" t="s">
        <v>19</v>
      </c>
      <c r="B58" s="2" t="s">
        <v>19</v>
      </c>
      <c r="C58" s="2">
        <v>10832458.244999999</v>
      </c>
      <c r="D58" s="2">
        <v>1571</v>
      </c>
      <c r="E58" s="3">
        <v>2.178649237472767E-2</v>
      </c>
      <c r="F58" s="2">
        <v>67742.100000000006</v>
      </c>
    </row>
    <row r="59" spans="1:6" x14ac:dyDescent="0.25">
      <c r="A59" s="2" t="s">
        <v>20</v>
      </c>
      <c r="B59" s="2" t="s">
        <v>20</v>
      </c>
      <c r="C59" s="2">
        <v>10469620.812000001</v>
      </c>
      <c r="D59" s="2">
        <v>10340</v>
      </c>
      <c r="E59" s="3">
        <v>2.059961315280464E-2</v>
      </c>
      <c r="F59" s="2">
        <v>52849.761000000013</v>
      </c>
    </row>
    <row r="60" spans="1:6" x14ac:dyDescent="0.25">
      <c r="A60" s="2" t="s">
        <v>22</v>
      </c>
      <c r="B60" s="2" t="s">
        <v>22</v>
      </c>
      <c r="C60" s="2">
        <v>6304234.7850000011</v>
      </c>
      <c r="D60" s="2">
        <v>10326</v>
      </c>
      <c r="E60" s="3">
        <v>5.2277157540315438E-3</v>
      </c>
      <c r="F60" s="2">
        <v>3791.2446</v>
      </c>
    </row>
    <row r="61" spans="1:6" x14ac:dyDescent="0.25">
      <c r="A61" s="2" t="s">
        <v>23</v>
      </c>
      <c r="B61" s="2" t="s">
        <v>23</v>
      </c>
      <c r="C61" s="2">
        <v>2913359.87</v>
      </c>
      <c r="D61" s="2">
        <v>14609</v>
      </c>
      <c r="E61" s="3">
        <v>1.8276404955849139E-2</v>
      </c>
      <c r="F61" s="2">
        <v>28864.8855</v>
      </c>
    </row>
    <row r="62" spans="1:6" x14ac:dyDescent="0.25">
      <c r="A62" s="2" t="s">
        <v>24</v>
      </c>
      <c r="B62" s="2" t="s">
        <v>24</v>
      </c>
      <c r="C62" s="2">
        <v>3279622.7940000002</v>
      </c>
      <c r="D62" s="2">
        <v>8114</v>
      </c>
      <c r="E62" s="3">
        <v>3.9438008380576779E-3</v>
      </c>
      <c r="F62" s="2">
        <v>1927.5419999999999</v>
      </c>
    </row>
    <row r="63" spans="1:6" x14ac:dyDescent="0.25">
      <c r="A63" s="2" t="s">
        <v>14</v>
      </c>
      <c r="B63" s="2" t="s">
        <v>14</v>
      </c>
      <c r="C63" s="2">
        <v>4765552.5</v>
      </c>
      <c r="D63" s="2">
        <v>19371</v>
      </c>
      <c r="E63" s="3">
        <v>1.133648756265517E-2</v>
      </c>
      <c r="F63" s="2">
        <v>8728.0410000000011</v>
      </c>
    </row>
    <row r="64" spans="1:6" x14ac:dyDescent="0.25">
      <c r="A64" s="2" t="s">
        <v>25</v>
      </c>
      <c r="B64" s="2" t="s">
        <v>25</v>
      </c>
      <c r="C64" s="2">
        <v>4917959.9280000003</v>
      </c>
      <c r="D64" s="2">
        <v>8201</v>
      </c>
      <c r="E64" s="3">
        <v>1.7929375751612551E-2</v>
      </c>
      <c r="F64" s="2">
        <v>27061.0458</v>
      </c>
    </row>
    <row r="65" spans="1:6" x14ac:dyDescent="0.25">
      <c r="A65" s="2" t="s">
        <v>26</v>
      </c>
      <c r="B65" s="2" t="s">
        <v>26</v>
      </c>
      <c r="C65" s="2">
        <v>1234589.98</v>
      </c>
      <c r="D65" s="2">
        <v>798</v>
      </c>
      <c r="E65" s="3">
        <v>4.1469194312796213E-2</v>
      </c>
      <c r="F65" s="2">
        <v>10113.263999999999</v>
      </c>
    </row>
    <row r="66" spans="1:6" x14ac:dyDescent="0.25">
      <c r="A66" s="2" t="s">
        <v>27</v>
      </c>
      <c r="B66" s="2" t="s">
        <v>27</v>
      </c>
      <c r="C66" s="2">
        <v>1886286.425</v>
      </c>
      <c r="D66" s="2">
        <v>11444</v>
      </c>
      <c r="E66" s="3">
        <v>1.0464591790708159E-2</v>
      </c>
      <c r="F66" s="2">
        <v>7830.7875000000004</v>
      </c>
    </row>
    <row r="70" spans="1:6" x14ac:dyDescent="0.25">
      <c r="A70" s="5" t="s">
        <v>18</v>
      </c>
      <c r="C70" s="1" t="s">
        <v>2</v>
      </c>
      <c r="D70" s="1" t="s">
        <v>3</v>
      </c>
      <c r="E70" s="1" t="s">
        <v>4</v>
      </c>
      <c r="F70" s="1" t="s">
        <v>5</v>
      </c>
    </row>
    <row r="71" spans="1:6" x14ac:dyDescent="0.25">
      <c r="A71" s="2"/>
      <c r="B71" s="2" t="s">
        <v>21</v>
      </c>
      <c r="C71" s="2">
        <v>1862064.4055999999</v>
      </c>
      <c r="D71" s="2">
        <v>7308</v>
      </c>
      <c r="E71" s="3">
        <v>4.3103448275862072E-2</v>
      </c>
      <c r="F71" s="2">
        <v>168206.56020000001</v>
      </c>
    </row>
    <row r="72" spans="1:6" x14ac:dyDescent="0.25">
      <c r="A72" s="2"/>
      <c r="B72" s="2" t="s">
        <v>19</v>
      </c>
      <c r="C72" s="2">
        <v>10832458.244999999</v>
      </c>
      <c r="D72" s="2">
        <v>1571</v>
      </c>
      <c r="E72" s="3">
        <v>2.178649237472767E-2</v>
      </c>
      <c r="F72" s="2">
        <v>67742.100000000006</v>
      </c>
    </row>
    <row r="73" spans="1:6" x14ac:dyDescent="0.25">
      <c r="A73" s="2"/>
      <c r="B73" s="2" t="s">
        <v>20</v>
      </c>
      <c r="C73" s="2">
        <v>10469620.812000001</v>
      </c>
      <c r="D73" s="2">
        <v>10340</v>
      </c>
      <c r="E73" s="3">
        <v>2.059961315280464E-2</v>
      </c>
      <c r="F73" s="2">
        <v>52849.761000000013</v>
      </c>
    </row>
    <row r="74" spans="1:6" x14ac:dyDescent="0.25">
      <c r="A74" s="2"/>
      <c r="B74" s="2" t="s">
        <v>22</v>
      </c>
      <c r="C74" s="2">
        <v>6304234.7850000011</v>
      </c>
      <c r="D74" s="2">
        <v>10326</v>
      </c>
      <c r="E74" s="3">
        <v>5.2277157540315438E-3</v>
      </c>
      <c r="F74" s="2">
        <v>3791.2446</v>
      </c>
    </row>
    <row r="75" spans="1:6" x14ac:dyDescent="0.25">
      <c r="A75" s="2"/>
      <c r="B75" s="2" t="s">
        <v>23</v>
      </c>
      <c r="C75" s="2">
        <v>2913359.87</v>
      </c>
      <c r="D75" s="2">
        <v>14609</v>
      </c>
      <c r="E75" s="3">
        <v>1.8276404955849139E-2</v>
      </c>
      <c r="F75" s="2">
        <v>28864.8855</v>
      </c>
    </row>
    <row r="76" spans="1:6" x14ac:dyDescent="0.25">
      <c r="A76" s="2"/>
      <c r="B76" s="2" t="s">
        <v>24</v>
      </c>
      <c r="C76" s="2">
        <v>3279622.7940000002</v>
      </c>
      <c r="D76" s="2">
        <v>8114</v>
      </c>
      <c r="E76" s="3">
        <v>3.9438008380576779E-3</v>
      </c>
      <c r="F76" s="2">
        <v>1927.5419999999999</v>
      </c>
    </row>
    <row r="77" spans="1:6" x14ac:dyDescent="0.25">
      <c r="A77" s="2"/>
      <c r="B77" s="2" t="s">
        <v>14</v>
      </c>
      <c r="C77" s="2">
        <v>4765552.5</v>
      </c>
      <c r="D77" s="2">
        <v>19371</v>
      </c>
      <c r="E77" s="3">
        <v>1.133648756265517E-2</v>
      </c>
      <c r="F77" s="2">
        <v>8728.0410000000011</v>
      </c>
    </row>
    <row r="78" spans="1:6" x14ac:dyDescent="0.25">
      <c r="A78" s="2"/>
      <c r="B78" s="2" t="s">
        <v>25</v>
      </c>
      <c r="C78" s="2">
        <v>4917959.9280000003</v>
      </c>
      <c r="D78" s="2">
        <v>8201</v>
      </c>
      <c r="E78" s="3">
        <v>1.7929375751612551E-2</v>
      </c>
      <c r="F78" s="2">
        <v>27061.0458</v>
      </c>
    </row>
    <row r="80" spans="1:6" x14ac:dyDescent="0.25">
      <c r="C80" s="2">
        <f>MAX(C71:C78)</f>
        <v>10832458.244999999</v>
      </c>
      <c r="D80" s="2">
        <f t="shared" ref="D80:F80" si="0">MAX(D71:D78)</f>
        <v>19371</v>
      </c>
      <c r="E80" s="2">
        <f t="shared" si="0"/>
        <v>4.3103448275862072E-2</v>
      </c>
      <c r="F80" s="2">
        <f t="shared" si="0"/>
        <v>168206.56020000001</v>
      </c>
    </row>
    <row r="81" spans="1:8" x14ac:dyDescent="0.25">
      <c r="C81" s="5" t="s">
        <v>29</v>
      </c>
      <c r="D81" s="5" t="s">
        <v>30</v>
      </c>
      <c r="E81" s="1" t="s">
        <v>4</v>
      </c>
      <c r="F81" s="1" t="s">
        <v>5</v>
      </c>
      <c r="G81" s="5"/>
      <c r="H81" s="5"/>
    </row>
    <row r="82" spans="1:8" x14ac:dyDescent="0.25">
      <c r="B82" s="2" t="s">
        <v>21</v>
      </c>
      <c r="C82" s="4">
        <f>C71/C$80</f>
        <v>0.17189675357940878</v>
      </c>
      <c r="D82" s="4">
        <f t="shared" ref="D82:F82" si="1">D71/D$80</f>
        <v>0.37726498373857831</v>
      </c>
      <c r="E82" s="4">
        <f t="shared" si="1"/>
        <v>1</v>
      </c>
      <c r="F82" s="4">
        <f t="shared" si="1"/>
        <v>1</v>
      </c>
    </row>
    <row r="83" spans="1:8" x14ac:dyDescent="0.25">
      <c r="B83" s="2" t="s">
        <v>19</v>
      </c>
      <c r="C83" s="4">
        <f>C72/C$80</f>
        <v>1</v>
      </c>
      <c r="D83" s="4">
        <f t="shared" ref="D83:F83" si="2">D72/D$80</f>
        <v>8.1100614320375825E-2</v>
      </c>
      <c r="E83" s="4">
        <f t="shared" si="2"/>
        <v>0.50544662309368193</v>
      </c>
      <c r="F83" s="4">
        <f t="shared" si="2"/>
        <v>0.40273161712274291</v>
      </c>
    </row>
    <row r="84" spans="1:8" x14ac:dyDescent="0.25">
      <c r="B84" s="2" t="s">
        <v>20</v>
      </c>
      <c r="C84" s="4">
        <f>C73/C$80</f>
        <v>0.96650460820677753</v>
      </c>
      <c r="D84" s="4">
        <f t="shared" ref="D84:F84" si="3">D73/D$80</f>
        <v>0.53378762067007379</v>
      </c>
      <c r="E84" s="4">
        <f t="shared" si="3"/>
        <v>0.47791102514506761</v>
      </c>
      <c r="F84" s="4">
        <f t="shared" si="3"/>
        <v>0.31419559936997044</v>
      </c>
    </row>
    <row r="85" spans="1:8" x14ac:dyDescent="0.25">
      <c r="B85" s="2" t="s">
        <v>22</v>
      </c>
      <c r="C85" s="4">
        <f t="shared" ref="C85:F88" si="4">C74/C$80</f>
        <v>0.58197637529873547</v>
      </c>
      <c r="D85" s="4">
        <f t="shared" si="4"/>
        <v>0.53306489081616848</v>
      </c>
      <c r="E85" s="4">
        <f t="shared" si="4"/>
        <v>0.12128300549353181</v>
      </c>
      <c r="F85" s="4">
        <f t="shared" si="4"/>
        <v>2.2539219608867549E-2</v>
      </c>
    </row>
    <row r="86" spans="1:8" x14ac:dyDescent="0.25">
      <c r="B86" s="2" t="s">
        <v>23</v>
      </c>
      <c r="C86" s="4">
        <f t="shared" si="4"/>
        <v>0.2689472513170994</v>
      </c>
      <c r="D86" s="4">
        <f t="shared" si="4"/>
        <v>0.7541686025502039</v>
      </c>
      <c r="E86" s="4">
        <f t="shared" si="4"/>
        <v>0.42401259497569999</v>
      </c>
      <c r="F86" s="4">
        <f t="shared" si="4"/>
        <v>0.17160380347638785</v>
      </c>
    </row>
    <row r="87" spans="1:8" x14ac:dyDescent="0.25">
      <c r="B87" s="2" t="s">
        <v>24</v>
      </c>
      <c r="C87" s="4">
        <f t="shared" si="4"/>
        <v>0.30275886782335809</v>
      </c>
      <c r="D87" s="4">
        <f t="shared" si="4"/>
        <v>0.41887357389912755</v>
      </c>
      <c r="E87" s="4">
        <f t="shared" si="4"/>
        <v>9.1496179442938114E-2</v>
      </c>
      <c r="F87" s="4">
        <f t="shared" si="4"/>
        <v>1.1459374698038679E-2</v>
      </c>
    </row>
    <row r="88" spans="1:8" x14ac:dyDescent="0.25">
      <c r="B88" s="2" t="s">
        <v>14</v>
      </c>
      <c r="C88" s="4">
        <f t="shared" si="4"/>
        <v>0.43993269045829592</v>
      </c>
      <c r="D88" s="4">
        <f t="shared" si="4"/>
        <v>1</v>
      </c>
      <c r="E88" s="4">
        <f t="shared" si="4"/>
        <v>0.26300651145359993</v>
      </c>
      <c r="F88" s="4">
        <f t="shared" si="4"/>
        <v>5.1888826390731939E-2</v>
      </c>
    </row>
    <row r="89" spans="1:8" x14ac:dyDescent="0.25">
      <c r="B89" s="2" t="s">
        <v>25</v>
      </c>
      <c r="C89" s="4">
        <f>C78/C$80</f>
        <v>0.45400220492610821</v>
      </c>
      <c r="D89" s="4">
        <f t="shared" ref="D89:F89" si="5">D78/D$80</f>
        <v>0.42336482370553918</v>
      </c>
      <c r="E89" s="4">
        <f t="shared" si="5"/>
        <v>0.41596151743741117</v>
      </c>
      <c r="F89" s="4">
        <f t="shared" si="5"/>
        <v>0.16087984777659106</v>
      </c>
    </row>
    <row r="92" spans="1:8" x14ac:dyDescent="0.25">
      <c r="A92" s="5" t="s">
        <v>28</v>
      </c>
    </row>
    <row r="93" spans="1:8" x14ac:dyDescent="0.25">
      <c r="B93" s="2"/>
      <c r="C93" s="5" t="s">
        <v>2</v>
      </c>
      <c r="D93" s="5" t="s">
        <v>3</v>
      </c>
      <c r="E93" s="5" t="s">
        <v>4</v>
      </c>
      <c r="F93" s="5" t="s">
        <v>5</v>
      </c>
    </row>
    <row r="94" spans="1:8" x14ac:dyDescent="0.25">
      <c r="B94" s="2" t="s">
        <v>21</v>
      </c>
      <c r="C94" s="4">
        <v>0.23909221105397971</v>
      </c>
      <c r="D94" s="4">
        <v>0.55954614082444987</v>
      </c>
      <c r="E94" s="4">
        <v>1</v>
      </c>
      <c r="F94" s="4">
        <v>1</v>
      </c>
    </row>
    <row r="95" spans="1:8" x14ac:dyDescent="0.25">
      <c r="B95" s="2" t="s">
        <v>19</v>
      </c>
      <c r="C95" s="4">
        <v>0.87525754686183355</v>
      </c>
      <c r="D95" s="4">
        <v>0.11136020496865992</v>
      </c>
      <c r="E95" s="4">
        <v>0.68607147392914902</v>
      </c>
      <c r="F95" s="4">
        <v>6.8481463056614095E-2</v>
      </c>
    </row>
    <row r="96" spans="1:8" x14ac:dyDescent="0.25">
      <c r="B96" s="2" t="s">
        <v>20</v>
      </c>
      <c r="C96" s="4">
        <v>1</v>
      </c>
      <c r="D96" s="4">
        <v>0.78139726403440546</v>
      </c>
      <c r="E96" s="4">
        <v>0.80063757597530205</v>
      </c>
      <c r="F96" s="4">
        <v>0.30837423906026395</v>
      </c>
    </row>
    <row r="97" spans="2:6" x14ac:dyDescent="0.25">
      <c r="B97" s="2" t="s">
        <v>22</v>
      </c>
      <c r="C97" s="4">
        <v>0.66866212817380788</v>
      </c>
      <c r="D97" s="4">
        <v>0.40261701056869653</v>
      </c>
      <c r="E97" s="4">
        <v>0.55400770573728275</v>
      </c>
      <c r="F97" s="4">
        <v>2.8515961341410913E-2</v>
      </c>
    </row>
    <row r="98" spans="2:6" x14ac:dyDescent="0.25">
      <c r="B98" s="2" t="s">
        <v>23</v>
      </c>
      <c r="C98" s="4">
        <v>0.30698749074179937</v>
      </c>
      <c r="D98" s="4">
        <v>1</v>
      </c>
      <c r="E98" s="4">
        <v>0.58433435380303211</v>
      </c>
      <c r="F98" s="4">
        <v>0.21637851304519196</v>
      </c>
    </row>
    <row r="99" spans="2:6" x14ac:dyDescent="0.25">
      <c r="B99" s="2" t="s">
        <v>24</v>
      </c>
      <c r="C99" s="4">
        <v>0.23562909901325846</v>
      </c>
      <c r="D99" s="4">
        <v>0.26252459166399783</v>
      </c>
      <c r="E99" s="4">
        <v>0.64644485253175021</v>
      </c>
      <c r="F99" s="4">
        <v>8.1808097742136088E-3</v>
      </c>
    </row>
    <row r="100" spans="2:6" x14ac:dyDescent="0.25">
      <c r="B100" s="2" t="s">
        <v>14</v>
      </c>
      <c r="C100" s="4">
        <v>0.33066611516635985</v>
      </c>
      <c r="D100" s="4">
        <v>0.3124857025209315</v>
      </c>
      <c r="E100" s="4">
        <v>0.62224991381325467</v>
      </c>
      <c r="F100" s="4">
        <v>2.3271437218520076E-2</v>
      </c>
    </row>
    <row r="101" spans="2:6" x14ac:dyDescent="0.25">
      <c r="B101" s="2" t="s">
        <v>25</v>
      </c>
      <c r="C101" s="4">
        <v>0.45264393486741733</v>
      </c>
      <c r="D101" s="4">
        <v>0.51205563435055135</v>
      </c>
      <c r="E101" s="4">
        <v>0.91469804388033071</v>
      </c>
      <c r="F101" s="4">
        <v>0.18542309535056511</v>
      </c>
    </row>
    <row r="104" spans="2:6" x14ac:dyDescent="0.25">
      <c r="B104" s="5" t="s">
        <v>2</v>
      </c>
      <c r="C104" s="5" t="s">
        <v>29</v>
      </c>
      <c r="D104" s="5" t="s">
        <v>30</v>
      </c>
    </row>
    <row r="105" spans="2:6" x14ac:dyDescent="0.25">
      <c r="B105" s="2" t="s">
        <v>21</v>
      </c>
      <c r="C105" s="4">
        <v>0.17189675357940878</v>
      </c>
      <c r="D105" s="4">
        <v>0.23909221105397971</v>
      </c>
    </row>
    <row r="106" spans="2:6" x14ac:dyDescent="0.25">
      <c r="B106" s="2" t="s">
        <v>19</v>
      </c>
      <c r="C106" s="4">
        <v>1</v>
      </c>
      <c r="D106" s="4">
        <v>0.87525754686183355</v>
      </c>
    </row>
    <row r="107" spans="2:6" x14ac:dyDescent="0.25">
      <c r="B107" s="2" t="s">
        <v>20</v>
      </c>
      <c r="C107" s="4">
        <v>0.96650460820677753</v>
      </c>
      <c r="D107" s="4">
        <v>1</v>
      </c>
    </row>
    <row r="108" spans="2:6" x14ac:dyDescent="0.25">
      <c r="B108" s="2" t="s">
        <v>22</v>
      </c>
      <c r="C108" s="4">
        <v>0.58197637529873547</v>
      </c>
      <c r="D108" s="4">
        <v>0.66866212817380788</v>
      </c>
    </row>
    <row r="109" spans="2:6" x14ac:dyDescent="0.25">
      <c r="B109" s="2" t="s">
        <v>23</v>
      </c>
      <c r="C109" s="4">
        <v>0.2689472513170994</v>
      </c>
      <c r="D109" s="4">
        <v>0.30698749074179937</v>
      </c>
    </row>
    <row r="110" spans="2:6" x14ac:dyDescent="0.25">
      <c r="B110" s="2" t="s">
        <v>24</v>
      </c>
      <c r="C110" s="4">
        <v>0.30275886782335809</v>
      </c>
      <c r="D110" s="4">
        <v>0.23562909901325846</v>
      </c>
    </row>
    <row r="111" spans="2:6" x14ac:dyDescent="0.25">
      <c r="B111" s="2" t="s">
        <v>14</v>
      </c>
      <c r="C111" s="4">
        <v>0.43993269045829592</v>
      </c>
      <c r="D111" s="4">
        <v>0.33066611516635985</v>
      </c>
    </row>
    <row r="112" spans="2:6" x14ac:dyDescent="0.25">
      <c r="B112" s="2" t="s">
        <v>25</v>
      </c>
      <c r="C112" s="4">
        <v>0.45400220492610821</v>
      </c>
      <c r="D112" s="4">
        <v>0.45264393486741733</v>
      </c>
    </row>
    <row r="115" spans="2:4" x14ac:dyDescent="0.25">
      <c r="B115" s="1" t="s">
        <v>5</v>
      </c>
      <c r="C115" s="5" t="s">
        <v>29</v>
      </c>
      <c r="D115" s="5" t="s">
        <v>30</v>
      </c>
    </row>
    <row r="116" spans="2:4" x14ac:dyDescent="0.25">
      <c r="B116" s="2" t="s">
        <v>21</v>
      </c>
      <c r="C116" s="4">
        <v>1</v>
      </c>
      <c r="D116" s="4">
        <v>1</v>
      </c>
    </row>
    <row r="117" spans="2:4" x14ac:dyDescent="0.25">
      <c r="B117" s="2" t="s">
        <v>19</v>
      </c>
      <c r="C117" s="4">
        <v>0.40273161712274291</v>
      </c>
      <c r="D117" s="4">
        <v>6.8481463056614095E-2</v>
      </c>
    </row>
    <row r="118" spans="2:4" x14ac:dyDescent="0.25">
      <c r="B118" s="2" t="s">
        <v>20</v>
      </c>
      <c r="C118" s="4">
        <v>0.31419559936997044</v>
      </c>
      <c r="D118" s="4">
        <v>0.30837423906026395</v>
      </c>
    </row>
    <row r="119" spans="2:4" x14ac:dyDescent="0.25">
      <c r="B119" s="2" t="s">
        <v>22</v>
      </c>
      <c r="C119" s="4">
        <v>2.2539219608867549E-2</v>
      </c>
      <c r="D119" s="4">
        <v>2.8515961341410913E-2</v>
      </c>
    </row>
    <row r="120" spans="2:4" x14ac:dyDescent="0.25">
      <c r="B120" s="2" t="s">
        <v>23</v>
      </c>
      <c r="C120" s="4">
        <v>0.17160380347638785</v>
      </c>
      <c r="D120" s="4">
        <v>0.21637851304519196</v>
      </c>
    </row>
    <row r="121" spans="2:4" x14ac:dyDescent="0.25">
      <c r="B121" s="2" t="s">
        <v>24</v>
      </c>
      <c r="C121" s="4">
        <v>1.1459374698038679E-2</v>
      </c>
      <c r="D121" s="4">
        <v>8.1808097742136088E-3</v>
      </c>
    </row>
    <row r="122" spans="2:4" x14ac:dyDescent="0.25">
      <c r="B122" s="2" t="s">
        <v>14</v>
      </c>
      <c r="C122" s="4">
        <v>5.1888826390731939E-2</v>
      </c>
      <c r="D122" s="4">
        <v>2.3271437218520076E-2</v>
      </c>
    </row>
    <row r="123" spans="2:4" x14ac:dyDescent="0.25">
      <c r="B123" s="2" t="s">
        <v>25</v>
      </c>
      <c r="C123" s="4">
        <v>0.16087984777659106</v>
      </c>
      <c r="D123" s="4">
        <v>0.18542309535056511</v>
      </c>
    </row>
    <row r="125" spans="2:4" x14ac:dyDescent="0.25">
      <c r="B125" s="5" t="s">
        <v>4</v>
      </c>
      <c r="C125" s="5" t="s">
        <v>29</v>
      </c>
      <c r="D125" s="5" t="s">
        <v>30</v>
      </c>
    </row>
    <row r="126" spans="2:4" x14ac:dyDescent="0.25">
      <c r="B126" s="2" t="s">
        <v>21</v>
      </c>
      <c r="C126" s="4">
        <v>1</v>
      </c>
      <c r="D126" s="4">
        <v>1</v>
      </c>
    </row>
    <row r="127" spans="2:4" x14ac:dyDescent="0.25">
      <c r="B127" s="2" t="s">
        <v>19</v>
      </c>
      <c r="C127" s="4">
        <v>0.50544662309368193</v>
      </c>
      <c r="D127" s="4">
        <v>0.68607147392914902</v>
      </c>
    </row>
    <row r="128" spans="2:4" x14ac:dyDescent="0.25">
      <c r="B128" s="2" t="s">
        <v>20</v>
      </c>
      <c r="C128" s="4">
        <v>0.47791102514506761</v>
      </c>
      <c r="D128" s="4">
        <v>0.80063757597530205</v>
      </c>
    </row>
    <row r="129" spans="2:4" x14ac:dyDescent="0.25">
      <c r="B129" s="2" t="s">
        <v>22</v>
      </c>
      <c r="C129" s="4">
        <v>0.12128300549353181</v>
      </c>
      <c r="D129" s="4">
        <v>0.55400770573728275</v>
      </c>
    </row>
    <row r="130" spans="2:4" x14ac:dyDescent="0.25">
      <c r="B130" s="2" t="s">
        <v>23</v>
      </c>
      <c r="C130" s="4">
        <v>0.42401259497569999</v>
      </c>
      <c r="D130" s="4">
        <v>0.58433435380303211</v>
      </c>
    </row>
    <row r="131" spans="2:4" x14ac:dyDescent="0.25">
      <c r="B131" s="2" t="s">
        <v>24</v>
      </c>
      <c r="C131" s="4">
        <v>9.1496179442938114E-2</v>
      </c>
      <c r="D131" s="4">
        <v>0.64644485253175021</v>
      </c>
    </row>
    <row r="132" spans="2:4" x14ac:dyDescent="0.25">
      <c r="B132" s="2" t="s">
        <v>14</v>
      </c>
      <c r="C132" s="4">
        <v>0.26300651145359993</v>
      </c>
      <c r="D132" s="4">
        <v>0.62224991381325467</v>
      </c>
    </row>
    <row r="133" spans="2:4" x14ac:dyDescent="0.25">
      <c r="B133" s="2" t="s">
        <v>25</v>
      </c>
      <c r="C133" s="4">
        <v>0.41596151743741117</v>
      </c>
      <c r="D133" s="4">
        <v>0.91469804388033071</v>
      </c>
    </row>
    <row r="135" spans="2:4" x14ac:dyDescent="0.25">
      <c r="B135" s="5" t="s">
        <v>3</v>
      </c>
      <c r="C135" s="5" t="s">
        <v>29</v>
      </c>
      <c r="D135" s="5" t="s">
        <v>30</v>
      </c>
    </row>
    <row r="136" spans="2:4" x14ac:dyDescent="0.25">
      <c r="B136" s="2" t="s">
        <v>21</v>
      </c>
      <c r="C136" s="4">
        <v>0.37726498373857831</v>
      </c>
      <c r="D136" s="4">
        <v>0.55954614082444987</v>
      </c>
    </row>
    <row r="137" spans="2:4" x14ac:dyDescent="0.25">
      <c r="B137" s="2" t="s">
        <v>19</v>
      </c>
      <c r="C137" s="4">
        <v>8.1100614320375825E-2</v>
      </c>
      <c r="D137" s="4">
        <v>0.11136020496865992</v>
      </c>
    </row>
    <row r="138" spans="2:4" x14ac:dyDescent="0.25">
      <c r="B138" s="2" t="s">
        <v>20</v>
      </c>
      <c r="C138" s="4">
        <v>0.53378762067007379</v>
      </c>
      <c r="D138" s="4">
        <v>0.78139726403440546</v>
      </c>
    </row>
    <row r="139" spans="2:4" x14ac:dyDescent="0.25">
      <c r="B139" s="2" t="s">
        <v>22</v>
      </c>
      <c r="C139" s="4">
        <v>0.53306489081616848</v>
      </c>
      <c r="D139" s="4">
        <v>0.40261701056869653</v>
      </c>
    </row>
    <row r="140" spans="2:4" x14ac:dyDescent="0.25">
      <c r="B140" s="2" t="s">
        <v>23</v>
      </c>
      <c r="C140" s="4">
        <v>0.7541686025502039</v>
      </c>
      <c r="D140" s="4">
        <v>1</v>
      </c>
    </row>
    <row r="141" spans="2:4" x14ac:dyDescent="0.25">
      <c r="B141" s="2" t="s">
        <v>24</v>
      </c>
      <c r="C141" s="4">
        <v>0.41887357389912755</v>
      </c>
      <c r="D141" s="4">
        <v>0.26252459166399783</v>
      </c>
    </row>
    <row r="142" spans="2:4" x14ac:dyDescent="0.25">
      <c r="B142" s="2" t="s">
        <v>14</v>
      </c>
      <c r="C142" s="4">
        <v>1</v>
      </c>
      <c r="D142" s="4">
        <v>0.3124857025209315</v>
      </c>
    </row>
    <row r="143" spans="2:4" x14ac:dyDescent="0.25">
      <c r="B143" s="2" t="s">
        <v>25</v>
      </c>
      <c r="C143" s="4">
        <v>0.42336482370553918</v>
      </c>
      <c r="D143" s="4">
        <v>0.51205563435055135</v>
      </c>
    </row>
  </sheetData>
  <conditionalFormatting sqref="C2:C52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52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52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52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7:C66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7:D6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7:E66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7:F66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8" sqref="A8:F8"/>
    </sheetView>
  </sheetViews>
  <sheetFormatPr defaultRowHeight="15" x14ac:dyDescent="0.25"/>
  <cols>
    <col min="1" max="1" width="58.5703125" customWidth="1"/>
    <col min="3" max="3" width="15.85546875" customWidth="1"/>
    <col min="4" max="4" width="14.28515625" customWidth="1"/>
    <col min="5" max="5" width="16.5703125" customWidth="1"/>
    <col min="6" max="6" width="15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8</v>
      </c>
      <c r="B2" s="2">
        <v>2021</v>
      </c>
      <c r="C2" s="4">
        <v>1952156.8</v>
      </c>
      <c r="D2" s="2">
        <v>5206</v>
      </c>
      <c r="E2" s="3">
        <v>3.2654629273914708E-2</v>
      </c>
      <c r="F2" s="4">
        <v>104634.9</v>
      </c>
    </row>
    <row r="3" spans="1:6" x14ac:dyDescent="0.25">
      <c r="A3" s="2" t="s">
        <v>8</v>
      </c>
      <c r="B3" s="2">
        <v>2022</v>
      </c>
      <c r="C3" s="4">
        <v>1792724.375</v>
      </c>
      <c r="D3" s="2">
        <v>6936</v>
      </c>
      <c r="E3" s="3">
        <v>6.58881199538639E-2</v>
      </c>
      <c r="F3" s="4">
        <v>199952.38500000001</v>
      </c>
    </row>
    <row r="4" spans="1:6" x14ac:dyDescent="0.25">
      <c r="A4" s="2" t="s">
        <v>8</v>
      </c>
      <c r="B4" s="2">
        <v>2023</v>
      </c>
      <c r="C4" s="4">
        <v>1829547.9675</v>
      </c>
      <c r="D4" s="2">
        <v>7308</v>
      </c>
      <c r="E4" s="3">
        <v>4.3103448275862072E-2</v>
      </c>
      <c r="F4" s="4">
        <v>312598.19850000012</v>
      </c>
    </row>
    <row r="5" spans="1:6" x14ac:dyDescent="0.25">
      <c r="A5" s="2" t="s">
        <v>8</v>
      </c>
      <c r="B5" s="2">
        <v>2024</v>
      </c>
      <c r="C5" s="4">
        <v>1862064.4055999999</v>
      </c>
      <c r="D5" s="2">
        <v>8035</v>
      </c>
      <c r="E5" s="3">
        <v>4.1194772868699443E-2</v>
      </c>
      <c r="F5" s="4">
        <v>168206.56020000001</v>
      </c>
    </row>
    <row r="6" spans="1:6" x14ac:dyDescent="0.25">
      <c r="A6" s="2" t="s">
        <v>8</v>
      </c>
      <c r="B6" s="2">
        <v>2025</v>
      </c>
      <c r="C6" s="4">
        <v>2054620.9151999999</v>
      </c>
      <c r="D6" s="2">
        <v>7393</v>
      </c>
      <c r="E6" s="3">
        <v>6.1679967536859191E-2</v>
      </c>
      <c r="F6" s="4">
        <v>167554.59839999999</v>
      </c>
    </row>
    <row r="8" spans="1:6" x14ac:dyDescent="0.25">
      <c r="A8" s="5" t="s">
        <v>17</v>
      </c>
      <c r="C8" s="4">
        <f>MEDIAN(C2:C6)</f>
        <v>1862064.4055999999</v>
      </c>
      <c r="D8" s="4">
        <f t="shared" ref="D8:F8" si="0">MEDIAN(D2:D6)</f>
        <v>7308</v>
      </c>
      <c r="E8" s="3">
        <f t="shared" si="0"/>
        <v>4.3103448275862072E-2</v>
      </c>
      <c r="F8" s="4">
        <f t="shared" si="0"/>
        <v>168206.56020000001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:F8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2021</v>
      </c>
      <c r="C2" s="4">
        <v>11886878</v>
      </c>
      <c r="D2" s="2">
        <v>1339</v>
      </c>
      <c r="E2" s="3">
        <v>1.9417475728155342E-2</v>
      </c>
      <c r="F2" s="4">
        <v>67742.100000000006</v>
      </c>
    </row>
    <row r="3" spans="1:6" x14ac:dyDescent="0.25">
      <c r="A3" s="2" t="s">
        <v>6</v>
      </c>
      <c r="B3" s="2">
        <v>2022</v>
      </c>
      <c r="C3" s="4">
        <v>12929253.949999999</v>
      </c>
      <c r="D3" s="2">
        <v>1571</v>
      </c>
      <c r="E3" s="3">
        <v>2.1642266072565249E-2</v>
      </c>
      <c r="F3" s="4">
        <v>70078.505000000005</v>
      </c>
    </row>
    <row r="4" spans="1:6" x14ac:dyDescent="0.25">
      <c r="A4" s="2" t="s">
        <v>6</v>
      </c>
      <c r="B4" s="2">
        <v>2023</v>
      </c>
      <c r="C4" s="4">
        <v>10832458.244999999</v>
      </c>
      <c r="D4" s="2">
        <v>1613</v>
      </c>
      <c r="E4" s="3">
        <v>2.603843769373838E-2</v>
      </c>
      <c r="F4" s="4">
        <v>84612.337500000009</v>
      </c>
    </row>
    <row r="5" spans="1:6" x14ac:dyDescent="0.25">
      <c r="A5" s="2" t="s">
        <v>6</v>
      </c>
      <c r="B5" s="2">
        <v>2024</v>
      </c>
      <c r="C5" s="4">
        <v>10153770.282</v>
      </c>
      <c r="D5" s="2">
        <v>1836</v>
      </c>
      <c r="E5" s="3">
        <v>2.178649237472767E-2</v>
      </c>
      <c r="F5" s="4">
        <v>48542.602199999987</v>
      </c>
    </row>
    <row r="6" spans="1:6" x14ac:dyDescent="0.25">
      <c r="A6" s="2" t="s">
        <v>6</v>
      </c>
      <c r="B6" s="2">
        <v>2025</v>
      </c>
      <c r="C6" s="4">
        <v>9396120.3839999996</v>
      </c>
      <c r="D6" s="2">
        <v>1505</v>
      </c>
      <c r="E6" s="3">
        <v>3.3887043189368769E-2</v>
      </c>
      <c r="F6" s="4">
        <v>44273.930399999997</v>
      </c>
    </row>
    <row r="8" spans="1:6" x14ac:dyDescent="0.25">
      <c r="A8" s="5" t="s">
        <v>17</v>
      </c>
      <c r="C8" s="4">
        <f>MEDIAN(C2:C6)</f>
        <v>10832458.244999999</v>
      </c>
      <c r="D8" s="4">
        <f t="shared" ref="D8:F8" si="0">MEDIAN(D2:D6)</f>
        <v>1571</v>
      </c>
      <c r="E8" s="3">
        <f t="shared" si="0"/>
        <v>2.178649237472767E-2</v>
      </c>
      <c r="F8" s="4">
        <f t="shared" si="0"/>
        <v>67742.100000000006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:F8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</v>
      </c>
      <c r="B2" s="2">
        <v>2021</v>
      </c>
      <c r="C2" s="4">
        <v>11424766</v>
      </c>
      <c r="D2" s="2">
        <v>8470</v>
      </c>
      <c r="E2" s="3">
        <v>1.3577331759149941E-2</v>
      </c>
      <c r="F2" s="4">
        <v>60729.1</v>
      </c>
    </row>
    <row r="3" spans="1:6" x14ac:dyDescent="0.25">
      <c r="A3" s="2" t="s">
        <v>9</v>
      </c>
      <c r="B3" s="2">
        <v>2022</v>
      </c>
      <c r="C3" s="4">
        <v>11840322.35</v>
      </c>
      <c r="D3" s="2">
        <v>10340</v>
      </c>
      <c r="E3" s="3">
        <v>2.059961315280464E-2</v>
      </c>
      <c r="F3" s="4">
        <v>59233.78</v>
      </c>
    </row>
    <row r="4" spans="1:6" x14ac:dyDescent="0.25">
      <c r="A4" s="2" t="s">
        <v>9</v>
      </c>
      <c r="B4" s="2">
        <v>2023</v>
      </c>
      <c r="C4" s="4">
        <v>10347492.27</v>
      </c>
      <c r="D4" s="2">
        <v>10256</v>
      </c>
      <c r="E4" s="3">
        <v>2.1840873634945399E-2</v>
      </c>
      <c r="F4" s="4">
        <v>52849.761000000013</v>
      </c>
    </row>
    <row r="5" spans="1:6" x14ac:dyDescent="0.25">
      <c r="A5" s="2" t="s">
        <v>9</v>
      </c>
      <c r="B5" s="2">
        <v>2024</v>
      </c>
      <c r="C5" s="4">
        <v>10469620.812000001</v>
      </c>
      <c r="D5" s="2">
        <v>11397</v>
      </c>
      <c r="E5" s="3">
        <v>1.8864613494779331E-2</v>
      </c>
      <c r="F5" s="4">
        <v>48243.0576</v>
      </c>
    </row>
    <row r="6" spans="1:6" x14ac:dyDescent="0.25">
      <c r="A6" s="2" t="s">
        <v>9</v>
      </c>
      <c r="B6" s="2">
        <v>2025</v>
      </c>
      <c r="C6" s="4">
        <v>10396322.495999999</v>
      </c>
      <c r="D6" s="2">
        <v>10611</v>
      </c>
      <c r="E6" s="3">
        <v>2.61049853925172E-2</v>
      </c>
      <c r="F6" s="4">
        <v>43959.535199999998</v>
      </c>
    </row>
    <row r="8" spans="1:6" x14ac:dyDescent="0.25">
      <c r="A8" s="5" t="s">
        <v>17</v>
      </c>
      <c r="C8" s="4">
        <f>MEDIAN(C2:C6)</f>
        <v>10469620.812000001</v>
      </c>
      <c r="D8" s="4">
        <f t="shared" ref="D8:F8" si="0">MEDIAN(D2:D6)</f>
        <v>10340</v>
      </c>
      <c r="E8" s="3">
        <f t="shared" si="0"/>
        <v>2.059961315280464E-2</v>
      </c>
      <c r="F8" s="4">
        <f t="shared" si="0"/>
        <v>52849.761000000013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:F8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10</v>
      </c>
      <c r="B2" s="2">
        <v>2021</v>
      </c>
      <c r="C2" s="4">
        <v>5486403</v>
      </c>
      <c r="D2" s="2">
        <v>9472</v>
      </c>
      <c r="E2" s="3">
        <v>1.1613175675675681E-3</v>
      </c>
      <c r="F2" s="4">
        <v>5342.3</v>
      </c>
    </row>
    <row r="3" spans="1:6" x14ac:dyDescent="0.25">
      <c r="A3" s="2" t="s">
        <v>10</v>
      </c>
      <c r="B3" s="2">
        <v>2022</v>
      </c>
      <c r="C3" s="4">
        <v>5722677.7000000002</v>
      </c>
      <c r="D3" s="2">
        <v>10450</v>
      </c>
      <c r="E3" s="3">
        <v>7.3684210526315788E-3</v>
      </c>
      <c r="F3" s="4">
        <v>3380.11</v>
      </c>
    </row>
    <row r="4" spans="1:6" x14ac:dyDescent="0.25">
      <c r="A4" s="2" t="s">
        <v>10</v>
      </c>
      <c r="B4" s="2">
        <v>2023</v>
      </c>
      <c r="C4" s="4">
        <v>6304234.7850000011</v>
      </c>
      <c r="D4" s="2">
        <v>10282</v>
      </c>
      <c r="E4" s="3">
        <v>4.3765804318226034E-3</v>
      </c>
      <c r="F4" s="4">
        <v>3999.2534999999998</v>
      </c>
    </row>
    <row r="5" spans="1:6" x14ac:dyDescent="0.25">
      <c r="A5" s="2" t="s">
        <v>10</v>
      </c>
      <c r="B5" s="2">
        <v>2024</v>
      </c>
      <c r="C5" s="4">
        <v>7154088.5099999998</v>
      </c>
      <c r="D5" s="2">
        <v>11286</v>
      </c>
      <c r="E5" s="3">
        <v>5.2277157540315438E-3</v>
      </c>
      <c r="F5" s="4">
        <v>3791.2446</v>
      </c>
    </row>
    <row r="6" spans="1:6" x14ac:dyDescent="0.25">
      <c r="A6" s="2" t="s">
        <v>10</v>
      </c>
      <c r="B6" s="2">
        <v>2025</v>
      </c>
      <c r="C6" s="4">
        <v>7568458.6320000002</v>
      </c>
      <c r="D6" s="2">
        <v>10326</v>
      </c>
      <c r="E6" s="3">
        <v>1.6560139453805928E-2</v>
      </c>
      <c r="F6" s="4">
        <v>2749.6224000000002</v>
      </c>
    </row>
    <row r="8" spans="1:6" x14ac:dyDescent="0.25">
      <c r="A8" s="5" t="s">
        <v>17</v>
      </c>
      <c r="C8" s="4">
        <f>MEDIAN(C2:C6)</f>
        <v>6304234.7850000011</v>
      </c>
      <c r="D8" s="4">
        <f t="shared" ref="D8:F8" si="0">MEDIAN(D2:D6)</f>
        <v>10326</v>
      </c>
      <c r="E8" s="3">
        <f t="shared" si="0"/>
        <v>5.2277157540315438E-3</v>
      </c>
      <c r="F8" s="4">
        <f t="shared" si="0"/>
        <v>3791.2446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F1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11</v>
      </c>
      <c r="B2" s="2">
        <v>2021</v>
      </c>
      <c r="C2" s="4">
        <v>3106546.5</v>
      </c>
      <c r="D2" s="2">
        <v>13025</v>
      </c>
      <c r="E2" s="3">
        <v>1.2130518234165069E-2</v>
      </c>
      <c r="F2" s="4">
        <v>42336.800000000003</v>
      </c>
    </row>
    <row r="3" spans="1:6" x14ac:dyDescent="0.25">
      <c r="A3" s="2" t="s">
        <v>11</v>
      </c>
      <c r="B3" s="2">
        <v>2022</v>
      </c>
      <c r="C3" s="4">
        <v>2913359.87</v>
      </c>
      <c r="D3" s="2">
        <v>15632</v>
      </c>
      <c r="E3" s="3">
        <v>7.6125895598771753E-3</v>
      </c>
      <c r="F3" s="4">
        <v>31461.305</v>
      </c>
    </row>
    <row r="4" spans="1:6" x14ac:dyDescent="0.25">
      <c r="A4" s="2" t="s">
        <v>11</v>
      </c>
      <c r="B4" s="2">
        <v>2023</v>
      </c>
      <c r="C4" s="4">
        <v>2952657.7349999999</v>
      </c>
      <c r="D4" s="2">
        <v>14609</v>
      </c>
      <c r="E4" s="3">
        <v>1.8276404955849139E-2</v>
      </c>
      <c r="F4" s="4">
        <v>28864.8855</v>
      </c>
    </row>
    <row r="5" spans="1:6" x14ac:dyDescent="0.25">
      <c r="A5" s="2" t="s">
        <v>11</v>
      </c>
      <c r="B5" s="2">
        <v>2024</v>
      </c>
      <c r="C5" s="4">
        <v>2628025.8420000002</v>
      </c>
      <c r="D5" s="2">
        <v>15742</v>
      </c>
      <c r="E5" s="3">
        <v>2.42662939905984E-2</v>
      </c>
      <c r="F5" s="4">
        <v>23860.547399999999</v>
      </c>
    </row>
    <row r="6" spans="1:6" x14ac:dyDescent="0.25">
      <c r="A6" s="2" t="s">
        <v>11</v>
      </c>
      <c r="B6" s="2">
        <v>2025</v>
      </c>
      <c r="C6" s="4">
        <v>2367562.176</v>
      </c>
      <c r="D6" s="2">
        <v>14206</v>
      </c>
      <c r="E6" s="3">
        <v>2.2314514993664651E-2</v>
      </c>
      <c r="F6" s="4">
        <v>22153.32</v>
      </c>
    </row>
    <row r="8" spans="1:6" x14ac:dyDescent="0.25">
      <c r="A8" s="5" t="s">
        <v>17</v>
      </c>
      <c r="C8" s="4">
        <f>MEDIAN(C2:C6)</f>
        <v>2913359.87</v>
      </c>
      <c r="D8" s="4">
        <f t="shared" ref="D8:F8" si="0">MEDIAN(D2:D6)</f>
        <v>14609</v>
      </c>
      <c r="E8" s="3">
        <f t="shared" si="0"/>
        <v>1.8276404955849139E-2</v>
      </c>
      <c r="F8" s="4">
        <f t="shared" si="0"/>
        <v>28864.8855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:F8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12</v>
      </c>
      <c r="B2" s="2">
        <v>2021</v>
      </c>
      <c r="C2" s="4">
        <v>4222766.5</v>
      </c>
      <c r="D2" s="2">
        <v>7589</v>
      </c>
      <c r="E2" s="3">
        <v>1.8447753327184081E-3</v>
      </c>
      <c r="F2" s="4">
        <v>1413.9</v>
      </c>
    </row>
    <row r="3" spans="1:6" x14ac:dyDescent="0.25">
      <c r="A3" s="2" t="s">
        <v>12</v>
      </c>
      <c r="B3" s="2">
        <v>2022</v>
      </c>
      <c r="C3" s="4">
        <v>4628018.375</v>
      </c>
      <c r="D3" s="2">
        <v>8521</v>
      </c>
      <c r="E3" s="3">
        <v>2.699213707311349E-3</v>
      </c>
      <c r="F3" s="4">
        <v>2063.9699999999998</v>
      </c>
    </row>
    <row r="4" spans="1:6" x14ac:dyDescent="0.25">
      <c r="A4" s="2" t="s">
        <v>12</v>
      </c>
      <c r="B4" s="2">
        <v>2023</v>
      </c>
      <c r="C4" s="4">
        <v>3220913.4075000002</v>
      </c>
      <c r="D4" s="2">
        <v>8114</v>
      </c>
      <c r="E4" s="3">
        <v>3.9438008380576779E-3</v>
      </c>
      <c r="F4" s="4">
        <v>1958.067</v>
      </c>
    </row>
    <row r="5" spans="1:6" x14ac:dyDescent="0.25">
      <c r="A5" s="2" t="s">
        <v>12</v>
      </c>
      <c r="B5" s="2">
        <v>2024</v>
      </c>
      <c r="C5" s="4">
        <v>3279622.7940000002</v>
      </c>
      <c r="D5" s="2">
        <v>9339</v>
      </c>
      <c r="E5" s="3">
        <v>4.818503051718599E-3</v>
      </c>
      <c r="F5" s="4">
        <v>1927.5419999999999</v>
      </c>
    </row>
    <row r="6" spans="1:6" x14ac:dyDescent="0.25">
      <c r="A6" s="2" t="s">
        <v>12</v>
      </c>
      <c r="B6" s="2">
        <v>2025</v>
      </c>
      <c r="C6" s="4">
        <v>3101890.68</v>
      </c>
      <c r="D6" s="2">
        <v>6070</v>
      </c>
      <c r="E6" s="3">
        <v>9.5551894563426689E-3</v>
      </c>
      <c r="F6" s="4">
        <v>1384.0848000000001</v>
      </c>
    </row>
    <row r="8" spans="1:6" x14ac:dyDescent="0.25">
      <c r="A8" s="5" t="s">
        <v>17</v>
      </c>
      <c r="C8" s="4">
        <f>MEDIAN(C2:C6)</f>
        <v>3279622.7940000002</v>
      </c>
      <c r="D8" s="4">
        <f t="shared" ref="D8:F8" si="0">MEDIAN(D2:D6)</f>
        <v>8114</v>
      </c>
      <c r="E8" s="3">
        <f t="shared" si="0"/>
        <v>3.9438008380576779E-3</v>
      </c>
      <c r="F8" s="4">
        <f t="shared" si="0"/>
        <v>1927.5419999999999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:F8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14</v>
      </c>
      <c r="B2" s="2">
        <v>2021</v>
      </c>
      <c r="C2" s="4">
        <v>4765552.5</v>
      </c>
      <c r="D2" s="2">
        <v>15409</v>
      </c>
      <c r="E2" s="3">
        <v>3.8289311441365441E-3</v>
      </c>
      <c r="F2" s="4">
        <v>16509.599999999999</v>
      </c>
    </row>
    <row r="3" spans="1:6" x14ac:dyDescent="0.25">
      <c r="A3" s="2" t="s">
        <v>14</v>
      </c>
      <c r="B3" s="2">
        <v>2022</v>
      </c>
      <c r="C3" s="4">
        <v>4636488.625</v>
      </c>
      <c r="D3" s="2">
        <v>19371</v>
      </c>
      <c r="E3" s="3">
        <v>6.6594393681276131E-3</v>
      </c>
      <c r="F3" s="4">
        <v>6778.3249999999998</v>
      </c>
    </row>
    <row r="4" spans="1:6" x14ac:dyDescent="0.25">
      <c r="A4" s="2" t="s">
        <v>14</v>
      </c>
      <c r="B4" s="2">
        <v>2023</v>
      </c>
      <c r="C4" s="4">
        <v>4738252.4775</v>
      </c>
      <c r="D4" s="2">
        <v>17872</v>
      </c>
      <c r="E4" s="3">
        <v>1.2645478961504031E-2</v>
      </c>
      <c r="F4" s="4">
        <v>8728.0410000000011</v>
      </c>
    </row>
    <row r="5" spans="1:6" x14ac:dyDescent="0.25">
      <c r="A5" s="2" t="s">
        <v>14</v>
      </c>
      <c r="B5" s="2">
        <v>2024</v>
      </c>
      <c r="C5" s="4">
        <v>5054164.68</v>
      </c>
      <c r="D5" s="2">
        <v>21347</v>
      </c>
      <c r="E5" s="3">
        <v>1.133648756265517E-2</v>
      </c>
      <c r="F5" s="4">
        <v>10250.3334</v>
      </c>
    </row>
    <row r="6" spans="1:6" x14ac:dyDescent="0.25">
      <c r="A6" s="2" t="s">
        <v>14</v>
      </c>
      <c r="B6" s="2">
        <v>2025</v>
      </c>
      <c r="C6" s="4">
        <v>4969254.5279999999</v>
      </c>
      <c r="D6" s="2">
        <v>19714</v>
      </c>
      <c r="E6" s="3">
        <v>1.8311859592167998E-2</v>
      </c>
      <c r="F6" s="4">
        <v>6442.6824000000006</v>
      </c>
    </row>
    <row r="8" spans="1:6" x14ac:dyDescent="0.25">
      <c r="A8" s="5" t="s">
        <v>17</v>
      </c>
      <c r="C8" s="4">
        <f>MEDIAN(C2:C6)</f>
        <v>4765552.5</v>
      </c>
      <c r="D8" s="4">
        <f t="shared" ref="D8:F8" si="0">MEDIAN(D2:D6)</f>
        <v>19371</v>
      </c>
      <c r="E8" s="3">
        <f t="shared" si="0"/>
        <v>1.133648756265517E-2</v>
      </c>
      <c r="F8" s="4">
        <f t="shared" si="0"/>
        <v>8728.0410000000011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:F8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15</v>
      </c>
      <c r="B2" s="2">
        <v>2021</v>
      </c>
      <c r="C2" s="4">
        <v>5718757</v>
      </c>
      <c r="D2" s="2">
        <v>6539</v>
      </c>
      <c r="E2" s="3">
        <v>7.7993576999541214E-3</v>
      </c>
      <c r="F2" s="4">
        <v>28459.200000000001</v>
      </c>
    </row>
    <row r="3" spans="1:6" x14ac:dyDescent="0.25">
      <c r="A3" s="2" t="s">
        <v>15</v>
      </c>
      <c r="B3" s="2">
        <v>2022</v>
      </c>
      <c r="C3" s="4">
        <v>5432726.9749999996</v>
      </c>
      <c r="D3" s="2">
        <v>8191</v>
      </c>
      <c r="E3" s="3">
        <v>1.635941887437431E-2</v>
      </c>
      <c r="F3" s="4">
        <v>29470.945</v>
      </c>
    </row>
    <row r="4" spans="1:6" x14ac:dyDescent="0.25">
      <c r="A4" s="2" t="s">
        <v>15</v>
      </c>
      <c r="B4" s="2">
        <v>2023</v>
      </c>
      <c r="C4" s="4">
        <v>4735027.4550000001</v>
      </c>
      <c r="D4" s="2">
        <v>8201</v>
      </c>
      <c r="E4" s="3">
        <v>2.767955127423485E-2</v>
      </c>
      <c r="F4" s="4">
        <v>25761.334500000001</v>
      </c>
    </row>
    <row r="5" spans="1:6" x14ac:dyDescent="0.25">
      <c r="A5" s="2" t="s">
        <v>15</v>
      </c>
      <c r="B5" s="2">
        <v>2024</v>
      </c>
      <c r="C5" s="4">
        <v>4791203.8260000004</v>
      </c>
      <c r="D5" s="2">
        <v>9147</v>
      </c>
      <c r="E5" s="3">
        <v>1.7929375751612551E-2</v>
      </c>
      <c r="F5" s="4">
        <v>27061.0458</v>
      </c>
    </row>
    <row r="6" spans="1:6" x14ac:dyDescent="0.25">
      <c r="A6" s="2" t="s">
        <v>15</v>
      </c>
      <c r="B6" s="2">
        <v>2025</v>
      </c>
      <c r="C6" s="4">
        <v>4917959.9280000003</v>
      </c>
      <c r="D6" s="2">
        <v>8852</v>
      </c>
      <c r="E6" s="3">
        <v>2.0786262991414371E-2</v>
      </c>
      <c r="F6" s="4">
        <v>22122.2736</v>
      </c>
    </row>
    <row r="8" spans="1:6" x14ac:dyDescent="0.25">
      <c r="A8" s="5" t="s">
        <v>17</v>
      </c>
      <c r="C8" s="4">
        <f>MEDIAN(C2:C6)</f>
        <v>4917959.9280000003</v>
      </c>
      <c r="D8" s="4">
        <f t="shared" ref="D8:F8" si="0">MEDIAN(D2:D6)</f>
        <v>8201</v>
      </c>
      <c r="E8" s="3">
        <f t="shared" si="0"/>
        <v>1.7929375751612551E-2</v>
      </c>
      <c r="F8" s="4">
        <f t="shared" si="0"/>
        <v>27061.0458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:F8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13</v>
      </c>
      <c r="B2" s="2">
        <v>2021</v>
      </c>
      <c r="C2" s="4">
        <v>1310044.2</v>
      </c>
      <c r="D2" s="2">
        <v>717</v>
      </c>
      <c r="E2" s="3">
        <v>4.4630404463040438E-2</v>
      </c>
      <c r="F2" s="4">
        <v>11862.8</v>
      </c>
    </row>
    <row r="3" spans="1:6" x14ac:dyDescent="0.25">
      <c r="A3" s="2" t="s">
        <v>13</v>
      </c>
      <c r="B3" s="2">
        <v>2022</v>
      </c>
      <c r="C3" s="4">
        <v>1234589.98</v>
      </c>
      <c r="D3" s="2">
        <v>798</v>
      </c>
      <c r="E3" s="3">
        <v>3.5087719298245612E-2</v>
      </c>
      <c r="F3" s="4">
        <v>8198.76</v>
      </c>
    </row>
    <row r="4" spans="1:6" x14ac:dyDescent="0.25">
      <c r="A4" s="2" t="s">
        <v>13</v>
      </c>
      <c r="B4" s="2">
        <v>2023</v>
      </c>
      <c r="C4" s="4">
        <v>1191452.115</v>
      </c>
      <c r="D4" s="2">
        <v>834</v>
      </c>
      <c r="E4" s="3">
        <v>2.9976019184652279E-2</v>
      </c>
      <c r="F4" s="4">
        <v>9826.924500000001</v>
      </c>
    </row>
    <row r="5" spans="1:6" x14ac:dyDescent="0.25">
      <c r="A5" s="2" t="s">
        <v>13</v>
      </c>
      <c r="B5" s="2">
        <v>2024</v>
      </c>
      <c r="C5" s="4">
        <v>1246494.9996</v>
      </c>
      <c r="D5" s="2">
        <v>844</v>
      </c>
      <c r="E5" s="3">
        <v>4.1469194312796213E-2</v>
      </c>
      <c r="F5" s="4">
        <v>11792.5524</v>
      </c>
    </row>
    <row r="6" spans="1:6" x14ac:dyDescent="0.25">
      <c r="A6" s="2" t="s">
        <v>13</v>
      </c>
      <c r="B6" s="2">
        <v>2025</v>
      </c>
      <c r="C6" s="4">
        <v>1208385.2592</v>
      </c>
      <c r="D6" s="2">
        <v>639</v>
      </c>
      <c r="E6" s="3">
        <v>4.6948356807511728E-2</v>
      </c>
      <c r="F6" s="4">
        <v>10113.263999999999</v>
      </c>
    </row>
    <row r="8" spans="1:6" x14ac:dyDescent="0.25">
      <c r="A8" s="5" t="s">
        <v>17</v>
      </c>
      <c r="C8" s="4">
        <f>MEDIAN(C2:C6)</f>
        <v>1234589.98</v>
      </c>
      <c r="D8" s="4">
        <f t="shared" ref="D8:F8" si="0">MEDIAN(D2:D6)</f>
        <v>798</v>
      </c>
      <c r="E8" s="3">
        <f t="shared" si="0"/>
        <v>4.1469194312796213E-2</v>
      </c>
      <c r="F8" s="4">
        <f t="shared" si="0"/>
        <v>10113.263999999999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:F8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7</v>
      </c>
      <c r="B2" s="2">
        <v>2021</v>
      </c>
      <c r="C2" s="4">
        <v>1741828.5</v>
      </c>
      <c r="D2" s="2">
        <v>9633</v>
      </c>
      <c r="E2" s="3">
        <v>5.3981106612685558E-3</v>
      </c>
      <c r="F2" s="4">
        <v>3351.3</v>
      </c>
    </row>
    <row r="3" spans="1:6" x14ac:dyDescent="0.25">
      <c r="A3" s="2" t="s">
        <v>7</v>
      </c>
      <c r="B3" s="2">
        <v>2022</v>
      </c>
      <c r="C3" s="4">
        <v>1886286.425</v>
      </c>
      <c r="D3" s="2">
        <v>11085</v>
      </c>
      <c r="E3" s="3">
        <v>1.0464591790708159E-2</v>
      </c>
      <c r="F3" s="4">
        <v>17033.744999999999</v>
      </c>
    </row>
    <row r="4" spans="1:6" x14ac:dyDescent="0.25">
      <c r="A4" s="2" t="s">
        <v>7</v>
      </c>
      <c r="B4" s="2">
        <v>2023</v>
      </c>
      <c r="C4" s="4">
        <v>1989346.0874999999</v>
      </c>
      <c r="D4" s="2">
        <v>11581</v>
      </c>
      <c r="E4" s="3">
        <v>7.5123046369052759E-3</v>
      </c>
      <c r="F4" s="4">
        <v>7830.7875000000004</v>
      </c>
    </row>
    <row r="5" spans="1:6" x14ac:dyDescent="0.25">
      <c r="A5" s="2" t="s">
        <v>7</v>
      </c>
      <c r="B5" s="2">
        <v>2024</v>
      </c>
      <c r="C5" s="4">
        <v>1983896.493</v>
      </c>
      <c r="D5" s="2">
        <v>12537</v>
      </c>
      <c r="E5" s="3">
        <v>1.57932519741565E-2</v>
      </c>
      <c r="F5" s="4">
        <v>5482.1543999999994</v>
      </c>
    </row>
    <row r="6" spans="1:6" x14ac:dyDescent="0.25">
      <c r="A6" s="2" t="s">
        <v>7</v>
      </c>
      <c r="B6" s="2">
        <v>2025</v>
      </c>
      <c r="C6" s="4">
        <v>1721759.004</v>
      </c>
      <c r="D6" s="2">
        <v>11444</v>
      </c>
      <c r="E6" s="3">
        <v>2.001048584411045E-2</v>
      </c>
      <c r="F6" s="4">
        <v>9169.1208000000006</v>
      </c>
    </row>
    <row r="8" spans="1:6" x14ac:dyDescent="0.25">
      <c r="A8" s="5" t="s">
        <v>17</v>
      </c>
      <c r="C8" s="4">
        <f>MEDIAN(C2:C6)</f>
        <v>1886286.425</v>
      </c>
      <c r="D8" s="4">
        <f t="shared" ref="D8:F8" si="0">MEDIAN(D2:D6)</f>
        <v>11444</v>
      </c>
      <c r="E8" s="3">
        <f t="shared" si="0"/>
        <v>1.0464591790708159E-2</v>
      </c>
      <c r="F8" s="4">
        <f t="shared" si="0"/>
        <v>7830.7875000000004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All sectors</vt:lpstr>
      <vt:lpstr>IT</vt:lpstr>
      <vt:lpstr>Добыча</vt:lpstr>
      <vt:lpstr>Промышленность</vt:lpstr>
      <vt:lpstr>Недвижимость</vt:lpstr>
      <vt:lpstr>Наука</vt:lpstr>
      <vt:lpstr>Сельхоз</vt:lpstr>
      <vt:lpstr>Строительство</vt:lpstr>
      <vt:lpstr>Логистика</vt:lpstr>
      <vt:lpstr>Коммуналка</vt:lpstr>
      <vt:lpstr>Административный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2026-10-16T12:12:17Z</dcterms:created>
  <dcterms:modified xsi:type="dcterms:W3CDTF">2026-10-19T12:31:52Z</dcterms:modified>
</cp:coreProperties>
</file>