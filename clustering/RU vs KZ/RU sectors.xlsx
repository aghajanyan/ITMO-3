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lbert\.spyder-py3\ITMO-3\clustering\RU vs KZ\"/>
    </mc:Choice>
  </mc:AlternateContent>
  <bookViews>
    <workbookView xWindow="0" yWindow="0" windowWidth="28800" windowHeight="12885"/>
  </bookViews>
  <sheets>
    <sheet name="all sectors" sheetId="1" r:id="rId1"/>
    <sheet name="IT" sheetId="2" r:id="rId2"/>
    <sheet name="Добыча" sheetId="3" r:id="rId3"/>
    <sheet name="Промышленность" sheetId="4" r:id="rId4"/>
    <sheet name="Недвижимость" sheetId="5" r:id="rId5"/>
    <sheet name="Наука" sheetId="6" r:id="rId6"/>
    <sheet name="Сельхоз" sheetId="7" r:id="rId7"/>
    <sheet name="Строительство" sheetId="8" r:id="rId8"/>
    <sheet name="Логистика" sheetId="10" r:id="rId9"/>
  </sheets>
  <calcPr calcId="162913"/>
</workbook>
</file>

<file path=xl/calcChain.xml><?xml version="1.0" encoding="utf-8"?>
<calcChain xmlns="http://schemas.openxmlformats.org/spreadsheetml/2006/main">
  <c r="D97" i="1" l="1"/>
  <c r="E97" i="1"/>
  <c r="F97" i="1"/>
  <c r="D98" i="1"/>
  <c r="E98" i="1"/>
  <c r="F98" i="1"/>
  <c r="D99" i="1"/>
  <c r="E99" i="1"/>
  <c r="F99" i="1"/>
  <c r="D100" i="1"/>
  <c r="E100" i="1"/>
  <c r="F100" i="1"/>
  <c r="D101" i="1"/>
  <c r="E101" i="1"/>
  <c r="F101" i="1"/>
  <c r="D102" i="1"/>
  <c r="E102" i="1"/>
  <c r="F102" i="1"/>
  <c r="D103" i="1"/>
  <c r="E103" i="1"/>
  <c r="F103" i="1"/>
  <c r="D104" i="1"/>
  <c r="E104" i="1"/>
  <c r="F104" i="1"/>
  <c r="C98" i="1"/>
  <c r="C99" i="1"/>
  <c r="C100" i="1"/>
  <c r="C101" i="1"/>
  <c r="C102" i="1"/>
  <c r="C103" i="1"/>
  <c r="C104" i="1"/>
  <c r="C97" i="1"/>
  <c r="F95" i="1"/>
  <c r="E95" i="1"/>
  <c r="D95" i="1"/>
  <c r="C95" i="1"/>
  <c r="F8" i="10"/>
  <c r="E8" i="10"/>
  <c r="D8" i="10"/>
  <c r="C8" i="10"/>
  <c r="F8" i="8"/>
  <c r="E8" i="8"/>
  <c r="D8" i="8"/>
  <c r="C8" i="8"/>
  <c r="F8" i="7"/>
  <c r="E8" i="7"/>
  <c r="D8" i="7"/>
  <c r="C8" i="7"/>
  <c r="F8" i="6"/>
  <c r="E8" i="6"/>
  <c r="D8" i="6"/>
  <c r="C8" i="6"/>
  <c r="F8" i="5"/>
  <c r="E8" i="5"/>
  <c r="D8" i="5"/>
  <c r="C8" i="5"/>
  <c r="F8" i="4"/>
  <c r="E8" i="4"/>
  <c r="D8" i="4"/>
  <c r="C8" i="4"/>
  <c r="F8" i="3"/>
  <c r="E8" i="3"/>
  <c r="D8" i="3"/>
  <c r="C8" i="3"/>
  <c r="F8" i="2"/>
  <c r="E8" i="2"/>
  <c r="D8" i="2"/>
  <c r="C8" i="2"/>
</calcChain>
</file>

<file path=xl/sharedStrings.xml><?xml version="1.0" encoding="utf-8"?>
<sst xmlns="http://schemas.openxmlformats.org/spreadsheetml/2006/main" count="207" uniqueCount="32">
  <si>
    <t>sector</t>
  </si>
  <si>
    <t>year</t>
  </si>
  <si>
    <t>VDS_s</t>
  </si>
  <si>
    <t>ITusage_s</t>
  </si>
  <si>
    <t>BDusage_s</t>
  </si>
  <si>
    <t>ITcosts_s</t>
  </si>
  <si>
    <t>ГОСУДАРСТВЕННОЕ УПРАВЛЕНИЕ И ОБЕСПЕЧЕНИЕ ВОЕННОЙ БЕЗОПАСНОСТИ; СОЦИАЛЬНОЕ ОБЕСПЕЧЕНИЕ</t>
  </si>
  <si>
    <t>ДЕЯТЕЛЬНОСТЬ АДМИНИСТРАТИВНАЯ И СОПУТСТВУЮЩИЕ ДОПОЛНИТЕЛЬНЫЕ УСЛУГИ</t>
  </si>
  <si>
    <t>ДЕЯТЕЛЬНОСТЬ В ОБЛАСТИ ЗДРАВООХРАНЕНИЯ И СОЦИАЛЬНЫХ УСЛУГ</t>
  </si>
  <si>
    <t>ДЕЯТЕЛЬНОСТЬ В ОБЛАСТИ ИНФОРМАЦИИ И СВЯЗИ</t>
  </si>
  <si>
    <t>ДЕЯТЕЛЬНОСТЬ В ОБЛАСТИ КУЛЬТУРЫ, СПОРТА, ОРГАНИЗАЦИИ ДОСУГА И РАЗВЛЕЧЕНИЙ</t>
  </si>
  <si>
    <t>ДЕЯТЕЛЬНОСТЬ ГОСТИНИЦ И ПРЕДПРИЯТИЙ ОБЩЕСТВЕННОГО ПИТАНИЯ</t>
  </si>
  <si>
    <t>ДЕЯТЕЛЬНОСТЬ ПО ОПЕРАЦИЯМ С НЕДВИЖИМЫМ ИМУЩЕСТВОМ</t>
  </si>
  <si>
    <t>ДЕЯТЕЛЬНОСТЬ ПРОФЕССИОНАЛЬНАЯ, НАУЧНАЯ И ТЕХНИЧЕСКАЯ</t>
  </si>
  <si>
    <t>ДЕЯТЕЛЬНОСТЬ ФИНАНСОВАЯ И СТРАХОВАЯ</t>
  </si>
  <si>
    <t>ДОБЫЧА ПОЛЕЗНЫХ ИСКОПАЕМЫХ</t>
  </si>
  <si>
    <t>ОБЕСПЕЧЕНИЕ ЭЛЕКТРИЧЕСКОЙ ЭНЕРГИЕЙ, ГАЗОМ И ПАРОМ; КОНДИЦИОНИРОВАНИЕ ВОЗДУХА</t>
  </si>
  <si>
    <t>ОБРАБАТЫВАЮЩИЕ ПРОИЗВОДСТВА</t>
  </si>
  <si>
    <t>СЕЛЬСКОЕ, ЛЕСНОЕ ХОЗЯЙСТВО, ОХОТА, РЫБОЛОВСТВО И РЫБОВОДСТВО</t>
  </si>
  <si>
    <t>СТРОИТЕЛЬСТВО</t>
  </si>
  <si>
    <t>ТОРГОВЛЯ ОПТОВАЯ И РОЗНИЧНАЯ; РЕМОНТ АВТОТРАНСПОРТНЫХ СРЕДСТВ И МОТОЦИКЛОВ</t>
  </si>
  <si>
    <t>ТРАНСПОРТИРОВКА И ХРАНЕНИЕ</t>
  </si>
  <si>
    <t>Медиана</t>
  </si>
  <si>
    <t>IT</t>
  </si>
  <si>
    <t>Добыча</t>
  </si>
  <si>
    <t>Промышленность</t>
  </si>
  <si>
    <t>Недвижимость</t>
  </si>
  <si>
    <t>Наука</t>
  </si>
  <si>
    <t>Сельхоз</t>
  </si>
  <si>
    <t>Строительство</t>
  </si>
  <si>
    <t>Логистика</t>
  </si>
  <si>
    <t>Медианы секторов (РФ)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</si>
</sst>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9" fontId="0" fillId="0" borderId="0" xfId="1" applyFont="1" applyAlignment="1">
      <alignment horizontal="center"/>
    </xf>
    <xf numFmtId="10" fontId="0" fillId="0" borderId="0" xfId="1" applyNumberFormat="1" applyFont="1" applyAlignment="1">
      <alignment horizontal="center"/>
    </xf>
    <xf numFmtId="0" fontId="3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4" fillId="0" borderId="1" xfId="0" applyFont="1" applyBorder="1" applyAlignment="1">
      <alignment horizontal="center" vertical="top"/>
    </xf>
  </cellXfs>
  <cellStyles count="2">
    <cellStyle name="Обычный" xfId="0" builtinId="0"/>
    <cellStyle name="Процентный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4"/>
  <sheetViews>
    <sheetView tabSelected="1" topLeftCell="A70" zoomScale="85" zoomScaleNormal="85" workbookViewId="0">
      <selection activeCell="B96" sqref="B96:F104"/>
    </sheetView>
  </sheetViews>
  <sheetFormatPr defaultRowHeight="15" x14ac:dyDescent="0.25"/>
  <cols>
    <col min="1" max="1" width="68.5703125" customWidth="1"/>
    <col min="3" max="3" width="13.28515625" customWidth="1"/>
    <col min="4" max="4" width="14" customWidth="1"/>
    <col min="5" max="5" width="13.28515625" customWidth="1"/>
    <col min="6" max="6" width="12.28515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>
        <v>2021</v>
      </c>
      <c r="C2" s="2">
        <v>6057002.1778456084</v>
      </c>
      <c r="D2" s="2">
        <v>45675</v>
      </c>
      <c r="E2" s="2">
        <v>0.22432402846195951</v>
      </c>
      <c r="F2" s="2">
        <v>193089.15030000001</v>
      </c>
    </row>
    <row r="3" spans="1:6" x14ac:dyDescent="0.25">
      <c r="A3" s="2" t="s">
        <v>6</v>
      </c>
      <c r="B3" s="2">
        <v>2022</v>
      </c>
      <c r="C3" s="2">
        <v>6067923.0126370536</v>
      </c>
      <c r="D3" s="2">
        <v>45791</v>
      </c>
      <c r="E3" s="2"/>
      <c r="F3" s="2">
        <v>149918.34973392001</v>
      </c>
    </row>
    <row r="4" spans="1:6" x14ac:dyDescent="0.25">
      <c r="A4" s="2" t="s">
        <v>6</v>
      </c>
      <c r="B4" s="2">
        <v>2023</v>
      </c>
      <c r="C4" s="2">
        <v>6366554.5695698839</v>
      </c>
      <c r="D4" s="2">
        <v>45481</v>
      </c>
      <c r="E4" s="2">
        <v>0.10813306655526481</v>
      </c>
      <c r="F4" s="2">
        <v>214449.70132468001</v>
      </c>
    </row>
    <row r="5" spans="1:6" x14ac:dyDescent="0.25">
      <c r="A5" s="2" t="s">
        <v>6</v>
      </c>
      <c r="B5" s="2">
        <v>2024</v>
      </c>
      <c r="C5" s="2">
        <v>6353273.5646807831</v>
      </c>
      <c r="D5" s="2">
        <v>45510</v>
      </c>
      <c r="E5" s="2">
        <v>5.9635245001098659E-2</v>
      </c>
      <c r="F5" s="2">
        <v>195912.65671668001</v>
      </c>
    </row>
    <row r="6" spans="1:6" x14ac:dyDescent="0.25">
      <c r="A6" s="2" t="s">
        <v>6</v>
      </c>
      <c r="B6" s="2">
        <v>2025</v>
      </c>
      <c r="C6" s="2">
        <v>11902736.440400001</v>
      </c>
      <c r="D6" s="2">
        <v>44033</v>
      </c>
      <c r="E6" s="2">
        <v>4.5216087934049458E-2</v>
      </c>
      <c r="F6" s="2">
        <v>216290.12695999999</v>
      </c>
    </row>
    <row r="7" spans="1:6" x14ac:dyDescent="0.25">
      <c r="A7" s="2" t="s">
        <v>7</v>
      </c>
      <c r="B7" s="2">
        <v>2021</v>
      </c>
      <c r="C7" s="2">
        <v>2739547.6403689012</v>
      </c>
      <c r="D7" s="2">
        <v>7509</v>
      </c>
      <c r="E7" s="2">
        <v>0.27447063523771481</v>
      </c>
      <c r="F7" s="2">
        <v>33750.778400000003</v>
      </c>
    </row>
    <row r="8" spans="1:6" x14ac:dyDescent="0.25">
      <c r="A8" s="2" t="s">
        <v>7</v>
      </c>
      <c r="B8" s="2">
        <v>2022</v>
      </c>
      <c r="C8" s="2">
        <v>2904330.9680170752</v>
      </c>
      <c r="D8" s="2">
        <v>7620</v>
      </c>
      <c r="E8" s="2"/>
      <c r="F8" s="2">
        <v>44915.947760880001</v>
      </c>
    </row>
    <row r="9" spans="1:6" x14ac:dyDescent="0.25">
      <c r="A9" s="2" t="s">
        <v>7</v>
      </c>
      <c r="B9" s="2">
        <v>2023</v>
      </c>
      <c r="C9" s="2">
        <v>2846200.1257310328</v>
      </c>
      <c r="D9" s="2">
        <v>7464</v>
      </c>
      <c r="E9" s="2">
        <v>0.14415862808145771</v>
      </c>
      <c r="F9" s="2">
        <v>48849.793160000001</v>
      </c>
    </row>
    <row r="10" spans="1:6" x14ac:dyDescent="0.25">
      <c r="A10" s="2" t="s">
        <v>7</v>
      </c>
      <c r="B10" s="2">
        <v>2024</v>
      </c>
      <c r="C10" s="2">
        <v>2887376.6254352988</v>
      </c>
      <c r="D10" s="2">
        <v>7860</v>
      </c>
      <c r="E10" s="2">
        <v>8.3587786259541982E-2</v>
      </c>
      <c r="F10" s="2">
        <v>49808.807375379998</v>
      </c>
    </row>
    <row r="11" spans="1:6" x14ac:dyDescent="0.25">
      <c r="A11" s="2" t="s">
        <v>7</v>
      </c>
      <c r="B11" s="2">
        <v>2025</v>
      </c>
      <c r="C11" s="2">
        <v>2928507.4350000001</v>
      </c>
      <c r="D11" s="2">
        <v>7839</v>
      </c>
      <c r="E11" s="2">
        <v>6.6717693583365226E-2</v>
      </c>
      <c r="F11" s="2">
        <v>45228.092252000002</v>
      </c>
    </row>
    <row r="12" spans="1:6" x14ac:dyDescent="0.25">
      <c r="A12" s="2" t="s">
        <v>8</v>
      </c>
      <c r="B12" s="2">
        <v>2021</v>
      </c>
      <c r="C12" s="2">
        <v>3953697.4736571088</v>
      </c>
      <c r="D12" s="2">
        <v>16835</v>
      </c>
      <c r="E12" s="2">
        <v>0.34778734778734782</v>
      </c>
      <c r="F12" s="2">
        <v>94694.618199999997</v>
      </c>
    </row>
    <row r="13" spans="1:6" x14ac:dyDescent="0.25">
      <c r="A13" s="2" t="s">
        <v>8</v>
      </c>
      <c r="B13" s="2">
        <v>2022</v>
      </c>
      <c r="C13" s="2">
        <v>3668599.270858448</v>
      </c>
      <c r="D13" s="2">
        <v>16748</v>
      </c>
      <c r="E13" s="2"/>
      <c r="F13" s="2">
        <v>61889.211618000008</v>
      </c>
    </row>
    <row r="14" spans="1:6" x14ac:dyDescent="0.25">
      <c r="A14" s="2" t="s">
        <v>8</v>
      </c>
      <c r="B14" s="2">
        <v>2023</v>
      </c>
      <c r="C14" s="2">
        <v>3708795.7880307068</v>
      </c>
      <c r="D14" s="2">
        <v>17083</v>
      </c>
      <c r="E14" s="2">
        <v>0.18322308727975181</v>
      </c>
      <c r="F14" s="2">
        <v>46457.467811180002</v>
      </c>
    </row>
    <row r="15" spans="1:6" x14ac:dyDescent="0.25">
      <c r="A15" s="2" t="s">
        <v>8</v>
      </c>
      <c r="B15" s="2">
        <v>2024</v>
      </c>
      <c r="C15" s="2">
        <v>3831322.7163704438</v>
      </c>
      <c r="D15" s="2">
        <v>17671</v>
      </c>
      <c r="E15" s="2">
        <v>9.4731480957500988E-2</v>
      </c>
      <c r="F15" s="2">
        <v>39579.833844599998</v>
      </c>
    </row>
    <row r="16" spans="1:6" x14ac:dyDescent="0.25">
      <c r="A16" s="2" t="s">
        <v>8</v>
      </c>
      <c r="B16" s="2">
        <v>2025</v>
      </c>
      <c r="C16" s="2">
        <v>4370763.9622999998</v>
      </c>
      <c r="D16" s="2">
        <v>17672</v>
      </c>
      <c r="E16" s="2">
        <v>7.6901312811226794E-2</v>
      </c>
      <c r="F16" s="2">
        <v>44397.903625999999</v>
      </c>
    </row>
    <row r="17" spans="1:6" x14ac:dyDescent="0.25">
      <c r="A17" s="2" t="s">
        <v>9</v>
      </c>
      <c r="B17" s="2">
        <v>2021</v>
      </c>
      <c r="C17" s="2">
        <v>4009918.6929422501</v>
      </c>
      <c r="D17" s="2">
        <v>11047</v>
      </c>
      <c r="E17" s="2">
        <v>0.38327147641893727</v>
      </c>
      <c r="F17" s="2">
        <v>966608.66740000003</v>
      </c>
    </row>
    <row r="18" spans="1:6" x14ac:dyDescent="0.25">
      <c r="A18" s="2" t="s">
        <v>9</v>
      </c>
      <c r="B18" s="2">
        <v>2022</v>
      </c>
      <c r="C18" s="2">
        <v>4120372.134195759</v>
      </c>
      <c r="D18" s="2">
        <v>11024</v>
      </c>
      <c r="E18" s="2"/>
      <c r="F18" s="2">
        <v>878291.83682664006</v>
      </c>
    </row>
    <row r="19" spans="1:6" x14ac:dyDescent="0.25">
      <c r="A19" s="2" t="s">
        <v>9</v>
      </c>
      <c r="B19" s="2">
        <v>2023</v>
      </c>
      <c r="C19" s="2">
        <v>4834311.6150318878</v>
      </c>
      <c r="D19" s="2">
        <v>12230</v>
      </c>
      <c r="E19" s="2">
        <v>0.24627964022894519</v>
      </c>
      <c r="F19" s="2">
        <v>1059326.0773177</v>
      </c>
    </row>
    <row r="20" spans="1:6" x14ac:dyDescent="0.25">
      <c r="A20" s="2" t="s">
        <v>9</v>
      </c>
      <c r="B20" s="2">
        <v>2024</v>
      </c>
      <c r="C20" s="2">
        <v>5266831.8789681848</v>
      </c>
      <c r="D20" s="2">
        <v>13238</v>
      </c>
      <c r="E20" s="2">
        <v>0.14088230850581659</v>
      </c>
      <c r="F20" s="2">
        <v>1339724.7052555</v>
      </c>
    </row>
    <row r="21" spans="1:6" x14ac:dyDescent="0.25">
      <c r="A21" s="2" t="s">
        <v>9</v>
      </c>
      <c r="B21" s="2">
        <v>2025</v>
      </c>
      <c r="C21" s="2">
        <v>4933922.3108999999</v>
      </c>
      <c r="D21" s="2">
        <v>12729</v>
      </c>
      <c r="E21" s="2">
        <v>0.12758268520700761</v>
      </c>
      <c r="F21" s="2">
        <v>1383144.23172</v>
      </c>
    </row>
    <row r="22" spans="1:6" x14ac:dyDescent="0.25">
      <c r="A22" s="2" t="s">
        <v>10</v>
      </c>
      <c r="B22" s="2">
        <v>2021</v>
      </c>
      <c r="C22" s="2">
        <v>1166775.2749889509</v>
      </c>
      <c r="D22" s="2">
        <v>22603</v>
      </c>
      <c r="E22" s="2">
        <v>0.24080874220236251</v>
      </c>
      <c r="F22" s="2">
        <v>60602.661899999999</v>
      </c>
    </row>
    <row r="23" spans="1:6" x14ac:dyDescent="0.25">
      <c r="A23" s="2" t="s">
        <v>10</v>
      </c>
      <c r="B23" s="2">
        <v>2022</v>
      </c>
      <c r="C23" s="2">
        <v>1374806.4776524529</v>
      </c>
      <c r="D23" s="2">
        <v>22418</v>
      </c>
      <c r="E23" s="2"/>
      <c r="F23" s="2">
        <v>41219.414952720013</v>
      </c>
    </row>
    <row r="24" spans="1:6" x14ac:dyDescent="0.25">
      <c r="A24" s="2" t="s">
        <v>10</v>
      </c>
      <c r="B24" s="2">
        <v>2023</v>
      </c>
      <c r="C24" s="2">
        <v>1454629.878215631</v>
      </c>
      <c r="D24" s="2">
        <v>22286</v>
      </c>
      <c r="E24" s="2">
        <v>0.1112806246073768</v>
      </c>
      <c r="F24" s="2">
        <v>21625.899804500001</v>
      </c>
    </row>
    <row r="25" spans="1:6" x14ac:dyDescent="0.25">
      <c r="A25" s="2" t="s">
        <v>10</v>
      </c>
      <c r="B25" s="2">
        <v>2024</v>
      </c>
      <c r="C25" s="2">
        <v>1507835.290153709</v>
      </c>
      <c r="D25" s="2">
        <v>23152</v>
      </c>
      <c r="E25" s="2">
        <v>6.3407049067035245E-2</v>
      </c>
      <c r="F25" s="2">
        <v>32114.180714639999</v>
      </c>
    </row>
    <row r="26" spans="1:6" x14ac:dyDescent="0.25">
      <c r="A26" s="2" t="s">
        <v>10</v>
      </c>
      <c r="B26" s="2">
        <v>2025</v>
      </c>
      <c r="C26" s="2">
        <v>1533499.3491</v>
      </c>
      <c r="D26" s="2">
        <v>23026</v>
      </c>
      <c r="E26" s="2">
        <v>4.7685225397376879E-2</v>
      </c>
      <c r="F26" s="2">
        <v>30079.3116644</v>
      </c>
    </row>
    <row r="27" spans="1:6" x14ac:dyDescent="0.25">
      <c r="A27" s="2" t="s">
        <v>11</v>
      </c>
      <c r="B27" s="2">
        <v>2021</v>
      </c>
      <c r="C27" s="2">
        <v>1077135.698051672</v>
      </c>
      <c r="D27" s="2">
        <v>3194</v>
      </c>
      <c r="E27" s="2">
        <v>0.4107701941139637</v>
      </c>
      <c r="F27" s="2">
        <v>16516.870900000002</v>
      </c>
    </row>
    <row r="28" spans="1:6" x14ac:dyDescent="0.25">
      <c r="A28" s="2" t="s">
        <v>11</v>
      </c>
      <c r="B28" s="2">
        <v>2022</v>
      </c>
      <c r="C28" s="2">
        <v>1106300.7173849151</v>
      </c>
      <c r="D28" s="2">
        <v>2904</v>
      </c>
      <c r="E28" s="2"/>
      <c r="F28" s="2">
        <v>11619.910048080001</v>
      </c>
    </row>
    <row r="29" spans="1:6" x14ac:dyDescent="0.25">
      <c r="A29" s="2" t="s">
        <v>11</v>
      </c>
      <c r="B29" s="2">
        <v>2023</v>
      </c>
      <c r="C29" s="2">
        <v>1217244.814640848</v>
      </c>
      <c r="D29" s="2">
        <v>2689</v>
      </c>
      <c r="E29" s="2">
        <v>0.25734473782075118</v>
      </c>
      <c r="F29" s="2">
        <v>5230.2688859800001</v>
      </c>
    </row>
    <row r="30" spans="1:6" x14ac:dyDescent="0.25">
      <c r="A30" s="2" t="s">
        <v>11</v>
      </c>
      <c r="B30" s="2">
        <v>2024</v>
      </c>
      <c r="C30" s="2">
        <v>1400854.9422157321</v>
      </c>
      <c r="D30" s="2">
        <v>2799</v>
      </c>
      <c r="E30" s="2">
        <v>8.7888531618435156E-2</v>
      </c>
      <c r="F30" s="2">
        <v>6184.5923236799999</v>
      </c>
    </row>
    <row r="31" spans="1:6" x14ac:dyDescent="0.25">
      <c r="A31" s="2" t="s">
        <v>11</v>
      </c>
      <c r="B31" s="2">
        <v>2025</v>
      </c>
      <c r="C31" s="2">
        <v>1473157.3265</v>
      </c>
      <c r="D31" s="2">
        <v>2803</v>
      </c>
      <c r="E31" s="2">
        <v>8.0984659293613981E-2</v>
      </c>
      <c r="F31" s="2">
        <v>6004.1495483999997</v>
      </c>
    </row>
    <row r="32" spans="1:6" x14ac:dyDescent="0.25">
      <c r="A32" s="2" t="s">
        <v>12</v>
      </c>
      <c r="B32" s="2">
        <v>2021</v>
      </c>
      <c r="C32" s="2">
        <v>12566335.66800599</v>
      </c>
      <c r="D32" s="2">
        <v>9022</v>
      </c>
      <c r="E32" s="2">
        <v>0.26911992906229221</v>
      </c>
      <c r="F32" s="2">
        <v>100643.11289999999</v>
      </c>
    </row>
    <row r="33" spans="1:6" x14ac:dyDescent="0.25">
      <c r="A33" s="2" t="s">
        <v>12</v>
      </c>
      <c r="B33" s="2">
        <v>2022</v>
      </c>
      <c r="C33" s="2">
        <v>13273552.52642516</v>
      </c>
      <c r="D33" s="2">
        <v>8531</v>
      </c>
      <c r="E33" s="2"/>
      <c r="F33" s="2">
        <v>52941.235146239997</v>
      </c>
    </row>
    <row r="34" spans="1:6" x14ac:dyDescent="0.25">
      <c r="A34" s="2" t="s">
        <v>12</v>
      </c>
      <c r="B34" s="2">
        <v>2023</v>
      </c>
      <c r="C34" s="2">
        <v>13598823.7176996</v>
      </c>
      <c r="D34" s="2">
        <v>8468</v>
      </c>
      <c r="E34" s="2">
        <v>0.14312706660368449</v>
      </c>
      <c r="F34" s="2">
        <v>30207.701468740001</v>
      </c>
    </row>
    <row r="35" spans="1:6" x14ac:dyDescent="0.25">
      <c r="A35" s="2" t="s">
        <v>12</v>
      </c>
      <c r="B35" s="2">
        <v>2024</v>
      </c>
      <c r="C35" s="2">
        <v>14205030.78029329</v>
      </c>
      <c r="D35" s="2">
        <v>8800</v>
      </c>
      <c r="E35" s="2">
        <v>7.1363636363636365E-2</v>
      </c>
      <c r="F35" s="2">
        <v>24189.224695320001</v>
      </c>
    </row>
    <row r="36" spans="1:6" x14ac:dyDescent="0.25">
      <c r="A36" s="2" t="s">
        <v>12</v>
      </c>
      <c r="B36" s="2">
        <v>2025</v>
      </c>
      <c r="C36" s="2">
        <v>13519976.575200001</v>
      </c>
      <c r="D36" s="2">
        <v>8949</v>
      </c>
      <c r="E36" s="2">
        <v>5.8442284054084262E-2</v>
      </c>
      <c r="F36" s="2">
        <v>17448.590984800001</v>
      </c>
    </row>
    <row r="37" spans="1:6" x14ac:dyDescent="0.25">
      <c r="A37" s="2" t="s">
        <v>13</v>
      </c>
      <c r="B37" s="2">
        <v>2021</v>
      </c>
      <c r="C37" s="2">
        <v>5411543.2250832682</v>
      </c>
      <c r="D37" s="2">
        <v>20559</v>
      </c>
      <c r="E37" s="2">
        <v>0.27335959920229591</v>
      </c>
      <c r="F37" s="2">
        <v>357336.75170000002</v>
      </c>
    </row>
    <row r="38" spans="1:6" x14ac:dyDescent="0.25">
      <c r="A38" s="2" t="s">
        <v>13</v>
      </c>
      <c r="B38" s="2">
        <v>2022</v>
      </c>
      <c r="C38" s="2">
        <v>5694969.0174945984</v>
      </c>
      <c r="D38" s="2">
        <v>20839</v>
      </c>
      <c r="E38" s="2"/>
      <c r="F38" s="2">
        <v>337349.62020479998</v>
      </c>
    </row>
    <row r="39" spans="1:6" x14ac:dyDescent="0.25">
      <c r="A39" s="2" t="s">
        <v>13</v>
      </c>
      <c r="B39" s="2">
        <v>2023</v>
      </c>
      <c r="C39" s="2">
        <v>6207116.4326951522</v>
      </c>
      <c r="D39" s="2">
        <v>21857</v>
      </c>
      <c r="E39" s="2">
        <v>0.14443885254151989</v>
      </c>
      <c r="F39" s="2">
        <v>173995.53816028</v>
      </c>
    </row>
    <row r="40" spans="1:6" x14ac:dyDescent="0.25">
      <c r="A40" s="2" t="s">
        <v>13</v>
      </c>
      <c r="B40" s="2">
        <v>2024</v>
      </c>
      <c r="C40" s="2">
        <v>6570716.9190249778</v>
      </c>
      <c r="D40" s="2">
        <v>23266</v>
      </c>
      <c r="E40" s="2">
        <v>8.1793174589529782E-2</v>
      </c>
      <c r="F40" s="2">
        <v>221652.83158520001</v>
      </c>
    </row>
    <row r="41" spans="1:6" x14ac:dyDescent="0.25">
      <c r="A41" s="2" t="s">
        <v>13</v>
      </c>
      <c r="B41" s="2">
        <v>2025</v>
      </c>
      <c r="C41" s="2">
        <v>6399055.5751999998</v>
      </c>
      <c r="D41" s="2">
        <v>23782</v>
      </c>
      <c r="E41" s="2">
        <v>6.5764023210831718E-2</v>
      </c>
      <c r="F41" s="2">
        <v>229215.40143999999</v>
      </c>
    </row>
    <row r="42" spans="1:6" x14ac:dyDescent="0.25">
      <c r="A42" s="2" t="s">
        <v>14</v>
      </c>
      <c r="B42" s="2">
        <v>2021</v>
      </c>
      <c r="C42" s="2">
        <v>5502258.1837458732</v>
      </c>
      <c r="D42" s="2">
        <v>12520</v>
      </c>
      <c r="E42" s="2">
        <v>0.5450479233226837</v>
      </c>
      <c r="F42" s="2">
        <v>559395.01020000002</v>
      </c>
    </row>
    <row r="43" spans="1:6" x14ac:dyDescent="0.25">
      <c r="A43" s="2" t="s">
        <v>14</v>
      </c>
      <c r="B43" s="2">
        <v>2022</v>
      </c>
      <c r="C43" s="2">
        <v>4490696.3360651014</v>
      </c>
      <c r="D43" s="2">
        <v>12224</v>
      </c>
      <c r="E43" s="2"/>
      <c r="F43" s="2">
        <v>692405.17889760004</v>
      </c>
    </row>
    <row r="44" spans="1:6" x14ac:dyDescent="0.25">
      <c r="A44" s="2" t="s">
        <v>14</v>
      </c>
      <c r="B44" s="2">
        <v>2023</v>
      </c>
      <c r="C44" s="2">
        <v>5770864.9371206975</v>
      </c>
      <c r="D44" s="2">
        <v>12315</v>
      </c>
      <c r="E44" s="2">
        <v>0.28396264717823788</v>
      </c>
      <c r="F44" s="2">
        <v>722935.22657823993</v>
      </c>
    </row>
    <row r="45" spans="1:6" x14ac:dyDescent="0.25">
      <c r="A45" s="2" t="s">
        <v>14</v>
      </c>
      <c r="B45" s="2">
        <v>2024</v>
      </c>
      <c r="C45" s="2">
        <v>5177064.4379169149</v>
      </c>
      <c r="D45" s="2">
        <v>12988</v>
      </c>
      <c r="E45" s="2">
        <v>9.0006159531875574E-2</v>
      </c>
      <c r="F45" s="2">
        <v>870139.02666207997</v>
      </c>
    </row>
    <row r="46" spans="1:6" x14ac:dyDescent="0.25">
      <c r="A46" s="2" t="s">
        <v>14</v>
      </c>
      <c r="B46" s="2">
        <v>2025</v>
      </c>
      <c r="C46" s="2">
        <v>6347244.8943999996</v>
      </c>
      <c r="D46" s="2">
        <v>13143</v>
      </c>
      <c r="E46" s="2">
        <v>5.1434223541048457E-2</v>
      </c>
      <c r="F46" s="2">
        <v>964130.03685999988</v>
      </c>
    </row>
    <row r="47" spans="1:6" x14ac:dyDescent="0.25">
      <c r="A47" s="2" t="s">
        <v>15</v>
      </c>
      <c r="B47" s="2">
        <v>2021</v>
      </c>
      <c r="C47" s="2">
        <v>17528034.29081301</v>
      </c>
      <c r="D47" s="2">
        <v>2363</v>
      </c>
      <c r="E47" s="2">
        <v>0.33982225983918751</v>
      </c>
      <c r="F47" s="2">
        <v>80145.438900000008</v>
      </c>
    </row>
    <row r="48" spans="1:6" x14ac:dyDescent="0.25">
      <c r="A48" s="2" t="s">
        <v>15</v>
      </c>
      <c r="B48" s="2">
        <v>2022</v>
      </c>
      <c r="C48" s="2">
        <v>18069963.077435471</v>
      </c>
      <c r="D48" s="2">
        <v>2394</v>
      </c>
      <c r="E48" s="2"/>
      <c r="F48" s="2">
        <v>71614.639157519996</v>
      </c>
    </row>
    <row r="49" spans="1:6" x14ac:dyDescent="0.25">
      <c r="A49" s="2" t="s">
        <v>15</v>
      </c>
      <c r="B49" s="2">
        <v>2023</v>
      </c>
      <c r="C49" s="2">
        <v>17697221.110992979</v>
      </c>
      <c r="D49" s="2">
        <v>2434</v>
      </c>
      <c r="E49" s="2">
        <v>0.1750205423171734</v>
      </c>
      <c r="F49" s="2">
        <v>72544.199628739996</v>
      </c>
    </row>
    <row r="50" spans="1:6" x14ac:dyDescent="0.25">
      <c r="A50" s="2" t="s">
        <v>15</v>
      </c>
      <c r="B50" s="2">
        <v>2024</v>
      </c>
      <c r="C50" s="2">
        <v>18120023.49416934</v>
      </c>
      <c r="D50" s="2">
        <v>2649</v>
      </c>
      <c r="E50" s="2">
        <v>9.0600226500566247E-2</v>
      </c>
      <c r="F50" s="2">
        <v>76506.284981320001</v>
      </c>
    </row>
    <row r="51" spans="1:6" x14ac:dyDescent="0.25">
      <c r="A51" s="2" t="s">
        <v>15</v>
      </c>
      <c r="B51" s="2">
        <v>2025</v>
      </c>
      <c r="C51" s="2">
        <v>12221612.1348</v>
      </c>
      <c r="D51" s="2">
        <v>2609</v>
      </c>
      <c r="E51" s="2">
        <v>7.2441548486009963E-2</v>
      </c>
      <c r="F51" s="2">
        <v>70484.403139999995</v>
      </c>
    </row>
    <row r="52" spans="1:6" x14ac:dyDescent="0.25">
      <c r="A52" s="2" t="s">
        <v>16</v>
      </c>
      <c r="B52" s="2">
        <v>2021</v>
      </c>
      <c r="C52" s="2">
        <v>3014455.7920115092</v>
      </c>
      <c r="D52" s="2">
        <v>5002</v>
      </c>
      <c r="E52" s="2">
        <v>0.28948420631747301</v>
      </c>
      <c r="F52" s="2">
        <v>82396.795299999998</v>
      </c>
    </row>
    <row r="53" spans="1:6" x14ac:dyDescent="0.25">
      <c r="A53" s="2" t="s">
        <v>16</v>
      </c>
      <c r="B53" s="2">
        <v>2022</v>
      </c>
      <c r="C53" s="2">
        <v>2815310.1157256751</v>
      </c>
      <c r="D53" s="2">
        <v>4931</v>
      </c>
      <c r="E53" s="2"/>
      <c r="F53" s="2">
        <v>74744.806819920006</v>
      </c>
    </row>
    <row r="54" spans="1:6" x14ac:dyDescent="0.25">
      <c r="A54" s="2" t="s">
        <v>16</v>
      </c>
      <c r="B54" s="2">
        <v>2023</v>
      </c>
      <c r="C54" s="2">
        <v>2911847.3104133531</v>
      </c>
      <c r="D54" s="2">
        <v>4499</v>
      </c>
      <c r="E54" s="2">
        <v>0.1771504778839742</v>
      </c>
      <c r="F54" s="2">
        <v>91787.038530699996</v>
      </c>
    </row>
    <row r="55" spans="1:6" x14ac:dyDescent="0.25">
      <c r="A55" s="2" t="s">
        <v>16</v>
      </c>
      <c r="B55" s="2">
        <v>2024</v>
      </c>
      <c r="C55" s="2">
        <v>2803876.0012397859</v>
      </c>
      <c r="D55" s="2">
        <v>4376</v>
      </c>
      <c r="E55" s="2">
        <v>9.0950639853747711E-2</v>
      </c>
      <c r="F55" s="2">
        <v>89730.973658279996</v>
      </c>
    </row>
    <row r="56" spans="1:6" x14ac:dyDescent="0.25">
      <c r="A56" s="2" t="s">
        <v>16</v>
      </c>
      <c r="B56" s="2">
        <v>2025</v>
      </c>
      <c r="C56" s="2">
        <v>2979028.9440000001</v>
      </c>
      <c r="D56" s="2">
        <v>4372</v>
      </c>
      <c r="E56" s="2">
        <v>8.0054894784995431E-2</v>
      </c>
      <c r="F56" s="2">
        <v>86031.72329200001</v>
      </c>
    </row>
    <row r="57" spans="1:6" x14ac:dyDescent="0.25">
      <c r="A57" s="2" t="s">
        <v>17</v>
      </c>
      <c r="B57" s="2">
        <v>2021</v>
      </c>
      <c r="C57" s="2">
        <v>20951321.436337199</v>
      </c>
      <c r="D57" s="2">
        <v>16109</v>
      </c>
      <c r="E57" s="2">
        <v>0.35061145943261529</v>
      </c>
      <c r="F57" s="2">
        <v>306330.13069999998</v>
      </c>
    </row>
    <row r="58" spans="1:6" x14ac:dyDescent="0.25">
      <c r="A58" s="2" t="s">
        <v>17</v>
      </c>
      <c r="B58" s="2">
        <v>2022</v>
      </c>
      <c r="C58" s="2">
        <v>19399055.55720453</v>
      </c>
      <c r="D58" s="2">
        <v>16494</v>
      </c>
      <c r="E58" s="2"/>
      <c r="F58" s="2">
        <v>350951.45171519998</v>
      </c>
    </row>
    <row r="59" spans="1:6" x14ac:dyDescent="0.25">
      <c r="A59" s="2" t="s">
        <v>17</v>
      </c>
      <c r="B59" s="2">
        <v>2023</v>
      </c>
      <c r="C59" s="2">
        <v>20219444.178967621</v>
      </c>
      <c r="D59" s="2">
        <v>17079</v>
      </c>
      <c r="E59" s="2">
        <v>0.19866502722641841</v>
      </c>
      <c r="F59" s="2">
        <v>297354.91969144001</v>
      </c>
    </row>
    <row r="60" spans="1:6" x14ac:dyDescent="0.25">
      <c r="A60" s="2" t="s">
        <v>17</v>
      </c>
      <c r="B60" s="2">
        <v>2024</v>
      </c>
      <c r="C60" s="2">
        <v>20367258.487155911</v>
      </c>
      <c r="D60" s="2">
        <v>18309</v>
      </c>
      <c r="E60" s="2">
        <v>0.1113113769184554</v>
      </c>
      <c r="F60" s="2">
        <v>326668.87300954008</v>
      </c>
    </row>
    <row r="61" spans="1:6" x14ac:dyDescent="0.25">
      <c r="A61" s="2" t="s">
        <v>17</v>
      </c>
      <c r="B61" s="2">
        <v>2025</v>
      </c>
      <c r="C61" s="2">
        <v>19176401.032000002</v>
      </c>
      <c r="D61" s="2">
        <v>18251</v>
      </c>
      <c r="E61" s="2">
        <v>9.1666210070681056E-2</v>
      </c>
      <c r="F61" s="2">
        <v>339957.84133600001</v>
      </c>
    </row>
    <row r="62" spans="1:6" x14ac:dyDescent="0.25">
      <c r="A62" s="2" t="s">
        <v>18</v>
      </c>
      <c r="B62" s="2">
        <v>2021</v>
      </c>
      <c r="C62" s="2">
        <v>5479903.2929036608</v>
      </c>
      <c r="D62" s="2">
        <v>5917</v>
      </c>
      <c r="E62" s="2">
        <v>0.30623626837924622</v>
      </c>
      <c r="F62" s="2">
        <v>9990.1322</v>
      </c>
    </row>
    <row r="63" spans="1:6" x14ac:dyDescent="0.25">
      <c r="A63" s="2" t="s">
        <v>18</v>
      </c>
      <c r="B63" s="2">
        <v>2022</v>
      </c>
      <c r="C63" s="2">
        <v>5113150.7729640929</v>
      </c>
      <c r="D63" s="2">
        <v>5696</v>
      </c>
      <c r="E63" s="2"/>
      <c r="F63" s="2">
        <v>8606.1171168000001</v>
      </c>
    </row>
    <row r="64" spans="1:6" x14ac:dyDescent="0.25">
      <c r="A64" s="2" t="s">
        <v>18</v>
      </c>
      <c r="B64" s="2">
        <v>2023</v>
      </c>
      <c r="C64" s="2">
        <v>4764289.4144390142</v>
      </c>
      <c r="D64" s="2">
        <v>5738</v>
      </c>
      <c r="E64" s="2">
        <v>0.155280585569885</v>
      </c>
      <c r="F64" s="2">
        <v>8108.7670612399997</v>
      </c>
    </row>
    <row r="65" spans="1:6" x14ac:dyDescent="0.25">
      <c r="A65" s="2" t="s">
        <v>18</v>
      </c>
      <c r="B65" s="2">
        <v>2024</v>
      </c>
      <c r="C65" s="2">
        <v>4698388.1286570067</v>
      </c>
      <c r="D65" s="2">
        <v>5758</v>
      </c>
      <c r="E65" s="2">
        <v>9.4998263285863152E-2</v>
      </c>
      <c r="F65" s="2">
        <v>9155.4406251399996</v>
      </c>
    </row>
    <row r="66" spans="1:6" x14ac:dyDescent="0.25">
      <c r="A66" s="2" t="s">
        <v>18</v>
      </c>
      <c r="B66" s="2">
        <v>2025</v>
      </c>
      <c r="C66" s="2">
        <v>4293345.4927000003</v>
      </c>
      <c r="D66" s="2">
        <v>5719</v>
      </c>
      <c r="E66" s="2">
        <v>8.13079209652037E-2</v>
      </c>
      <c r="F66" s="2">
        <v>8666.145127400001</v>
      </c>
    </row>
    <row r="67" spans="1:6" x14ac:dyDescent="0.25">
      <c r="A67" s="2" t="s">
        <v>19</v>
      </c>
      <c r="B67" s="2">
        <v>2021</v>
      </c>
      <c r="C67" s="2">
        <v>6280886.1893541459</v>
      </c>
      <c r="D67" s="2">
        <v>6135</v>
      </c>
      <c r="E67" s="2">
        <v>0.31703341483292591</v>
      </c>
      <c r="F67" s="2">
        <v>83671.685500000007</v>
      </c>
    </row>
    <row r="68" spans="1:6" x14ac:dyDescent="0.25">
      <c r="A68" s="2" t="s">
        <v>19</v>
      </c>
      <c r="B68" s="2">
        <v>2022</v>
      </c>
      <c r="C68" s="2">
        <v>6685885.0574822919</v>
      </c>
      <c r="D68" s="2">
        <v>6201</v>
      </c>
      <c r="E68" s="2"/>
      <c r="F68" s="2">
        <v>40956.27348648</v>
      </c>
    </row>
    <row r="69" spans="1:6" x14ac:dyDescent="0.25">
      <c r="A69" s="2" t="s">
        <v>19</v>
      </c>
      <c r="B69" s="2">
        <v>2023</v>
      </c>
      <c r="C69" s="2">
        <v>7356658.7593422197</v>
      </c>
      <c r="D69" s="2">
        <v>6830</v>
      </c>
      <c r="E69" s="2">
        <v>0.15256222547584189</v>
      </c>
      <c r="F69" s="2">
        <v>24652.040302239999</v>
      </c>
    </row>
    <row r="70" spans="1:6" x14ac:dyDescent="0.25">
      <c r="A70" s="2" t="s">
        <v>19</v>
      </c>
      <c r="B70" s="2">
        <v>2024</v>
      </c>
      <c r="C70" s="2">
        <v>7449304.6812405493</v>
      </c>
      <c r="D70" s="2">
        <v>7742</v>
      </c>
      <c r="E70" s="2">
        <v>8.834926375613536E-2</v>
      </c>
      <c r="F70" s="2">
        <v>19361.26868578</v>
      </c>
    </row>
    <row r="71" spans="1:6" x14ac:dyDescent="0.25">
      <c r="A71" s="2" t="s">
        <v>19</v>
      </c>
      <c r="B71" s="2">
        <v>2025</v>
      </c>
      <c r="C71" s="2">
        <v>6667290.4778000005</v>
      </c>
      <c r="D71" s="2">
        <v>7719</v>
      </c>
      <c r="E71" s="2">
        <v>7.0475450187848163E-2</v>
      </c>
      <c r="F71" s="2">
        <v>19035.0469816</v>
      </c>
    </row>
    <row r="72" spans="1:6" x14ac:dyDescent="0.25">
      <c r="A72" s="2" t="s">
        <v>20</v>
      </c>
      <c r="B72" s="2">
        <v>2021</v>
      </c>
      <c r="C72" s="2">
        <v>17738383.836481448</v>
      </c>
      <c r="D72" s="2">
        <v>45469</v>
      </c>
      <c r="E72" s="2">
        <v>0.37979722448261449</v>
      </c>
      <c r="F72" s="2">
        <v>299647.62819999998</v>
      </c>
    </row>
    <row r="73" spans="1:6" x14ac:dyDescent="0.25">
      <c r="A73" s="2" t="s">
        <v>20</v>
      </c>
      <c r="B73" s="2">
        <v>2022</v>
      </c>
      <c r="C73" s="2">
        <v>18250527.021903701</v>
      </c>
      <c r="D73" s="2">
        <v>45720</v>
      </c>
      <c r="E73" s="2"/>
      <c r="F73" s="2">
        <v>232667.1576456</v>
      </c>
    </row>
    <row r="74" spans="1:6" x14ac:dyDescent="0.25">
      <c r="A74" s="2" t="s">
        <v>20</v>
      </c>
      <c r="B74" s="2">
        <v>2023</v>
      </c>
      <c r="C74" s="2">
        <v>17805304.87673096</v>
      </c>
      <c r="D74" s="2">
        <v>46155</v>
      </c>
      <c r="E74" s="2">
        <v>0.31032390856895242</v>
      </c>
      <c r="F74" s="2">
        <v>159326.31460034</v>
      </c>
    </row>
    <row r="75" spans="1:6" x14ac:dyDescent="0.25">
      <c r="A75" s="2" t="s">
        <v>20</v>
      </c>
      <c r="B75" s="2">
        <v>2024</v>
      </c>
      <c r="C75" s="2">
        <v>17296671.682752609</v>
      </c>
      <c r="D75" s="2">
        <v>50883</v>
      </c>
      <c r="E75" s="2">
        <v>0.1778393569561543</v>
      </c>
      <c r="F75" s="2">
        <v>182415.45595442</v>
      </c>
    </row>
    <row r="76" spans="1:6" x14ac:dyDescent="0.25">
      <c r="A76" s="2" t="s">
        <v>20</v>
      </c>
      <c r="B76" s="2">
        <v>2025</v>
      </c>
      <c r="C76" s="2">
        <v>15092442.4036</v>
      </c>
      <c r="D76" s="2">
        <v>51765</v>
      </c>
      <c r="E76" s="2">
        <v>0.16594223896455129</v>
      </c>
      <c r="F76" s="2">
        <v>201258.65904</v>
      </c>
    </row>
    <row r="77" spans="1:6" x14ac:dyDescent="0.25">
      <c r="A77" s="2" t="s">
        <v>21</v>
      </c>
      <c r="B77" s="2">
        <v>2021</v>
      </c>
      <c r="C77" s="2">
        <v>8238264.1993407253</v>
      </c>
      <c r="D77" s="2">
        <v>12427</v>
      </c>
      <c r="E77" s="2">
        <v>0.28719723183390999</v>
      </c>
      <c r="F77" s="2">
        <v>192301.3941</v>
      </c>
    </row>
    <row r="78" spans="1:6" x14ac:dyDescent="0.25">
      <c r="A78" s="2" t="s">
        <v>21</v>
      </c>
      <c r="B78" s="2">
        <v>2022</v>
      </c>
      <c r="C78" s="2">
        <v>8527118.4125252087</v>
      </c>
      <c r="D78" s="2">
        <v>13006</v>
      </c>
      <c r="E78" s="2"/>
      <c r="F78" s="2">
        <v>182621.58596976</v>
      </c>
    </row>
    <row r="79" spans="1:6" x14ac:dyDescent="0.25">
      <c r="A79" s="2" t="s">
        <v>21</v>
      </c>
      <c r="B79" s="2">
        <v>2023</v>
      </c>
      <c r="C79" s="2">
        <v>9408865.1575551424</v>
      </c>
      <c r="D79" s="2">
        <v>10576</v>
      </c>
      <c r="E79" s="2">
        <v>0.22532148260211801</v>
      </c>
      <c r="F79" s="2">
        <v>234630.23281098</v>
      </c>
    </row>
    <row r="80" spans="1:6" x14ac:dyDescent="0.25">
      <c r="A80" s="2" t="s">
        <v>21</v>
      </c>
      <c r="B80" s="2">
        <v>2024</v>
      </c>
      <c r="C80" s="2">
        <v>9423488.5427880678</v>
      </c>
      <c r="D80" s="2">
        <v>10977</v>
      </c>
      <c r="E80" s="2">
        <v>0.12881479457046549</v>
      </c>
      <c r="F80" s="2">
        <v>196423.52024181999</v>
      </c>
    </row>
    <row r="81" spans="1:6" x14ac:dyDescent="0.25">
      <c r="A81" s="2" t="s">
        <v>21</v>
      </c>
      <c r="B81" s="2">
        <v>2025</v>
      </c>
      <c r="C81" s="2">
        <v>9152208.7740000002</v>
      </c>
      <c r="D81" s="2">
        <v>11192</v>
      </c>
      <c r="E81" s="2">
        <v>0.1124017155110793</v>
      </c>
      <c r="F81" s="2">
        <v>206066.73897999999</v>
      </c>
    </row>
    <row r="85" spans="1:6" x14ac:dyDescent="0.25">
      <c r="A85" s="5" t="s">
        <v>31</v>
      </c>
      <c r="C85" s="7" t="s">
        <v>2</v>
      </c>
      <c r="D85" s="7" t="s">
        <v>3</v>
      </c>
      <c r="E85" s="7" t="s">
        <v>4</v>
      </c>
      <c r="F85" s="7" t="s">
        <v>5</v>
      </c>
    </row>
    <row r="86" spans="1:6" x14ac:dyDescent="0.25">
      <c r="A86" s="2" t="s">
        <v>23</v>
      </c>
      <c r="B86" s="2"/>
      <c r="C86" s="2">
        <v>4834311.6150318878</v>
      </c>
      <c r="D86" s="2">
        <v>12230</v>
      </c>
      <c r="E86" s="4">
        <v>0.19358097436738089</v>
      </c>
      <c r="F86" s="2">
        <v>1059326.0773177</v>
      </c>
    </row>
    <row r="87" spans="1:6" x14ac:dyDescent="0.25">
      <c r="A87" s="2" t="s">
        <v>24</v>
      </c>
      <c r="B87" s="2"/>
      <c r="C87" s="2">
        <v>17697221.110992979</v>
      </c>
      <c r="D87" s="2">
        <v>2434</v>
      </c>
      <c r="E87" s="4">
        <v>0.13281038440886983</v>
      </c>
      <c r="F87" s="2">
        <v>72544.199628739996</v>
      </c>
    </row>
    <row r="88" spans="1:6" x14ac:dyDescent="0.25">
      <c r="A88" s="2" t="s">
        <v>25</v>
      </c>
      <c r="B88" s="2"/>
      <c r="C88" s="2">
        <v>20219444.178967621</v>
      </c>
      <c r="D88" s="2">
        <v>17079</v>
      </c>
      <c r="E88" s="4">
        <v>0.15498820207243691</v>
      </c>
      <c r="F88" s="2">
        <v>326668.87300954008</v>
      </c>
    </row>
    <row r="89" spans="1:6" x14ac:dyDescent="0.25">
      <c r="A89" s="2" t="s">
        <v>26</v>
      </c>
      <c r="B89" s="2"/>
      <c r="C89" s="2">
        <v>13519976.575200001</v>
      </c>
      <c r="D89" s="2">
        <v>8800</v>
      </c>
      <c r="E89" s="4">
        <v>0.10724535148366043</v>
      </c>
      <c r="F89" s="2">
        <v>30207.701468740001</v>
      </c>
    </row>
    <row r="90" spans="1:6" x14ac:dyDescent="0.25">
      <c r="A90" s="2" t="s">
        <v>27</v>
      </c>
      <c r="B90" s="2"/>
      <c r="C90" s="2">
        <v>6207116.4326951522</v>
      </c>
      <c r="D90" s="2">
        <v>21857</v>
      </c>
      <c r="E90" s="4">
        <v>0.11311601356552484</v>
      </c>
      <c r="F90" s="2">
        <v>229215.40143999999</v>
      </c>
    </row>
    <row r="91" spans="1:6" x14ac:dyDescent="0.25">
      <c r="A91" s="2" t="s">
        <v>28</v>
      </c>
      <c r="B91" s="2"/>
      <c r="C91" s="2">
        <v>4764289.4144390142</v>
      </c>
      <c r="D91" s="2">
        <v>5738</v>
      </c>
      <c r="E91" s="4">
        <v>0.12513942442787407</v>
      </c>
      <c r="F91" s="2">
        <v>8666.145127400001</v>
      </c>
    </row>
    <row r="92" spans="1:6" x14ac:dyDescent="0.25">
      <c r="A92" s="2" t="s">
        <v>29</v>
      </c>
      <c r="B92" s="2"/>
      <c r="C92" s="2">
        <v>6685885.0574822919</v>
      </c>
      <c r="D92" s="2">
        <v>6830</v>
      </c>
      <c r="E92" s="4">
        <v>0.12045574461598862</v>
      </c>
      <c r="F92" s="2">
        <v>24652.040302239999</v>
      </c>
    </row>
    <row r="93" spans="1:6" x14ac:dyDescent="0.25">
      <c r="A93" s="2" t="s">
        <v>30</v>
      </c>
      <c r="B93" s="2"/>
      <c r="C93" s="2">
        <v>9152208.7740000002</v>
      </c>
      <c r="D93" s="2">
        <v>11192</v>
      </c>
      <c r="E93" s="4">
        <v>0.17706813858629175</v>
      </c>
      <c r="F93" s="2">
        <v>196423.52024181999</v>
      </c>
    </row>
    <row r="94" spans="1:6" x14ac:dyDescent="0.25">
      <c r="A94" s="2"/>
      <c r="B94" s="2"/>
      <c r="C94" s="2"/>
      <c r="D94" s="2"/>
      <c r="E94" s="4"/>
      <c r="F94" s="2"/>
    </row>
    <row r="95" spans="1:6" x14ac:dyDescent="0.25">
      <c r="A95" s="2"/>
      <c r="C95" s="2">
        <f>MAX(C86:C93)</f>
        <v>20219444.178967621</v>
      </c>
      <c r="D95" s="2">
        <f t="shared" ref="D95:F95" si="0">MAX(D86:D93)</f>
        <v>21857</v>
      </c>
      <c r="E95" s="2">
        <f t="shared" si="0"/>
        <v>0.19358097436738089</v>
      </c>
      <c r="F95" s="2">
        <f t="shared" si="0"/>
        <v>1059326.0773177</v>
      </c>
    </row>
    <row r="96" spans="1:6" x14ac:dyDescent="0.25">
      <c r="C96" s="7" t="s">
        <v>2</v>
      </c>
      <c r="D96" s="7" t="s">
        <v>3</v>
      </c>
      <c r="E96" s="7" t="s">
        <v>4</v>
      </c>
      <c r="F96" s="7" t="s">
        <v>5</v>
      </c>
    </row>
    <row r="97" spans="2:6" x14ac:dyDescent="0.25">
      <c r="B97" s="2" t="s">
        <v>23</v>
      </c>
      <c r="C97" s="6">
        <f>C86/C$95</f>
        <v>0.23909221105397971</v>
      </c>
      <c r="D97" s="6">
        <f t="shared" ref="D97:F97" si="1">D86/D$95</f>
        <v>0.55954614082444987</v>
      </c>
      <c r="E97" s="6">
        <f t="shared" si="1"/>
        <v>1</v>
      </c>
      <c r="F97" s="6">
        <f t="shared" si="1"/>
        <v>1</v>
      </c>
    </row>
    <row r="98" spans="2:6" x14ac:dyDescent="0.25">
      <c r="B98" s="2" t="s">
        <v>24</v>
      </c>
      <c r="C98" s="6">
        <f t="shared" ref="C98:F104" si="2">C87/C$95</f>
        <v>0.87525754686183355</v>
      </c>
      <c r="D98" s="6">
        <f t="shared" si="2"/>
        <v>0.11136020496865992</v>
      </c>
      <c r="E98" s="6">
        <f t="shared" si="2"/>
        <v>0.68607147392914902</v>
      </c>
      <c r="F98" s="6">
        <f t="shared" si="2"/>
        <v>6.8481463056614095E-2</v>
      </c>
    </row>
    <row r="99" spans="2:6" x14ac:dyDescent="0.25">
      <c r="B99" s="2" t="s">
        <v>25</v>
      </c>
      <c r="C99" s="6">
        <f t="shared" si="2"/>
        <v>1</v>
      </c>
      <c r="D99" s="6">
        <f t="shared" si="2"/>
        <v>0.78139726403440546</v>
      </c>
      <c r="E99" s="6">
        <f t="shared" si="2"/>
        <v>0.80063757597530205</v>
      </c>
      <c r="F99" s="6">
        <f t="shared" si="2"/>
        <v>0.30837423906026395</v>
      </c>
    </row>
    <row r="100" spans="2:6" x14ac:dyDescent="0.25">
      <c r="B100" s="2" t="s">
        <v>26</v>
      </c>
      <c r="C100" s="6">
        <f t="shared" si="2"/>
        <v>0.66866212817380788</v>
      </c>
      <c r="D100" s="6">
        <f t="shared" si="2"/>
        <v>0.40261701056869653</v>
      </c>
      <c r="E100" s="6">
        <f t="shared" si="2"/>
        <v>0.55400770573728275</v>
      </c>
      <c r="F100" s="6">
        <f t="shared" si="2"/>
        <v>2.8515961341410913E-2</v>
      </c>
    </row>
    <row r="101" spans="2:6" x14ac:dyDescent="0.25">
      <c r="B101" s="2" t="s">
        <v>27</v>
      </c>
      <c r="C101" s="6">
        <f t="shared" si="2"/>
        <v>0.30698749074179937</v>
      </c>
      <c r="D101" s="6">
        <f t="shared" si="2"/>
        <v>1</v>
      </c>
      <c r="E101" s="6">
        <f t="shared" si="2"/>
        <v>0.58433435380303211</v>
      </c>
      <c r="F101" s="6">
        <f t="shared" si="2"/>
        <v>0.21637851304519196</v>
      </c>
    </row>
    <row r="102" spans="2:6" x14ac:dyDescent="0.25">
      <c r="B102" s="2" t="s">
        <v>28</v>
      </c>
      <c r="C102" s="6">
        <f t="shared" si="2"/>
        <v>0.23562909901325846</v>
      </c>
      <c r="D102" s="6">
        <f t="shared" si="2"/>
        <v>0.26252459166399783</v>
      </c>
      <c r="E102" s="6">
        <f t="shared" si="2"/>
        <v>0.64644485253175021</v>
      </c>
      <c r="F102" s="6">
        <f t="shared" si="2"/>
        <v>8.1808097742136088E-3</v>
      </c>
    </row>
    <row r="103" spans="2:6" x14ac:dyDescent="0.25">
      <c r="B103" s="2" t="s">
        <v>29</v>
      </c>
      <c r="C103" s="6">
        <f t="shared" si="2"/>
        <v>0.33066611516635985</v>
      </c>
      <c r="D103" s="6">
        <f t="shared" si="2"/>
        <v>0.3124857025209315</v>
      </c>
      <c r="E103" s="6">
        <f t="shared" si="2"/>
        <v>0.62224991381325467</v>
      </c>
      <c r="F103" s="6">
        <f t="shared" si="2"/>
        <v>2.3271437218520076E-2</v>
      </c>
    </row>
    <row r="104" spans="2:6" x14ac:dyDescent="0.25">
      <c r="B104" s="2" t="s">
        <v>30</v>
      </c>
      <c r="C104" s="6">
        <f t="shared" si="2"/>
        <v>0.45264393486741733</v>
      </c>
      <c r="D104" s="6">
        <f t="shared" si="2"/>
        <v>0.51205563435055135</v>
      </c>
      <c r="E104" s="6">
        <f t="shared" si="2"/>
        <v>0.91469804388033071</v>
      </c>
      <c r="F104" s="6">
        <f t="shared" si="2"/>
        <v>0.18542309535056511</v>
      </c>
    </row>
  </sheetData>
  <conditionalFormatting sqref="C86:C93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86:D93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86:E93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86:F93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selection activeCell="C8" sqref="C8:F8"/>
    </sheetView>
  </sheetViews>
  <sheetFormatPr defaultRowHeight="15" x14ac:dyDescent="0.25"/>
  <cols>
    <col min="1" max="1" width="64.7109375" customWidth="1"/>
    <col min="3" max="3" width="12.28515625" customWidth="1"/>
    <col min="4" max="4" width="13.42578125" customWidth="1"/>
    <col min="6" max="6" width="14.7109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9</v>
      </c>
      <c r="B2" s="2">
        <v>2021</v>
      </c>
      <c r="C2" s="2">
        <v>4009918.6929422501</v>
      </c>
      <c r="D2" s="2">
        <v>11047</v>
      </c>
      <c r="E2" s="4">
        <v>0.38327147641893727</v>
      </c>
      <c r="F2" s="2">
        <v>966608.66740000003</v>
      </c>
    </row>
    <row r="3" spans="1:6" x14ac:dyDescent="0.25">
      <c r="A3" s="2" t="s">
        <v>9</v>
      </c>
      <c r="B3" s="2">
        <v>2022</v>
      </c>
      <c r="C3" s="2">
        <v>4120372.134195759</v>
      </c>
      <c r="D3" s="2">
        <v>11024</v>
      </c>
      <c r="E3" s="4"/>
      <c r="F3" s="2">
        <v>878291.83682664006</v>
      </c>
    </row>
    <row r="4" spans="1:6" x14ac:dyDescent="0.25">
      <c r="A4" s="2" t="s">
        <v>9</v>
      </c>
      <c r="B4" s="2">
        <v>2023</v>
      </c>
      <c r="C4" s="2">
        <v>4834311.6150318878</v>
      </c>
      <c r="D4" s="2">
        <v>12230</v>
      </c>
      <c r="E4" s="4">
        <v>0.24627964022894519</v>
      </c>
      <c r="F4" s="2">
        <v>1059326.0773177</v>
      </c>
    </row>
    <row r="5" spans="1:6" x14ac:dyDescent="0.25">
      <c r="A5" s="2" t="s">
        <v>9</v>
      </c>
      <c r="B5" s="2">
        <v>2024</v>
      </c>
      <c r="C5" s="2">
        <v>5266831.8789681848</v>
      </c>
      <c r="D5" s="2">
        <v>13238</v>
      </c>
      <c r="E5" s="4">
        <v>0.14088230850581659</v>
      </c>
      <c r="F5" s="2">
        <v>1339724.7052555</v>
      </c>
    </row>
    <row r="6" spans="1:6" x14ac:dyDescent="0.25">
      <c r="A6" s="2" t="s">
        <v>9</v>
      </c>
      <c r="B6" s="2">
        <v>2025</v>
      </c>
      <c r="C6" s="2">
        <v>4933922.3108999999</v>
      </c>
      <c r="D6" s="2">
        <v>12729</v>
      </c>
      <c r="E6" s="4">
        <v>0.12758268520700761</v>
      </c>
      <c r="F6" s="2">
        <v>1383144.23172</v>
      </c>
    </row>
    <row r="8" spans="1:6" x14ac:dyDescent="0.25">
      <c r="A8" s="5" t="s">
        <v>22</v>
      </c>
      <c r="C8" s="6">
        <f>MEDIAN(C2:C6)</f>
        <v>4834311.6150318878</v>
      </c>
      <c r="D8" s="6">
        <f t="shared" ref="D8:F8" si="0">MEDIAN(D2:D6)</f>
        <v>12230</v>
      </c>
      <c r="E8" s="4">
        <f t="shared" si="0"/>
        <v>0.19358097436738089</v>
      </c>
      <c r="F8" s="6">
        <f t="shared" si="0"/>
        <v>1059326.0773177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selection activeCell="C8" sqref="C8:F8"/>
    </sheetView>
  </sheetViews>
  <sheetFormatPr defaultRowHeight="15" x14ac:dyDescent="0.25"/>
  <cols>
    <col min="1" max="1" width="48" customWidth="1"/>
    <col min="3" max="3" width="11.85546875" customWidth="1"/>
    <col min="5" max="5" width="14.5703125" customWidth="1"/>
    <col min="6" max="6" width="12.7109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15</v>
      </c>
      <c r="B2" s="2">
        <v>2021</v>
      </c>
      <c r="C2" s="2">
        <v>17528034.29081301</v>
      </c>
      <c r="D2" s="2">
        <v>2363</v>
      </c>
      <c r="E2" s="3">
        <v>0.33982225983918751</v>
      </c>
      <c r="F2" s="2">
        <v>80145.438900000008</v>
      </c>
    </row>
    <row r="3" spans="1:6" x14ac:dyDescent="0.25">
      <c r="A3" s="2" t="s">
        <v>15</v>
      </c>
      <c r="B3" s="2">
        <v>2022</v>
      </c>
      <c r="C3" s="2">
        <v>18069963.077435471</v>
      </c>
      <c r="D3" s="2">
        <v>2394</v>
      </c>
      <c r="E3" s="3"/>
      <c r="F3" s="2">
        <v>71614.639157519996</v>
      </c>
    </row>
    <row r="4" spans="1:6" x14ac:dyDescent="0.25">
      <c r="A4" s="2" t="s">
        <v>15</v>
      </c>
      <c r="B4" s="2">
        <v>2023</v>
      </c>
      <c r="C4" s="2">
        <v>17697221.110992979</v>
      </c>
      <c r="D4" s="2">
        <v>2434</v>
      </c>
      <c r="E4" s="3">
        <v>0.1750205423171734</v>
      </c>
      <c r="F4" s="2">
        <v>72544.199628739996</v>
      </c>
    </row>
    <row r="5" spans="1:6" x14ac:dyDescent="0.25">
      <c r="A5" s="2" t="s">
        <v>15</v>
      </c>
      <c r="B5" s="2">
        <v>2024</v>
      </c>
      <c r="C5" s="2">
        <v>18120023.49416934</v>
      </c>
      <c r="D5" s="2">
        <v>2649</v>
      </c>
      <c r="E5" s="3">
        <v>9.0600226500566247E-2</v>
      </c>
      <c r="F5" s="2">
        <v>76506.284981320001</v>
      </c>
    </row>
    <row r="6" spans="1:6" x14ac:dyDescent="0.25">
      <c r="A6" s="2" t="s">
        <v>15</v>
      </c>
      <c r="B6" s="2">
        <v>2025</v>
      </c>
      <c r="C6" s="2">
        <v>12221612.1348</v>
      </c>
      <c r="D6" s="2">
        <v>2609</v>
      </c>
      <c r="E6" s="3">
        <v>7.2441548486009963E-2</v>
      </c>
      <c r="F6" s="2">
        <v>70484.403139999995</v>
      </c>
    </row>
    <row r="8" spans="1:6" x14ac:dyDescent="0.25">
      <c r="A8" s="5" t="s">
        <v>22</v>
      </c>
      <c r="C8" s="6">
        <f>MEDIAN(C2:C6)</f>
        <v>17697221.110992979</v>
      </c>
      <c r="D8" s="6">
        <f t="shared" ref="D8:F8" si="0">MEDIAN(D2:D6)</f>
        <v>2434</v>
      </c>
      <c r="E8" s="4">
        <f t="shared" si="0"/>
        <v>0.13281038440886983</v>
      </c>
      <c r="F8" s="6">
        <f t="shared" si="0"/>
        <v>72544.199628739996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selection activeCell="C8" sqref="C8:F8"/>
    </sheetView>
  </sheetViews>
  <sheetFormatPr defaultRowHeight="15" x14ac:dyDescent="0.25"/>
  <cols>
    <col min="1" max="1" width="56.7109375" customWidth="1"/>
    <col min="3" max="3" width="12.85546875" customWidth="1"/>
    <col min="6" max="6" width="1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17</v>
      </c>
      <c r="B2" s="2">
        <v>2021</v>
      </c>
      <c r="C2" s="2">
        <v>20951321.436337199</v>
      </c>
      <c r="D2" s="2">
        <v>16109</v>
      </c>
      <c r="E2" s="2">
        <v>0.35061145943261529</v>
      </c>
      <c r="F2" s="2">
        <v>306330.13069999998</v>
      </c>
    </row>
    <row r="3" spans="1:6" x14ac:dyDescent="0.25">
      <c r="A3" s="2" t="s">
        <v>17</v>
      </c>
      <c r="B3" s="2">
        <v>2022</v>
      </c>
      <c r="C3" s="2">
        <v>19399055.55720453</v>
      </c>
      <c r="D3" s="2">
        <v>16494</v>
      </c>
      <c r="E3" s="2"/>
      <c r="F3" s="2">
        <v>350951.45171519998</v>
      </c>
    </row>
    <row r="4" spans="1:6" x14ac:dyDescent="0.25">
      <c r="A4" s="2" t="s">
        <v>17</v>
      </c>
      <c r="B4" s="2">
        <v>2023</v>
      </c>
      <c r="C4" s="2">
        <v>20219444.178967621</v>
      </c>
      <c r="D4" s="2">
        <v>17079</v>
      </c>
      <c r="E4" s="2">
        <v>0.19866502722641841</v>
      </c>
      <c r="F4" s="2">
        <v>297354.91969144001</v>
      </c>
    </row>
    <row r="5" spans="1:6" x14ac:dyDescent="0.25">
      <c r="A5" s="2" t="s">
        <v>17</v>
      </c>
      <c r="B5" s="2">
        <v>2024</v>
      </c>
      <c r="C5" s="2">
        <v>20367258.487155911</v>
      </c>
      <c r="D5" s="2">
        <v>18309</v>
      </c>
      <c r="E5" s="2">
        <v>0.1113113769184554</v>
      </c>
      <c r="F5" s="2">
        <v>326668.87300954008</v>
      </c>
    </row>
    <row r="6" spans="1:6" x14ac:dyDescent="0.25">
      <c r="A6" s="2" t="s">
        <v>17</v>
      </c>
      <c r="B6" s="2">
        <v>2025</v>
      </c>
      <c r="C6" s="2">
        <v>19176401.032000002</v>
      </c>
      <c r="D6" s="2">
        <v>18251</v>
      </c>
      <c r="E6" s="2">
        <v>9.1666210070681056E-2</v>
      </c>
      <c r="F6" s="2">
        <v>339957.84133600001</v>
      </c>
    </row>
    <row r="8" spans="1:6" x14ac:dyDescent="0.25">
      <c r="A8" s="5" t="s">
        <v>22</v>
      </c>
      <c r="C8" s="6">
        <f>MEDIAN(C2:C6)</f>
        <v>20219444.178967621</v>
      </c>
      <c r="D8" s="6">
        <f t="shared" ref="D8:F8" si="0">MEDIAN(D2:D6)</f>
        <v>17079</v>
      </c>
      <c r="E8" s="4">
        <f t="shared" si="0"/>
        <v>0.15498820207243691</v>
      </c>
      <c r="F8" s="6">
        <f t="shared" si="0"/>
        <v>326668.87300954008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selection activeCell="C8" sqref="C8:F8"/>
    </sheetView>
  </sheetViews>
  <sheetFormatPr defaultRowHeight="15" x14ac:dyDescent="0.25"/>
  <cols>
    <col min="1" max="1" width="64.28515625" customWidth="1"/>
    <col min="3" max="3" width="15.28515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12</v>
      </c>
      <c r="B2" s="2">
        <v>2021</v>
      </c>
      <c r="C2" s="2">
        <v>12566335.66800599</v>
      </c>
      <c r="D2" s="2">
        <v>9022</v>
      </c>
      <c r="E2" s="2">
        <v>0.26911992906229221</v>
      </c>
      <c r="F2" s="2">
        <v>100643.11289999999</v>
      </c>
    </row>
    <row r="3" spans="1:6" x14ac:dyDescent="0.25">
      <c r="A3" s="2" t="s">
        <v>12</v>
      </c>
      <c r="B3" s="2">
        <v>2022</v>
      </c>
      <c r="C3" s="2">
        <v>13273552.52642516</v>
      </c>
      <c r="D3" s="2">
        <v>8531</v>
      </c>
      <c r="E3" s="2"/>
      <c r="F3" s="2">
        <v>52941.235146239997</v>
      </c>
    </row>
    <row r="4" spans="1:6" x14ac:dyDescent="0.25">
      <c r="A4" s="2" t="s">
        <v>12</v>
      </c>
      <c r="B4" s="2">
        <v>2023</v>
      </c>
      <c r="C4" s="2">
        <v>13598823.7176996</v>
      </c>
      <c r="D4" s="2">
        <v>8468</v>
      </c>
      <c r="E4" s="2">
        <v>0.14312706660368449</v>
      </c>
      <c r="F4" s="2">
        <v>30207.701468740001</v>
      </c>
    </row>
    <row r="5" spans="1:6" x14ac:dyDescent="0.25">
      <c r="A5" s="2" t="s">
        <v>12</v>
      </c>
      <c r="B5" s="2">
        <v>2024</v>
      </c>
      <c r="C5" s="2">
        <v>14205030.78029329</v>
      </c>
      <c r="D5" s="2">
        <v>8800</v>
      </c>
      <c r="E5" s="2">
        <v>7.1363636363636365E-2</v>
      </c>
      <c r="F5" s="2">
        <v>24189.224695320001</v>
      </c>
    </row>
    <row r="6" spans="1:6" x14ac:dyDescent="0.25">
      <c r="A6" s="2" t="s">
        <v>12</v>
      </c>
      <c r="B6" s="2">
        <v>2025</v>
      </c>
      <c r="C6" s="2">
        <v>13519976.575200001</v>
      </c>
      <c r="D6" s="2">
        <v>8949</v>
      </c>
      <c r="E6" s="2">
        <v>5.8442284054084262E-2</v>
      </c>
      <c r="F6" s="2">
        <v>17448.590984800001</v>
      </c>
    </row>
    <row r="8" spans="1:6" x14ac:dyDescent="0.25">
      <c r="A8" s="5" t="s">
        <v>22</v>
      </c>
      <c r="C8" s="6">
        <f>MEDIAN(C2:C6)</f>
        <v>13519976.575200001</v>
      </c>
      <c r="D8" s="6">
        <f t="shared" ref="D8:F8" si="0">MEDIAN(D2:D6)</f>
        <v>8800</v>
      </c>
      <c r="E8" s="4">
        <f t="shared" si="0"/>
        <v>0.10724535148366043</v>
      </c>
      <c r="F8" s="6">
        <f t="shared" si="0"/>
        <v>30207.701468740001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selection activeCell="C8" sqref="C8:F8"/>
    </sheetView>
  </sheetViews>
  <sheetFormatPr defaultRowHeight="15" x14ac:dyDescent="0.25"/>
  <cols>
    <col min="1" max="1" width="59.5703125" customWidth="1"/>
    <col min="3" max="3" width="11.7109375" customWidth="1"/>
    <col min="6" max="6" width="12.5703125" customWidth="1"/>
  </cols>
  <sheetData>
    <row r="1" spans="1:6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 spans="1:6" x14ac:dyDescent="0.25">
      <c r="A2" s="2" t="s">
        <v>13</v>
      </c>
      <c r="B2" s="2">
        <v>2021</v>
      </c>
      <c r="C2" s="2">
        <v>5411543.2250832682</v>
      </c>
      <c r="D2" s="2">
        <v>20559</v>
      </c>
      <c r="E2" s="2">
        <v>0.27335959920229591</v>
      </c>
      <c r="F2" s="2">
        <v>357336.75170000002</v>
      </c>
    </row>
    <row r="3" spans="1:6" x14ac:dyDescent="0.25">
      <c r="A3" s="2" t="s">
        <v>13</v>
      </c>
      <c r="B3" s="2">
        <v>2022</v>
      </c>
      <c r="C3" s="2">
        <v>5694969.0174945984</v>
      </c>
      <c r="D3" s="2">
        <v>20839</v>
      </c>
      <c r="E3" s="2"/>
      <c r="F3" s="2">
        <v>337349.62020479998</v>
      </c>
    </row>
    <row r="4" spans="1:6" x14ac:dyDescent="0.25">
      <c r="A4" s="2" t="s">
        <v>13</v>
      </c>
      <c r="B4" s="2">
        <v>2023</v>
      </c>
      <c r="C4" s="2">
        <v>6207116.4326951522</v>
      </c>
      <c r="D4" s="2">
        <v>21857</v>
      </c>
      <c r="E4" s="2">
        <v>0.14443885254151989</v>
      </c>
      <c r="F4" s="2">
        <v>173995.53816028</v>
      </c>
    </row>
    <row r="5" spans="1:6" x14ac:dyDescent="0.25">
      <c r="A5" s="2" t="s">
        <v>13</v>
      </c>
      <c r="B5" s="2">
        <v>2024</v>
      </c>
      <c r="C5" s="2">
        <v>6570716.9190249778</v>
      </c>
      <c r="D5" s="2">
        <v>23266</v>
      </c>
      <c r="E5" s="2">
        <v>8.1793174589529782E-2</v>
      </c>
      <c r="F5" s="2">
        <v>221652.83158520001</v>
      </c>
    </row>
    <row r="6" spans="1:6" x14ac:dyDescent="0.25">
      <c r="A6" s="2" t="s">
        <v>13</v>
      </c>
      <c r="B6" s="2">
        <v>2025</v>
      </c>
      <c r="C6" s="2">
        <v>6399055.5751999998</v>
      </c>
      <c r="D6" s="2">
        <v>23782</v>
      </c>
      <c r="E6" s="2">
        <v>6.5764023210831718E-2</v>
      </c>
      <c r="F6" s="2">
        <v>229215.40143999999</v>
      </c>
    </row>
    <row r="8" spans="1:6" x14ac:dyDescent="0.25">
      <c r="A8" s="5" t="s">
        <v>22</v>
      </c>
      <c r="C8" s="6">
        <f>MEDIAN(C2:C6)</f>
        <v>6207116.4326951522</v>
      </c>
      <c r="D8" s="6">
        <f t="shared" ref="D8:F8" si="0">MEDIAN(D2:D6)</f>
        <v>21857</v>
      </c>
      <c r="E8" s="4">
        <f t="shared" si="0"/>
        <v>0.11311601356552484</v>
      </c>
      <c r="F8" s="6">
        <f t="shared" si="0"/>
        <v>229215.40143999999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selection activeCell="C8" sqref="C8:F8"/>
    </sheetView>
  </sheetViews>
  <sheetFormatPr defaultRowHeight="15" x14ac:dyDescent="0.25"/>
  <cols>
    <col min="1" max="1" width="53.5703125" customWidth="1"/>
    <col min="3" max="3" width="12.28515625" customWidth="1"/>
  </cols>
  <sheetData>
    <row r="1" spans="1:6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 spans="1:6" x14ac:dyDescent="0.25">
      <c r="A2" s="2" t="s">
        <v>18</v>
      </c>
      <c r="B2" s="2">
        <v>2021</v>
      </c>
      <c r="C2" s="2">
        <v>5479903.2929036608</v>
      </c>
      <c r="D2" s="2">
        <v>5917</v>
      </c>
      <c r="E2" s="2">
        <v>0.30623626837924622</v>
      </c>
      <c r="F2" s="2">
        <v>9990.1322</v>
      </c>
    </row>
    <row r="3" spans="1:6" x14ac:dyDescent="0.25">
      <c r="A3" s="2" t="s">
        <v>18</v>
      </c>
      <c r="B3" s="2">
        <v>2022</v>
      </c>
      <c r="C3" s="2">
        <v>5113150.7729640929</v>
      </c>
      <c r="D3" s="2">
        <v>5696</v>
      </c>
      <c r="E3" s="2"/>
      <c r="F3" s="2">
        <v>8606.1171168000001</v>
      </c>
    </row>
    <row r="4" spans="1:6" x14ac:dyDescent="0.25">
      <c r="A4" s="2" t="s">
        <v>18</v>
      </c>
      <c r="B4" s="2">
        <v>2023</v>
      </c>
      <c r="C4" s="2">
        <v>4764289.4144390142</v>
      </c>
      <c r="D4" s="2">
        <v>5738</v>
      </c>
      <c r="E4" s="2">
        <v>0.155280585569885</v>
      </c>
      <c r="F4" s="2">
        <v>8108.7670612399997</v>
      </c>
    </row>
    <row r="5" spans="1:6" x14ac:dyDescent="0.25">
      <c r="A5" s="2" t="s">
        <v>18</v>
      </c>
      <c r="B5" s="2">
        <v>2024</v>
      </c>
      <c r="C5" s="2">
        <v>4698388.1286570067</v>
      </c>
      <c r="D5" s="2">
        <v>5758</v>
      </c>
      <c r="E5" s="2">
        <v>9.4998263285863152E-2</v>
      </c>
      <c r="F5" s="2">
        <v>9155.4406251399996</v>
      </c>
    </row>
    <row r="6" spans="1:6" x14ac:dyDescent="0.25">
      <c r="A6" s="2" t="s">
        <v>18</v>
      </c>
      <c r="B6" s="2">
        <v>2025</v>
      </c>
      <c r="C6" s="2">
        <v>4293345.4927000003</v>
      </c>
      <c r="D6" s="2">
        <v>5719</v>
      </c>
      <c r="E6" s="2">
        <v>8.13079209652037E-2</v>
      </c>
      <c r="F6" s="2">
        <v>8666.145127400001</v>
      </c>
    </row>
    <row r="8" spans="1:6" x14ac:dyDescent="0.25">
      <c r="A8" s="5" t="s">
        <v>22</v>
      </c>
      <c r="C8" s="6">
        <f>MEDIAN(C2:C6)</f>
        <v>4764289.4144390142</v>
      </c>
      <c r="D8" s="6">
        <f t="shared" ref="D8:F8" si="0">MEDIAN(D2:D6)</f>
        <v>5738</v>
      </c>
      <c r="E8" s="4">
        <f t="shared" si="0"/>
        <v>0.12513942442787407</v>
      </c>
      <c r="F8" s="6">
        <f t="shared" si="0"/>
        <v>8666.145127400001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selection activeCell="C8" sqref="C8:F8"/>
    </sheetView>
  </sheetViews>
  <sheetFormatPr defaultRowHeight="15" x14ac:dyDescent="0.25"/>
  <cols>
    <col min="1" max="1" width="41" customWidth="1"/>
    <col min="3" max="3" width="12.5703125" customWidth="1"/>
  </cols>
  <sheetData>
    <row r="1" spans="1:6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 spans="1:6" x14ac:dyDescent="0.25">
      <c r="A2" s="2" t="s">
        <v>19</v>
      </c>
      <c r="B2" s="2">
        <v>2021</v>
      </c>
      <c r="C2" s="2">
        <v>6280886.1893541459</v>
      </c>
      <c r="D2" s="2">
        <v>6135</v>
      </c>
      <c r="E2" s="2">
        <v>0.31703341483292591</v>
      </c>
      <c r="F2" s="2">
        <v>83671.685500000007</v>
      </c>
    </row>
    <row r="3" spans="1:6" x14ac:dyDescent="0.25">
      <c r="A3" s="2" t="s">
        <v>19</v>
      </c>
      <c r="B3" s="2">
        <v>2022</v>
      </c>
      <c r="C3" s="2">
        <v>6685885.0574822919</v>
      </c>
      <c r="D3" s="2">
        <v>6201</v>
      </c>
      <c r="E3" s="2"/>
      <c r="F3" s="2">
        <v>40956.27348648</v>
      </c>
    </row>
    <row r="4" spans="1:6" x14ac:dyDescent="0.25">
      <c r="A4" s="2" t="s">
        <v>19</v>
      </c>
      <c r="B4" s="2">
        <v>2023</v>
      </c>
      <c r="C4" s="2">
        <v>7356658.7593422197</v>
      </c>
      <c r="D4" s="2">
        <v>6830</v>
      </c>
      <c r="E4" s="2">
        <v>0.15256222547584189</v>
      </c>
      <c r="F4" s="2">
        <v>24652.040302239999</v>
      </c>
    </row>
    <row r="5" spans="1:6" x14ac:dyDescent="0.25">
      <c r="A5" s="2" t="s">
        <v>19</v>
      </c>
      <c r="B5" s="2">
        <v>2024</v>
      </c>
      <c r="C5" s="2">
        <v>7449304.6812405493</v>
      </c>
      <c r="D5" s="2">
        <v>7742</v>
      </c>
      <c r="E5" s="2">
        <v>8.834926375613536E-2</v>
      </c>
      <c r="F5" s="2">
        <v>19361.26868578</v>
      </c>
    </row>
    <row r="6" spans="1:6" x14ac:dyDescent="0.25">
      <c r="A6" s="2" t="s">
        <v>19</v>
      </c>
      <c r="B6" s="2">
        <v>2025</v>
      </c>
      <c r="C6" s="2">
        <v>6667290.4778000005</v>
      </c>
      <c r="D6" s="2">
        <v>7719</v>
      </c>
      <c r="E6" s="2">
        <v>7.0475450187848163E-2</v>
      </c>
      <c r="F6" s="2">
        <v>19035.0469816</v>
      </c>
    </row>
    <row r="8" spans="1:6" x14ac:dyDescent="0.25">
      <c r="A8" s="5" t="s">
        <v>22</v>
      </c>
      <c r="C8" s="6">
        <f>MEDIAN(C2:C6)</f>
        <v>6685885.0574822919</v>
      </c>
      <c r="D8" s="6">
        <f t="shared" ref="D8:F8" si="0">MEDIAN(D2:D6)</f>
        <v>6830</v>
      </c>
      <c r="E8" s="4">
        <f t="shared" si="0"/>
        <v>0.12045574461598862</v>
      </c>
      <c r="F8" s="6">
        <f t="shared" si="0"/>
        <v>24652.040302239999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selection activeCell="C8" sqref="C8:F8"/>
    </sheetView>
  </sheetViews>
  <sheetFormatPr defaultRowHeight="15" x14ac:dyDescent="0.25"/>
  <cols>
    <col min="1" max="1" width="39" customWidth="1"/>
    <col min="3" max="3" width="13" customWidth="1"/>
    <col min="6" max="6" width="12.7109375" customWidth="1"/>
  </cols>
  <sheetData>
    <row r="1" spans="1:6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 spans="1:6" x14ac:dyDescent="0.25">
      <c r="A2" s="2" t="s">
        <v>21</v>
      </c>
      <c r="B2" s="2">
        <v>2021</v>
      </c>
      <c r="C2" s="2">
        <v>8238264.1993407253</v>
      </c>
      <c r="D2" s="2">
        <v>12427</v>
      </c>
      <c r="E2" s="2">
        <v>0.28719723183390999</v>
      </c>
      <c r="F2" s="2">
        <v>192301.3941</v>
      </c>
    </row>
    <row r="3" spans="1:6" x14ac:dyDescent="0.25">
      <c r="A3" s="2" t="s">
        <v>21</v>
      </c>
      <c r="B3" s="2">
        <v>2022</v>
      </c>
      <c r="C3" s="2">
        <v>8527118.4125252087</v>
      </c>
      <c r="D3" s="2">
        <v>13006</v>
      </c>
      <c r="E3" s="2"/>
      <c r="F3" s="2">
        <v>182621.58596976</v>
      </c>
    </row>
    <row r="4" spans="1:6" x14ac:dyDescent="0.25">
      <c r="A4" s="2" t="s">
        <v>21</v>
      </c>
      <c r="B4" s="2">
        <v>2023</v>
      </c>
      <c r="C4" s="2">
        <v>9408865.1575551424</v>
      </c>
      <c r="D4" s="2">
        <v>10576</v>
      </c>
      <c r="E4" s="2">
        <v>0.22532148260211801</v>
      </c>
      <c r="F4" s="2">
        <v>234630.23281098</v>
      </c>
    </row>
    <row r="5" spans="1:6" x14ac:dyDescent="0.25">
      <c r="A5" s="2" t="s">
        <v>21</v>
      </c>
      <c r="B5" s="2">
        <v>2024</v>
      </c>
      <c r="C5" s="2">
        <v>9423488.5427880678</v>
      </c>
      <c r="D5" s="2">
        <v>10977</v>
      </c>
      <c r="E5" s="2">
        <v>0.12881479457046549</v>
      </c>
      <c r="F5" s="2">
        <v>196423.52024181999</v>
      </c>
    </row>
    <row r="6" spans="1:6" x14ac:dyDescent="0.25">
      <c r="A6" s="2" t="s">
        <v>21</v>
      </c>
      <c r="B6" s="2">
        <v>2025</v>
      </c>
      <c r="C6" s="2">
        <v>9152208.7740000002</v>
      </c>
      <c r="D6" s="2">
        <v>11192</v>
      </c>
      <c r="E6" s="2">
        <v>0.1124017155110793</v>
      </c>
      <c r="F6" s="2">
        <v>206066.73897999999</v>
      </c>
    </row>
    <row r="8" spans="1:6" x14ac:dyDescent="0.25">
      <c r="A8" s="5" t="s">
        <v>22</v>
      </c>
      <c r="C8" s="6">
        <f>MEDIAN(C2:C6)</f>
        <v>9152208.7740000002</v>
      </c>
      <c r="D8" s="6">
        <f t="shared" ref="D8:F8" si="0">MEDIAN(D2:D6)</f>
        <v>11192</v>
      </c>
      <c r="E8" s="4">
        <f t="shared" si="0"/>
        <v>0.17706813858629175</v>
      </c>
      <c r="F8" s="6">
        <f t="shared" si="0"/>
        <v>196423.52024181999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all sectors</vt:lpstr>
      <vt:lpstr>IT</vt:lpstr>
      <vt:lpstr>Добыча</vt:lpstr>
      <vt:lpstr>Промышленность</vt:lpstr>
      <vt:lpstr>Недвижимость</vt:lpstr>
      <vt:lpstr>Наука</vt:lpstr>
      <vt:lpstr>Сельхоз</vt:lpstr>
      <vt:lpstr>Строительство</vt:lpstr>
      <vt:lpstr>Логистика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Albert</cp:lastModifiedBy>
  <dcterms:created xsi:type="dcterms:W3CDTF">2026-10-19T11:28:42Z</dcterms:created>
  <dcterms:modified xsi:type="dcterms:W3CDTF">2026-10-19T12:00:43Z</dcterms:modified>
</cp:coreProperties>
</file>