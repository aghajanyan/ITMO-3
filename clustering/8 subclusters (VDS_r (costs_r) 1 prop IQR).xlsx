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clustering\"/>
    </mc:Choice>
  </mc:AlternateContent>
  <bookViews>
    <workbookView xWindow="0" yWindow="0" windowWidth="28800" windowHeight="1288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20" i="1" l="1"/>
  <c r="G20" i="1"/>
  <c r="H20" i="1"/>
  <c r="F18" i="1"/>
  <c r="G18" i="1"/>
  <c r="H18" i="1"/>
  <c r="F16" i="1"/>
  <c r="G16" i="1"/>
  <c r="H16" i="1"/>
  <c r="F14" i="1"/>
  <c r="G14" i="1"/>
  <c r="H14" i="1"/>
  <c r="E20" i="1"/>
  <c r="D20" i="1"/>
  <c r="C20" i="1"/>
  <c r="B20" i="1"/>
  <c r="E18" i="1"/>
  <c r="D18" i="1"/>
  <c r="C18" i="1"/>
  <c r="B18" i="1"/>
  <c r="E16" i="1"/>
  <c r="D16" i="1"/>
  <c r="C16" i="1"/>
  <c r="B16" i="1"/>
  <c r="E14" i="1"/>
  <c r="D14" i="1"/>
  <c r="C14" i="1"/>
  <c r="B14" i="1"/>
</calcChain>
</file>

<file path=xl/sharedStrings.xml><?xml version="1.0" encoding="utf-8"?>
<sst xmlns="http://schemas.openxmlformats.org/spreadsheetml/2006/main" count="25" uniqueCount="12">
  <si>
    <t>clust</t>
  </si>
  <si>
    <t>VDS_r</t>
  </si>
  <si>
    <t>ITcosts_r</t>
  </si>
  <si>
    <t>skvozcosts_r</t>
  </si>
  <si>
    <t>trainingcosts_r</t>
  </si>
  <si>
    <t>RDcosts_r</t>
  </si>
  <si>
    <t>RDsalary_r</t>
  </si>
  <si>
    <t>RDequip_r</t>
  </si>
  <si>
    <t>ITcosts_s</t>
  </si>
  <si>
    <t>skvozcosts_s</t>
  </si>
  <si>
    <t>trainingcosts_s</t>
  </si>
  <si>
    <t>Медианы кластеров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</si>
</sst>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4" fillId="0" borderId="1" xfId="0" applyFont="1" applyBorder="1" applyAlignment="1">
      <alignment horizontal="center" vertical="top"/>
    </xf>
    <xf numFmtId="2" fontId="0" fillId="0" borderId="0" xfId="0" applyNumberFormat="1" applyFill="1" applyAlignment="1">
      <alignment horizontal="center"/>
    </xf>
    <xf numFmtId="9" fontId="0" fillId="2" borderId="0" xfId="1" applyFont="1" applyFill="1" applyAlignment="1">
      <alignment horizontal="center"/>
    </xf>
    <xf numFmtId="9" fontId="0" fillId="0" borderId="0" xfId="1" applyFont="1" applyFill="1" applyAlignment="1">
      <alignment horizontal="center"/>
    </xf>
    <xf numFmtId="0" fontId="0" fillId="0" borderId="0" xfId="0" applyFill="1"/>
    <xf numFmtId="2" fontId="0" fillId="0" borderId="0" xfId="0" applyNumberFormat="1" applyFill="1" applyBorder="1" applyAlignment="1">
      <alignment horizontal="center"/>
    </xf>
    <xf numFmtId="0" fontId="3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0</xdr:row>
      <xdr:rowOff>85725</xdr:rowOff>
    </xdr:from>
    <xdr:to>
      <xdr:col>16</xdr:col>
      <xdr:colOff>12162</xdr:colOff>
      <xdr:row>16</xdr:row>
      <xdr:rowOff>123825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7175" y="85725"/>
          <a:ext cx="4212687" cy="3086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L29" sqref="L29"/>
    </sheetView>
  </sheetViews>
  <sheetFormatPr defaultRowHeight="15" x14ac:dyDescent="0.25"/>
  <cols>
    <col min="2" max="2" width="14.28515625" customWidth="1"/>
    <col min="3" max="3" width="12.42578125" customWidth="1"/>
    <col min="4" max="5" width="15.7109375" customWidth="1"/>
    <col min="6" max="6" width="11.5703125" customWidth="1"/>
    <col min="7" max="7" width="14" customWidth="1"/>
    <col min="8" max="8" width="1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3">
        <v>573412.44594963978</v>
      </c>
      <c r="C2" s="4">
        <v>1.210079690790972E-2</v>
      </c>
      <c r="D2" s="4">
        <v>3.4205920621917531E-3</v>
      </c>
      <c r="E2" s="4">
        <v>1.2245743957541579E-3</v>
      </c>
      <c r="F2" s="4">
        <v>1.589381419330466E-2</v>
      </c>
      <c r="G2" s="4">
        <v>0.31185102264084619</v>
      </c>
      <c r="H2" s="4">
        <v>1.81627017449204E-2</v>
      </c>
    </row>
    <row r="3" spans="1:8" x14ac:dyDescent="0.25">
      <c r="A3" s="2">
        <v>0</v>
      </c>
      <c r="B3" s="3">
        <v>2310865.040118</v>
      </c>
      <c r="C3" s="4">
        <v>1.628001243777712E-2</v>
      </c>
      <c r="D3" s="4">
        <v>3.5050150531048012E-3</v>
      </c>
      <c r="E3" s="4">
        <v>1.993119896026992E-3</v>
      </c>
      <c r="F3" s="4">
        <v>1.617893034516886E-2</v>
      </c>
      <c r="G3" s="4">
        <v>0.29159575431375262</v>
      </c>
      <c r="H3" s="4">
        <v>1.8385161958310841E-2</v>
      </c>
    </row>
    <row r="4" spans="1:8" x14ac:dyDescent="0.25">
      <c r="A4" s="2">
        <v>1</v>
      </c>
      <c r="B4" s="3">
        <v>290961.70916459057</v>
      </c>
      <c r="C4" s="4">
        <v>1.031466190231361E-2</v>
      </c>
      <c r="D4" s="4">
        <v>1.699158284600222E-3</v>
      </c>
      <c r="E4" s="4">
        <v>1.362584004945827E-3</v>
      </c>
      <c r="F4" s="4">
        <v>3.0186539329128382E-3</v>
      </c>
      <c r="G4" s="4">
        <v>0.44813398267061161</v>
      </c>
      <c r="H4" s="4">
        <v>8.8321513871716911E-2</v>
      </c>
    </row>
    <row r="5" spans="1:8" x14ac:dyDescent="0.25">
      <c r="A5" s="2">
        <v>1</v>
      </c>
      <c r="B5" s="3">
        <v>1157548.311531727</v>
      </c>
      <c r="C5" s="4">
        <v>7.8971053489630613E-3</v>
      </c>
      <c r="D5" s="4">
        <v>3.2501313536002722E-3</v>
      </c>
      <c r="E5" s="4">
        <v>1.4233349426818209E-3</v>
      </c>
      <c r="F5" s="4">
        <v>2.7889091037878191E-3</v>
      </c>
      <c r="G5" s="4">
        <v>0.46991287227439571</v>
      </c>
      <c r="H5" s="4">
        <v>7.7282770647667975E-2</v>
      </c>
    </row>
    <row r="6" spans="1:8" x14ac:dyDescent="0.25">
      <c r="A6" s="2">
        <v>2</v>
      </c>
      <c r="B6" s="3">
        <v>603669.20280412468</v>
      </c>
      <c r="C6" s="4">
        <v>1.102610270613991E-2</v>
      </c>
      <c r="D6" s="4">
        <v>1.9697354376290329E-2</v>
      </c>
      <c r="E6" s="4">
        <v>1.5170915034529379E-3</v>
      </c>
      <c r="F6" s="4">
        <v>6.6075951260015173E-3</v>
      </c>
      <c r="G6" s="4">
        <v>0.46056821958057031</v>
      </c>
      <c r="H6" s="4">
        <v>2.1560367136724299E-2</v>
      </c>
    </row>
    <row r="7" spans="1:8" x14ac:dyDescent="0.25">
      <c r="A7" s="2">
        <v>2</v>
      </c>
      <c r="B7" s="3">
        <v>2465257.830413125</v>
      </c>
      <c r="C7" s="4">
        <v>9.4934059737909228E-3</v>
      </c>
      <c r="D7" s="4">
        <v>1.6489708335243561E-2</v>
      </c>
      <c r="E7" s="4">
        <v>1.2863119718981039E-3</v>
      </c>
      <c r="F7" s="4">
        <v>6.6870322758668891E-3</v>
      </c>
      <c r="G7" s="4">
        <v>0.40038030446936268</v>
      </c>
      <c r="H7" s="4">
        <v>2.5831293292012839E-2</v>
      </c>
    </row>
    <row r="8" spans="1:8" x14ac:dyDescent="0.25">
      <c r="A8" s="2">
        <v>3</v>
      </c>
      <c r="B8" s="3">
        <v>310269.73236277589</v>
      </c>
      <c r="C8" s="4">
        <v>9.8724742476798983E-3</v>
      </c>
      <c r="D8" s="4">
        <v>2.3703345327009441E-3</v>
      </c>
      <c r="E8" s="4">
        <v>1.1607528697716561E-3</v>
      </c>
      <c r="F8" s="4">
        <v>3.846335603220724E-3</v>
      </c>
      <c r="G8" s="4">
        <v>0.52084913618482831</v>
      </c>
      <c r="H8" s="4">
        <v>1.695199725049688E-2</v>
      </c>
    </row>
    <row r="9" spans="1:8" x14ac:dyDescent="0.25">
      <c r="A9" s="2">
        <v>3</v>
      </c>
      <c r="B9" s="3">
        <v>1325860.278286631</v>
      </c>
      <c r="C9" s="4">
        <v>9.2915007015233978E-3</v>
      </c>
      <c r="D9" s="4">
        <v>3.108670632677152E-3</v>
      </c>
      <c r="E9" s="4">
        <v>1.2803313552379491E-3</v>
      </c>
      <c r="F9" s="4">
        <v>4.1645766519815873E-3</v>
      </c>
      <c r="G9" s="4">
        <v>0.51688837007017363</v>
      </c>
      <c r="H9" s="4">
        <v>1.7339197914334269E-2</v>
      </c>
    </row>
    <row r="12" spans="1:8" x14ac:dyDescent="0.25">
      <c r="A12" s="5" t="s">
        <v>0</v>
      </c>
      <c r="B12" s="5" t="s">
        <v>1</v>
      </c>
      <c r="C12" s="5" t="s">
        <v>8</v>
      </c>
      <c r="D12" s="5" t="s">
        <v>9</v>
      </c>
      <c r="E12" s="5" t="s">
        <v>10</v>
      </c>
      <c r="F12" s="1" t="s">
        <v>5</v>
      </c>
      <c r="G12" s="1" t="s">
        <v>6</v>
      </c>
      <c r="H12" s="1" t="s">
        <v>7</v>
      </c>
    </row>
    <row r="13" spans="1:8" x14ac:dyDescent="0.25">
      <c r="A13" s="2">
        <v>0</v>
      </c>
    </row>
    <row r="14" spans="1:8" x14ac:dyDescent="0.25">
      <c r="A14" s="2">
        <v>0</v>
      </c>
      <c r="B14" s="10">
        <f>B3/B2</f>
        <v>4.0300224671456695</v>
      </c>
      <c r="C14" s="7">
        <f>(C3/C2)-1</f>
        <v>0.34536696728920746</v>
      </c>
      <c r="D14" s="7">
        <f t="shared" ref="D14:H20" si="0">(D3/D2)-1</f>
        <v>2.4680812379291428E-2</v>
      </c>
      <c r="E14" s="7">
        <f t="shared" si="0"/>
        <v>0.62760213094241846</v>
      </c>
      <c r="F14" s="7">
        <f t="shared" si="0"/>
        <v>1.7938812445932983E-2</v>
      </c>
      <c r="G14" s="8">
        <f t="shared" si="0"/>
        <v>-6.4951745726424148E-2</v>
      </c>
      <c r="H14" s="7">
        <f t="shared" si="0"/>
        <v>1.2248189532301224E-2</v>
      </c>
    </row>
    <row r="15" spans="1:8" x14ac:dyDescent="0.25">
      <c r="A15" s="2">
        <v>1</v>
      </c>
      <c r="B15" s="10"/>
      <c r="C15" s="6"/>
      <c r="D15" s="6"/>
      <c r="E15" s="6"/>
      <c r="F15" s="9"/>
      <c r="G15" s="9"/>
      <c r="H15" s="9"/>
    </row>
    <row r="16" spans="1:8" x14ac:dyDescent="0.25">
      <c r="A16" s="2">
        <v>1</v>
      </c>
      <c r="B16" s="10">
        <f>B5/B4</f>
        <v>3.9783527353316708</v>
      </c>
      <c r="C16" s="8">
        <f>(C5/C4)-1</f>
        <v>-0.23438059106991027</v>
      </c>
      <c r="D16" s="7">
        <f t="shared" si="0"/>
        <v>0.91278904564501073</v>
      </c>
      <c r="E16" s="7">
        <f t="shared" si="0"/>
        <v>4.4585095315579526E-2</v>
      </c>
      <c r="F16" s="8">
        <f t="shared" si="0"/>
        <v>-7.6108369568328671E-2</v>
      </c>
      <c r="G16" s="7">
        <f t="shared" si="0"/>
        <v>4.8599058419972696E-2</v>
      </c>
      <c r="H16" s="8">
        <f t="shared" si="0"/>
        <v>-0.12498362788575179</v>
      </c>
    </row>
    <row r="17" spans="1:8" x14ac:dyDescent="0.25">
      <c r="A17" s="2">
        <v>2</v>
      </c>
      <c r="B17" s="10"/>
      <c r="C17" s="6"/>
      <c r="D17" s="6"/>
      <c r="E17" s="6"/>
      <c r="F17" s="9"/>
      <c r="G17" s="9"/>
      <c r="H17" s="9"/>
    </row>
    <row r="18" spans="1:8" x14ac:dyDescent="0.25">
      <c r="A18" s="2">
        <v>2</v>
      </c>
      <c r="B18" s="10">
        <f>B7/B6</f>
        <v>4.0837892987776598</v>
      </c>
      <c r="C18" s="8">
        <f>(C7/C6)-1</f>
        <v>-0.13900620855776191</v>
      </c>
      <c r="D18" s="8">
        <f t="shared" si="0"/>
        <v>-0.16284654171160196</v>
      </c>
      <c r="E18" s="8">
        <f t="shared" si="0"/>
        <v>-0.15211971791389911</v>
      </c>
      <c r="F18" s="7">
        <f t="shared" si="0"/>
        <v>1.2022097049012359E-2</v>
      </c>
      <c r="G18" s="8">
        <f t="shared" si="0"/>
        <v>-0.1306818676417133</v>
      </c>
      <c r="H18" s="7">
        <f t="shared" si="0"/>
        <v>0.19809153193935036</v>
      </c>
    </row>
    <row r="19" spans="1:8" x14ac:dyDescent="0.25">
      <c r="A19" s="2">
        <v>3</v>
      </c>
      <c r="B19" s="10"/>
      <c r="C19" s="6"/>
      <c r="D19" s="6"/>
      <c r="E19" s="6"/>
      <c r="F19" s="9"/>
      <c r="G19" s="9"/>
      <c r="H19" s="9"/>
    </row>
    <row r="20" spans="1:8" x14ac:dyDescent="0.25">
      <c r="A20" s="2">
        <v>3</v>
      </c>
      <c r="B20" s="10">
        <f>B9/B8</f>
        <v>4.2732504656187302</v>
      </c>
      <c r="C20" s="8">
        <f>(C9/C8)-1</f>
        <v>-5.8847815814058291E-2</v>
      </c>
      <c r="D20" s="7">
        <f t="shared" si="0"/>
        <v>0.31149025160380628</v>
      </c>
      <c r="E20" s="7">
        <f t="shared" si="0"/>
        <v>0.10301803991216185</v>
      </c>
      <c r="F20" s="7">
        <f t="shared" si="0"/>
        <v>8.2738762705569568E-2</v>
      </c>
      <c r="G20" s="8">
        <f t="shared" si="0"/>
        <v>-7.6044402102054542E-3</v>
      </c>
      <c r="H20" s="7">
        <f t="shared" si="0"/>
        <v>2.2841005582751484E-2</v>
      </c>
    </row>
    <row r="22" spans="1:8" x14ac:dyDescent="0.25">
      <c r="A22" s="11" t="s">
        <v>11</v>
      </c>
    </row>
    <row r="23" spans="1:8" x14ac:dyDescent="0.25">
      <c r="A23" s="5" t="s">
        <v>0</v>
      </c>
      <c r="B23" s="5" t="s">
        <v>1</v>
      </c>
      <c r="C23" s="5" t="s">
        <v>2</v>
      </c>
      <c r="D23" s="5" t="s">
        <v>3</v>
      </c>
      <c r="E23" s="5" t="s">
        <v>4</v>
      </c>
      <c r="F23" s="5" t="s">
        <v>5</v>
      </c>
      <c r="G23" s="5" t="s">
        <v>6</v>
      </c>
      <c r="H23" s="5" t="s">
        <v>7</v>
      </c>
    </row>
    <row r="24" spans="1:8" x14ac:dyDescent="0.25">
      <c r="A24" s="2">
        <v>0</v>
      </c>
      <c r="B24" s="3">
        <v>1225362.61375</v>
      </c>
      <c r="C24" s="4">
        <v>1.265224754727225E-2</v>
      </c>
      <c r="D24" s="4">
        <v>2.2473043070054479E-3</v>
      </c>
      <c r="E24" s="4">
        <v>1.301994594178776E-3</v>
      </c>
      <c r="F24" s="4">
        <v>1.471378537156625E-2</v>
      </c>
      <c r="G24" s="4">
        <v>0.29280527074985829</v>
      </c>
      <c r="H24" s="4">
        <v>1.6483120001577669E-2</v>
      </c>
    </row>
    <row r="25" spans="1:8" x14ac:dyDescent="0.25">
      <c r="A25" s="2">
        <v>1</v>
      </c>
      <c r="B25" s="3">
        <v>465105.39128799998</v>
      </c>
      <c r="C25" s="4">
        <v>8.318958030873104E-3</v>
      </c>
      <c r="D25" s="4">
        <v>1.139189873536058E-3</v>
      </c>
      <c r="E25" s="4">
        <v>1.2992350698820419E-3</v>
      </c>
      <c r="F25" s="4">
        <v>1.9456929394548589E-3</v>
      </c>
      <c r="G25" s="4">
        <v>0.46446498304548528</v>
      </c>
      <c r="H25" s="4">
        <v>8.1648186895654576E-2</v>
      </c>
    </row>
    <row r="26" spans="1:8" x14ac:dyDescent="0.25">
      <c r="A26" s="2">
        <v>2</v>
      </c>
      <c r="B26" s="3">
        <v>832767.74649999954</v>
      </c>
      <c r="C26" s="4">
        <v>9.7581972572011264E-3</v>
      </c>
      <c r="D26" s="4">
        <v>1.6796315391662521E-2</v>
      </c>
      <c r="E26" s="4">
        <v>1.080713173129217E-3</v>
      </c>
      <c r="F26" s="4">
        <v>3.9609928748257023E-3</v>
      </c>
      <c r="G26" s="4">
        <v>0.44236858133273349</v>
      </c>
      <c r="H26" s="4">
        <v>1.694340124761648E-2</v>
      </c>
    </row>
    <row r="27" spans="1:8" x14ac:dyDescent="0.25">
      <c r="A27" s="2">
        <v>3</v>
      </c>
      <c r="B27" s="3">
        <v>534704.70899999992</v>
      </c>
      <c r="C27" s="4">
        <v>9.2410107924734437E-3</v>
      </c>
      <c r="D27" s="4">
        <v>1.9032130987224069E-3</v>
      </c>
      <c r="E27" s="4">
        <v>1.06924458979659E-3</v>
      </c>
      <c r="F27" s="4">
        <v>3.2824963376525242E-3</v>
      </c>
      <c r="G27" s="4">
        <v>0.52010573060112952</v>
      </c>
      <c r="H27" s="4">
        <v>1.3864032982699989E-2</v>
      </c>
    </row>
  </sheetData>
  <conditionalFormatting sqref="B2:B9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9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:D9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9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9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9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9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4:B27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4:C27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:D2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4:E2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4:F27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4:G2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4:H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2026-05-05T07:00:52Z</dcterms:created>
  <dcterms:modified xsi:type="dcterms:W3CDTF">2026-05-05T07:13:48Z</dcterms:modified>
</cp:coreProperties>
</file>