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0" i="1" l="1"/>
  <c r="D20" i="1"/>
  <c r="C20" i="1"/>
  <c r="E18" i="1"/>
  <c r="D18" i="1"/>
  <c r="C18" i="1"/>
  <c r="E16" i="1"/>
  <c r="D16" i="1"/>
  <c r="C16" i="1"/>
  <c r="D14" i="1"/>
  <c r="E14" i="1"/>
  <c r="C14" i="1"/>
  <c r="B20" i="1" l="1"/>
  <c r="B18" i="1"/>
  <c r="B16" i="1"/>
  <c r="B14" i="1"/>
</calcChain>
</file>

<file path=xl/sharedStrings.xml><?xml version="1.0" encoding="utf-8"?>
<sst xmlns="http://schemas.openxmlformats.org/spreadsheetml/2006/main" count="15" uniqueCount="9">
  <si>
    <t>clust</t>
  </si>
  <si>
    <t>VDS_r</t>
  </si>
  <si>
    <t>ITcosts_r</t>
  </si>
  <si>
    <t>skvozcosts_r</t>
  </si>
  <si>
    <t>trainingcosts_r</t>
  </si>
  <si>
    <t>factoriescap_s</t>
  </si>
  <si>
    <t>ITcosts_s</t>
  </si>
  <si>
    <t>skvozcosts_s</t>
  </si>
  <si>
    <t>trainingcosts_s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</si>
</sst>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9" fontId="0" fillId="2" borderId="0" xfId="1" applyFont="1" applyFill="1" applyAlignment="1">
      <alignment horizontal="center"/>
    </xf>
    <xf numFmtId="9" fontId="0" fillId="0" borderId="0" xfId="1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428625</xdr:colOff>
      <xdr:row>0</xdr:row>
      <xdr:rowOff>95251</xdr:rowOff>
    </xdr:from>
    <xdr:to>
      <xdr:col>14</xdr:col>
      <xdr:colOff>0</xdr:colOff>
      <xdr:row>19</xdr:row>
      <xdr:rowOff>62065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95251"/>
          <a:ext cx="5057775" cy="3586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Q13" sqref="Q13"/>
    </sheetView>
  </sheetViews>
  <sheetFormatPr defaultRowHeight="15" x14ac:dyDescent="0.25"/>
  <cols>
    <col min="2" max="2" width="18.5703125" customWidth="1"/>
    <col min="3" max="3" width="15.42578125" customWidth="1"/>
    <col min="4" max="5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363044.3219740924</v>
      </c>
      <c r="C2" s="3">
        <v>8.3679422381959957E-3</v>
      </c>
      <c r="D2" s="3">
        <v>2.510803475501676E-3</v>
      </c>
      <c r="E2" s="3">
        <v>2.6596851200240811E-3</v>
      </c>
    </row>
    <row r="3" spans="1:5" x14ac:dyDescent="0.25">
      <c r="A3" s="2">
        <v>0</v>
      </c>
      <c r="B3" s="2">
        <v>2047463.62951926</v>
      </c>
      <c r="C3" s="3">
        <v>9.7310330272499697E-3</v>
      </c>
      <c r="D3" s="3">
        <v>5.6956847044699567E-3</v>
      </c>
      <c r="E3" s="3">
        <v>2.948409509548138E-3</v>
      </c>
    </row>
    <row r="4" spans="1:5" x14ac:dyDescent="0.25">
      <c r="A4" s="2">
        <v>1</v>
      </c>
      <c r="B4" s="2">
        <v>248270.64596389761</v>
      </c>
      <c r="C4" s="3">
        <v>8.8168893747605937E-3</v>
      </c>
      <c r="D4" s="3">
        <v>2.0420158061401671E-3</v>
      </c>
      <c r="E4" s="3">
        <v>9.9582400452452873E-4</v>
      </c>
    </row>
    <row r="5" spans="1:5" x14ac:dyDescent="0.25">
      <c r="A5" s="2">
        <v>1</v>
      </c>
      <c r="B5" s="2">
        <v>1193678.207982857</v>
      </c>
      <c r="C5" s="3">
        <v>8.9639544409365005E-3</v>
      </c>
      <c r="D5" s="3">
        <v>2.648572447488519E-3</v>
      </c>
      <c r="E5" s="3">
        <v>9.9560206641020215E-4</v>
      </c>
    </row>
    <row r="6" spans="1:5" x14ac:dyDescent="0.25">
      <c r="A6" s="2">
        <v>2</v>
      </c>
      <c r="B6" s="2">
        <v>541783.99435254978</v>
      </c>
      <c r="C6" s="3">
        <v>1.0934291121304189E-2</v>
      </c>
      <c r="D6" s="3">
        <v>1.9442048226686551E-2</v>
      </c>
      <c r="E6" s="3">
        <v>1.1328846363736591E-3</v>
      </c>
    </row>
    <row r="7" spans="1:5" x14ac:dyDescent="0.25">
      <c r="A7" s="2">
        <v>2</v>
      </c>
      <c r="B7" s="2">
        <v>2417765.9401015001</v>
      </c>
      <c r="C7" s="3">
        <v>1.1019753519646319E-2</v>
      </c>
      <c r="D7" s="3">
        <v>1.6469442933370281E-2</v>
      </c>
      <c r="E7" s="3">
        <v>1.1721544554634221E-3</v>
      </c>
    </row>
    <row r="8" spans="1:5" x14ac:dyDescent="0.25">
      <c r="A8" s="2">
        <v>3</v>
      </c>
      <c r="B8" s="2">
        <v>338593.67244099959</v>
      </c>
      <c r="C8" s="3">
        <v>1.677847223829957E-2</v>
      </c>
      <c r="D8" s="3">
        <v>1.8285203210518779E-3</v>
      </c>
      <c r="E8" s="3">
        <v>1.101721162938486E-3</v>
      </c>
    </row>
    <row r="9" spans="1:5" x14ac:dyDescent="0.25">
      <c r="A9" s="2">
        <v>3</v>
      </c>
      <c r="B9" s="2">
        <v>1654569.151528846</v>
      </c>
      <c r="C9" s="3">
        <v>1.7719224831733701E-2</v>
      </c>
      <c r="D9" s="3">
        <v>3.21357326079385E-3</v>
      </c>
      <c r="E9" s="3">
        <v>1.234304028225673E-3</v>
      </c>
    </row>
    <row r="12" spans="1:5" x14ac:dyDescent="0.25">
      <c r="A12" s="4" t="s">
        <v>0</v>
      </c>
      <c r="B12" s="4" t="s">
        <v>5</v>
      </c>
      <c r="C12" s="4" t="s">
        <v>6</v>
      </c>
      <c r="D12" s="4" t="s">
        <v>7</v>
      </c>
      <c r="E12" s="4" t="s">
        <v>8</v>
      </c>
    </row>
    <row r="13" spans="1:5" x14ac:dyDescent="0.25">
      <c r="A13" s="2">
        <v>0</v>
      </c>
    </row>
    <row r="14" spans="1:5" x14ac:dyDescent="0.25">
      <c r="A14" s="2">
        <v>0</v>
      </c>
      <c r="B14" s="5">
        <f>B3/B2</f>
        <v>5.6397070704369021</v>
      </c>
      <c r="C14" s="7">
        <f>(C3/C2)-1</f>
        <v>0.16289438314142046</v>
      </c>
      <c r="D14" s="7">
        <f t="shared" ref="D14:E20" si="0">(D3/D2)-1</f>
        <v>1.2684709337244802</v>
      </c>
      <c r="E14" s="7">
        <f t="shared" si="0"/>
        <v>0.10855585398073098</v>
      </c>
    </row>
    <row r="15" spans="1:5" x14ac:dyDescent="0.25">
      <c r="A15" s="2">
        <v>1</v>
      </c>
      <c r="B15" s="6"/>
      <c r="C15" s="5"/>
      <c r="D15" s="5"/>
      <c r="E15" s="5"/>
    </row>
    <row r="16" spans="1:5" x14ac:dyDescent="0.25">
      <c r="A16" s="2">
        <v>1</v>
      </c>
      <c r="B16" s="6">
        <f>B5/B4</f>
        <v>4.8079715721061778</v>
      </c>
      <c r="C16" s="7">
        <f>(C5/C4)-1</f>
        <v>1.6679926437196624E-2</v>
      </c>
      <c r="D16" s="7">
        <f t="shared" si="0"/>
        <v>0.2970381715579713</v>
      </c>
      <c r="E16" s="8">
        <f t="shared" si="0"/>
        <v>-2.2286881348332344E-4</v>
      </c>
    </row>
    <row r="17" spans="1:5" x14ac:dyDescent="0.25">
      <c r="A17" s="2">
        <v>2</v>
      </c>
      <c r="B17" s="6"/>
      <c r="C17" s="5"/>
      <c r="D17" s="5"/>
      <c r="E17" s="5"/>
    </row>
    <row r="18" spans="1:5" x14ac:dyDescent="0.25">
      <c r="A18" s="2">
        <v>2</v>
      </c>
      <c r="B18" s="6">
        <f>B7/B6</f>
        <v>4.4626012678554901</v>
      </c>
      <c r="C18" s="7">
        <f>(C7/C6)-1</f>
        <v>7.8159980737677603E-3</v>
      </c>
      <c r="D18" s="8">
        <f t="shared" si="0"/>
        <v>-0.15289568561176659</v>
      </c>
      <c r="E18" s="7">
        <f t="shared" si="0"/>
        <v>3.4663563993121871E-2</v>
      </c>
    </row>
    <row r="19" spans="1:5" x14ac:dyDescent="0.25">
      <c r="A19" s="2">
        <v>3</v>
      </c>
      <c r="B19" s="6"/>
      <c r="C19" s="5"/>
      <c r="D19" s="5"/>
      <c r="E19" s="5"/>
    </row>
    <row r="20" spans="1:5" x14ac:dyDescent="0.25">
      <c r="A20" s="2">
        <v>3</v>
      </c>
      <c r="B20" s="6">
        <f>B9/B8</f>
        <v>4.8865920606273496</v>
      </c>
      <c r="C20" s="7">
        <f>(C9/C8)-1</f>
        <v>5.606902583697182E-2</v>
      </c>
      <c r="D20" s="7">
        <f t="shared" si="0"/>
        <v>0.75747199732798376</v>
      </c>
      <c r="E20" s="7">
        <f t="shared" si="0"/>
        <v>0.12034157983637606</v>
      </c>
    </row>
    <row r="23" spans="1:5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</row>
    <row r="24" spans="1:5" x14ac:dyDescent="0.25">
      <c r="A24" s="2">
        <v>0</v>
      </c>
      <c r="B24" s="2">
        <v>804373.26792000001</v>
      </c>
      <c r="C24" s="3">
        <v>8.5870883460142065E-3</v>
      </c>
      <c r="D24" s="3">
        <v>1.8760690100399189E-3</v>
      </c>
      <c r="E24" s="3">
        <v>2.6222462004715759E-3</v>
      </c>
    </row>
    <row r="25" spans="1:5" x14ac:dyDescent="0.25">
      <c r="A25" s="2">
        <v>1</v>
      </c>
      <c r="B25" s="2">
        <v>465105.39128799981</v>
      </c>
      <c r="C25" s="3">
        <v>9.0647688083174416E-3</v>
      </c>
      <c r="D25" s="3">
        <v>1.581726502193521E-3</v>
      </c>
      <c r="E25" s="3">
        <v>9.5900191377542524E-4</v>
      </c>
    </row>
    <row r="26" spans="1:5" x14ac:dyDescent="0.25">
      <c r="A26" s="2">
        <v>2</v>
      </c>
      <c r="B26" s="2">
        <v>860351.52500000002</v>
      </c>
      <c r="C26" s="3">
        <v>1.0564859459476231E-2</v>
      </c>
      <c r="D26" s="3">
        <v>1.7320082905716429E-2</v>
      </c>
      <c r="E26" s="3">
        <v>1.0836592845034549E-3</v>
      </c>
    </row>
    <row r="27" spans="1:5" x14ac:dyDescent="0.25">
      <c r="A27" s="2">
        <v>3</v>
      </c>
      <c r="B27" s="2">
        <v>528837.86819999991</v>
      </c>
      <c r="C27" s="3">
        <v>1.5207134759909331E-2</v>
      </c>
      <c r="D27" s="3">
        <v>1.451843756271049E-3</v>
      </c>
      <c r="E27" s="3">
        <v>1.1194066607734189E-3</v>
      </c>
    </row>
  </sheetData>
  <conditionalFormatting sqref="B2:B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B2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C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D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4:E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2026-05-04T13:25:09Z</dcterms:created>
  <dcterms:modified xsi:type="dcterms:W3CDTF">2026-05-04T13:32:02Z</dcterms:modified>
</cp:coreProperties>
</file>