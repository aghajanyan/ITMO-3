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F14" i="1" l="1"/>
  <c r="F15" i="1"/>
  <c r="F16" i="1"/>
  <c r="F13" i="1"/>
  <c r="F12" i="1"/>
  <c r="C12" i="1"/>
  <c r="D12" i="1"/>
  <c r="E12" i="1"/>
  <c r="C13" i="1"/>
  <c r="D13" i="1"/>
  <c r="E13" i="1"/>
  <c r="C14" i="1"/>
  <c r="D14" i="1"/>
  <c r="E14" i="1"/>
  <c r="C15" i="1"/>
  <c r="D15" i="1"/>
  <c r="E15" i="1"/>
  <c r="C16" i="1"/>
  <c r="D16" i="1"/>
  <c r="E16" i="1"/>
  <c r="D11" i="1"/>
  <c r="E11" i="1"/>
  <c r="C11" i="1"/>
</calcChain>
</file>

<file path=xl/sharedStrings.xml><?xml version="1.0" encoding="utf-8"?>
<sst xmlns="http://schemas.openxmlformats.org/spreadsheetml/2006/main" count="11" uniqueCount="6">
  <si>
    <t>clust</t>
  </si>
  <si>
    <t>factoriescap_s</t>
  </si>
  <si>
    <t>ITcosts_s</t>
  </si>
  <si>
    <t>skvozcosts_s</t>
  </si>
  <si>
    <t>trainingcosts_s</t>
  </si>
  <si>
    <t>rise of AIcosts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</si>
</sst>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5" formatCode="0.000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165" fontId="0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0" xfId="0" applyFont="1" applyBorder="1" applyAlignment="1">
      <alignment horizontal="center" vertical="top"/>
    </xf>
    <xf numFmtId="0" fontId="3" fillId="0" borderId="0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3" fillId="0" borderId="3" xfId="0" applyFont="1" applyFill="1" applyBorder="1" applyAlignment="1">
      <alignment horizontal="center" vertical="top"/>
    </xf>
    <xf numFmtId="0" fontId="0" fillId="0" borderId="0" xfId="0" applyBorder="1" applyAlignment="1">
      <alignment horizontal="center"/>
    </xf>
    <xf numFmtId="2" fontId="0" fillId="0" borderId="0" xfId="0" applyNumberFormat="1" applyBorder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tabSelected="1" workbookViewId="0">
      <selection activeCell="B17" sqref="B17"/>
    </sheetView>
  </sheetViews>
  <sheetFormatPr defaultRowHeight="15" x14ac:dyDescent="0.25"/>
  <cols>
    <col min="2" max="2" width="16.5703125" customWidth="1"/>
    <col min="3" max="3" width="14.140625" customWidth="1"/>
    <col min="4" max="4" width="17.5703125" customWidth="1"/>
    <col min="5" max="5" width="18.5703125" customWidth="1"/>
    <col min="6" max="6" width="17.7109375" customWidth="1"/>
    <col min="7" max="7" width="20.85546875" customWidth="1"/>
  </cols>
  <sheetData>
    <row r="1" spans="1:7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7" x14ac:dyDescent="0.25">
      <c r="A2" s="1">
        <v>0</v>
      </c>
      <c r="B2" s="1">
        <v>1442987.999999997</v>
      </c>
      <c r="C2" s="1">
        <v>3112.2688067099948</v>
      </c>
      <c r="D2" s="1">
        <v>6.8422902599994684</v>
      </c>
      <c r="E2" s="1">
        <v>4.6298749999996849</v>
      </c>
    </row>
    <row r="3" spans="1:7" x14ac:dyDescent="0.25">
      <c r="A3" s="1">
        <v>1</v>
      </c>
      <c r="B3" s="1">
        <v>62978040</v>
      </c>
      <c r="C3" s="1">
        <v>220411.94692799999</v>
      </c>
      <c r="D3" s="1">
        <v>1131.9292105</v>
      </c>
      <c r="E3" s="1">
        <v>768.4297439999998</v>
      </c>
    </row>
    <row r="4" spans="1:7" x14ac:dyDescent="0.25">
      <c r="A4" s="1">
        <v>2</v>
      </c>
      <c r="B4" s="1">
        <v>12161153.999999991</v>
      </c>
      <c r="C4" s="1">
        <v>35568.661953510004</v>
      </c>
      <c r="D4" s="1">
        <v>592.13074661999974</v>
      </c>
      <c r="E4" s="1">
        <v>6413.5022275799993</v>
      </c>
    </row>
    <row r="5" spans="1:7" x14ac:dyDescent="0.25">
      <c r="A5" s="1">
        <v>3</v>
      </c>
      <c r="B5" s="1">
        <v>13858386.5</v>
      </c>
      <c r="C5" s="1">
        <v>33565.597076099992</v>
      </c>
      <c r="D5" s="1">
        <v>5021.2710237600004</v>
      </c>
      <c r="E5" s="1">
        <v>9.3762416399997388</v>
      </c>
    </row>
    <row r="6" spans="1:7" x14ac:dyDescent="0.25">
      <c r="A6" s="1">
        <v>4</v>
      </c>
      <c r="B6" s="1">
        <v>7506179.9999999925</v>
      </c>
      <c r="C6" s="1">
        <v>40418.43084098</v>
      </c>
      <c r="D6" s="1">
        <v>416.43954095999987</v>
      </c>
      <c r="E6" s="1">
        <v>47.533365919999788</v>
      </c>
    </row>
    <row r="7" spans="1:7" x14ac:dyDescent="0.25">
      <c r="A7" s="1">
        <v>5</v>
      </c>
      <c r="B7" s="1">
        <v>70685379.5</v>
      </c>
      <c r="C7" s="1">
        <v>235399.88781864001</v>
      </c>
      <c r="D7" s="1">
        <v>6773.9100607100017</v>
      </c>
      <c r="E7" s="1">
        <v>633.6145569399996</v>
      </c>
    </row>
    <row r="9" spans="1:7" ht="15.75" thickBot="1" x14ac:dyDescent="0.3"/>
    <row r="10" spans="1:7" ht="15.75" thickBot="1" x14ac:dyDescent="0.3">
      <c r="A10" s="6" t="s">
        <v>0</v>
      </c>
      <c r="B10" s="7" t="s">
        <v>1</v>
      </c>
      <c r="C10" s="7" t="s">
        <v>2</v>
      </c>
      <c r="D10" s="7" t="s">
        <v>3</v>
      </c>
      <c r="E10" s="7" t="s">
        <v>4</v>
      </c>
      <c r="F10" s="8" t="s">
        <v>5</v>
      </c>
      <c r="G10" s="5"/>
    </row>
    <row r="11" spans="1:7" x14ac:dyDescent="0.25">
      <c r="A11" s="1">
        <v>0</v>
      </c>
      <c r="B11" s="1">
        <v>1442987.999999997</v>
      </c>
      <c r="C11" s="2">
        <f>C2/$B2</f>
        <v>2.1568223760072857E-3</v>
      </c>
      <c r="D11" s="2">
        <f t="shared" ref="D11:E11" si="0">D2/$B2</f>
        <v>4.7417513243349788E-6</v>
      </c>
      <c r="E11" s="2">
        <f t="shared" si="0"/>
        <v>3.2085332656956916E-6</v>
      </c>
      <c r="F11" s="1">
        <v>0</v>
      </c>
      <c r="G11" s="9"/>
    </row>
    <row r="12" spans="1:7" x14ac:dyDescent="0.25">
      <c r="A12" s="1">
        <v>1</v>
      </c>
      <c r="B12" s="1">
        <v>62978040</v>
      </c>
      <c r="C12" s="2">
        <f t="shared" ref="C12:E12" si="1">C3/$B3</f>
        <v>3.4998222702389593E-3</v>
      </c>
      <c r="D12" s="2">
        <f t="shared" si="1"/>
        <v>1.7973395337485891E-5</v>
      </c>
      <c r="E12" s="2">
        <f t="shared" si="1"/>
        <v>1.2201550635745408E-5</v>
      </c>
      <c r="F12" s="3">
        <f>D12/D$11</f>
        <v>3.7904550677816542</v>
      </c>
      <c r="G12" s="10"/>
    </row>
    <row r="13" spans="1:7" x14ac:dyDescent="0.25">
      <c r="A13" s="1">
        <v>2</v>
      </c>
      <c r="B13" s="1">
        <v>12161153.999999991</v>
      </c>
      <c r="C13" s="2">
        <f t="shared" ref="C13:E13" si="2">C4/$B4</f>
        <v>2.9247768717927617E-3</v>
      </c>
      <c r="D13" s="2">
        <f t="shared" si="2"/>
        <v>4.8690341937944393E-5</v>
      </c>
      <c r="E13" s="2">
        <f t="shared" si="2"/>
        <v>5.273761213434189E-4</v>
      </c>
      <c r="F13" s="3">
        <f>D13/D$11</f>
        <v>10.268430081531768</v>
      </c>
      <c r="G13" s="10"/>
    </row>
    <row r="14" spans="1:7" x14ac:dyDescent="0.25">
      <c r="A14" s="1">
        <v>3</v>
      </c>
      <c r="B14" s="1">
        <v>13858386.5</v>
      </c>
      <c r="C14" s="2">
        <f t="shared" ref="C14:E14" si="3">C5/$B5</f>
        <v>2.4220422107653003E-3</v>
      </c>
      <c r="D14" s="2">
        <f t="shared" si="3"/>
        <v>3.6232724666468208E-4</v>
      </c>
      <c r="E14" s="2">
        <f t="shared" si="3"/>
        <v>6.7657527375208785E-7</v>
      </c>
      <c r="F14" s="3">
        <f t="shared" ref="F14:F16" si="4">D14/D$11</f>
        <v>76.412114824578609</v>
      </c>
      <c r="G14" s="10"/>
    </row>
    <row r="15" spans="1:7" x14ac:dyDescent="0.25">
      <c r="A15" s="1">
        <v>4</v>
      </c>
      <c r="B15" s="1">
        <v>7506179.9999999925</v>
      </c>
      <c r="C15" s="2">
        <f t="shared" ref="C15:E15" si="5">C6/$B6</f>
        <v>5.3846871299356048E-3</v>
      </c>
      <c r="D15" s="2">
        <f t="shared" si="5"/>
        <v>5.5479556973054241E-5</v>
      </c>
      <c r="E15" s="2">
        <f t="shared" si="5"/>
        <v>6.3325640898566025E-6</v>
      </c>
      <c r="F15" s="3">
        <f t="shared" si="4"/>
        <v>11.700224912329231</v>
      </c>
      <c r="G15" s="10"/>
    </row>
    <row r="16" spans="1:7" x14ac:dyDescent="0.25">
      <c r="A16" s="1">
        <v>5</v>
      </c>
      <c r="B16" s="1">
        <v>70685379.5</v>
      </c>
      <c r="C16" s="2">
        <f t="shared" ref="C16:E16" si="6">C7/$B7</f>
        <v>3.3302486240261329E-3</v>
      </c>
      <c r="D16" s="2">
        <f t="shared" si="6"/>
        <v>9.5831841161862926E-5</v>
      </c>
      <c r="E16" s="2">
        <f t="shared" si="6"/>
        <v>8.9638700594371086E-6</v>
      </c>
      <c r="F16" s="3">
        <f t="shared" si="4"/>
        <v>20.210220782782859</v>
      </c>
      <c r="G16" s="10"/>
    </row>
  </sheetData>
  <conditionalFormatting sqref="B2:B7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7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7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1:B1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1:C1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1:D1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1:E1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2026-04-09T08:38:56Z</dcterms:created>
  <dcterms:modified xsi:type="dcterms:W3CDTF">2026-04-09T08:51:39Z</dcterms:modified>
</cp:coreProperties>
</file>