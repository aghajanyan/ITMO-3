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20" i="1" l="1"/>
  <c r="D20" i="1"/>
  <c r="C20" i="1"/>
  <c r="B20" i="1"/>
  <c r="E18" i="1"/>
  <c r="D18" i="1"/>
  <c r="C18" i="1"/>
  <c r="B18" i="1"/>
  <c r="E16" i="1"/>
  <c r="D16" i="1"/>
  <c r="C16" i="1"/>
  <c r="B16" i="1"/>
  <c r="B14" i="1"/>
  <c r="C14" i="1"/>
  <c r="D14" i="1"/>
  <c r="E14" i="1"/>
</calcChain>
</file>

<file path=xl/sharedStrings.xml><?xml version="1.0" encoding="utf-8"?>
<sst xmlns="http://schemas.openxmlformats.org/spreadsheetml/2006/main" count="27" uniqueCount="14">
  <si>
    <t>clust</t>
  </si>
  <si>
    <t>factoriescap_s</t>
  </si>
  <si>
    <t>ITusage_s</t>
  </si>
  <si>
    <t>AIusage_s</t>
  </si>
  <si>
    <t>BDusage_s</t>
  </si>
  <si>
    <t>0 (lower)</t>
  </si>
  <si>
    <t>0 (upper)</t>
  </si>
  <si>
    <t>1 (lower)</t>
  </si>
  <si>
    <t>1 (upper)</t>
  </si>
  <si>
    <t>2 (lower)</t>
  </si>
  <si>
    <t>2 (upper)</t>
  </si>
  <si>
    <t>3 (lower)</t>
  </si>
  <si>
    <t>3 (upper)</t>
  </si>
  <si>
    <t>Во сколько раз субкластер из верхней половины factoriescap_s превосходит показатель нижнего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</si>
</sst>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#,##0.00_ ;\-#,##0.00\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C24" sqref="C24"/>
    </sheetView>
  </sheetViews>
  <sheetFormatPr defaultRowHeight="15" x14ac:dyDescent="0.25"/>
  <cols>
    <col min="1" max="1" width="23.5703125" customWidth="1"/>
    <col min="2" max="2" width="13.85546875" customWidth="1"/>
    <col min="3" max="3" width="13.140625" customWidth="1"/>
    <col min="4" max="4" width="16.42578125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162222.14980632681</v>
      </c>
      <c r="C2" s="3">
        <v>91.810126582277647</v>
      </c>
      <c r="D2" s="3">
        <v>3.4620253164556551</v>
      </c>
      <c r="E2" s="3">
        <v>16.006451612902971</v>
      </c>
    </row>
    <row r="3" spans="1:5" x14ac:dyDescent="0.25">
      <c r="A3" s="2" t="s">
        <v>6</v>
      </c>
      <c r="B3" s="3">
        <v>1858703.4931658199</v>
      </c>
      <c r="C3" s="3">
        <v>487.32484076433047</v>
      </c>
      <c r="D3" s="3">
        <v>21.027027027026989</v>
      </c>
      <c r="E3" s="3">
        <v>104.51265822784779</v>
      </c>
    </row>
    <row r="4" spans="1:5" x14ac:dyDescent="0.25">
      <c r="A4" s="2" t="s">
        <v>7</v>
      </c>
      <c r="B4" s="3">
        <v>41915318.880000003</v>
      </c>
      <c r="C4" s="3">
        <v>16109</v>
      </c>
      <c r="D4" s="3">
        <v>711</v>
      </c>
      <c r="E4" s="3">
        <v>2038</v>
      </c>
    </row>
    <row r="5" spans="1:5" x14ac:dyDescent="0.25">
      <c r="A5" s="2" t="s">
        <v>8</v>
      </c>
      <c r="B5" s="3">
        <v>48404921.544</v>
      </c>
      <c r="C5" s="3">
        <v>18309</v>
      </c>
      <c r="D5" s="3">
        <v>733</v>
      </c>
      <c r="E5" s="3">
        <v>5648</v>
      </c>
    </row>
    <row r="6" spans="1:5" x14ac:dyDescent="0.25">
      <c r="A6" s="2" t="s">
        <v>9</v>
      </c>
      <c r="B6" s="3">
        <v>954898.9748499979</v>
      </c>
      <c r="C6" s="3">
        <v>1544.8333333333319</v>
      </c>
      <c r="D6" s="3">
        <v>62.363636363636317</v>
      </c>
      <c r="E6" s="3">
        <v>253.4999999999998</v>
      </c>
    </row>
    <row r="7" spans="1:5" x14ac:dyDescent="0.25">
      <c r="A7" s="2" t="s">
        <v>10</v>
      </c>
      <c r="B7" s="3">
        <v>7198159.0065833302</v>
      </c>
      <c r="C7" s="3">
        <v>2637.4166666666661</v>
      </c>
      <c r="D7" s="3">
        <v>119.8181818181818</v>
      </c>
      <c r="E7" s="3">
        <v>610.99999999999989</v>
      </c>
    </row>
    <row r="8" spans="1:5" x14ac:dyDescent="0.25">
      <c r="A8" s="2" t="s">
        <v>11</v>
      </c>
      <c r="B8" s="3">
        <v>3923067.3599999961</v>
      </c>
      <c r="C8" s="3">
        <v>4375.9999999999982</v>
      </c>
      <c r="D8" s="3">
        <v>216</v>
      </c>
      <c r="E8" s="3">
        <v>397.9999999999996</v>
      </c>
    </row>
    <row r="9" spans="1:5" x14ac:dyDescent="0.25">
      <c r="A9" s="2" t="s">
        <v>12</v>
      </c>
      <c r="B9" s="3">
        <v>4953805.3151999982</v>
      </c>
      <c r="C9" s="3">
        <v>5002</v>
      </c>
      <c r="D9" s="3">
        <v>242</v>
      </c>
      <c r="E9" s="3">
        <v>1448</v>
      </c>
    </row>
    <row r="11" spans="1:5" x14ac:dyDescent="0.25">
      <c r="C11" s="2" t="s">
        <v>13</v>
      </c>
    </row>
    <row r="12" spans="1:5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</row>
    <row r="13" spans="1:5" x14ac:dyDescent="0.25">
      <c r="A13" s="2" t="s">
        <v>5</v>
      </c>
      <c r="B13" s="2">
        <v>0</v>
      </c>
      <c r="C13" s="2">
        <v>0</v>
      </c>
      <c r="D13" s="2">
        <v>0</v>
      </c>
      <c r="E13" s="2">
        <v>0</v>
      </c>
    </row>
    <row r="14" spans="1:5" x14ac:dyDescent="0.25">
      <c r="A14" s="2" t="s">
        <v>6</v>
      </c>
      <c r="B14" s="4">
        <f>B3/B2</f>
        <v>11.457766373980878</v>
      </c>
      <c r="C14" s="4">
        <f t="shared" ref="C14:E14" si="0">C3/C2</f>
        <v>5.3079639349762111</v>
      </c>
      <c r="D14" s="4">
        <f t="shared" si="0"/>
        <v>6.0736202381541204</v>
      </c>
      <c r="E14" s="4">
        <f t="shared" si="0"/>
        <v>6.5294083133078056</v>
      </c>
    </row>
    <row r="15" spans="1:5" x14ac:dyDescent="0.25">
      <c r="A15" s="2" t="s">
        <v>7</v>
      </c>
      <c r="B15" s="2">
        <v>0</v>
      </c>
      <c r="C15" s="2">
        <v>0</v>
      </c>
      <c r="D15" s="2">
        <v>0</v>
      </c>
      <c r="E15" s="2">
        <v>0</v>
      </c>
    </row>
    <row r="16" spans="1:5" x14ac:dyDescent="0.25">
      <c r="A16" s="2" t="s">
        <v>8</v>
      </c>
      <c r="B16" s="4">
        <f>B5/B4</f>
        <v>1.1548265130125619</v>
      </c>
      <c r="C16" s="4">
        <f t="shared" ref="C16:E16" si="1">C5/C4</f>
        <v>1.1365696194673784</v>
      </c>
      <c r="D16" s="4">
        <f t="shared" si="1"/>
        <v>1.030942334739803</v>
      </c>
      <c r="E16" s="4">
        <f t="shared" si="1"/>
        <v>2.7713444553483808</v>
      </c>
    </row>
    <row r="17" spans="1:5" x14ac:dyDescent="0.25">
      <c r="A17" s="2" t="s">
        <v>9</v>
      </c>
      <c r="B17" s="2">
        <v>0</v>
      </c>
      <c r="C17" s="2">
        <v>0</v>
      </c>
      <c r="D17" s="2">
        <v>0</v>
      </c>
      <c r="E17" s="2">
        <v>0</v>
      </c>
    </row>
    <row r="18" spans="1:5" x14ac:dyDescent="0.25">
      <c r="A18" s="2" t="s">
        <v>10</v>
      </c>
      <c r="B18" s="4">
        <f>B7/B6</f>
        <v>7.5381366994493488</v>
      </c>
      <c r="C18" s="4">
        <f t="shared" ref="C18:E18" si="2">C7/C6</f>
        <v>1.7072499730283754</v>
      </c>
      <c r="D18" s="4">
        <f t="shared" si="2"/>
        <v>1.9212827988338204</v>
      </c>
      <c r="E18" s="4">
        <f t="shared" si="2"/>
        <v>2.4102564102564119</v>
      </c>
    </row>
    <row r="19" spans="1:5" x14ac:dyDescent="0.25">
      <c r="A19" s="2" t="s">
        <v>11</v>
      </c>
      <c r="B19" s="2">
        <v>0</v>
      </c>
      <c r="C19" s="2">
        <v>0</v>
      </c>
      <c r="D19" s="2">
        <v>0</v>
      </c>
      <c r="E19" s="2">
        <v>0</v>
      </c>
    </row>
    <row r="20" spans="1:5" x14ac:dyDescent="0.25">
      <c r="A20" s="2" t="s">
        <v>12</v>
      </c>
      <c r="B20" s="4">
        <f>B9/B8</f>
        <v>1.2627377662972381</v>
      </c>
      <c r="C20" s="4">
        <f t="shared" ref="C20:E20" si="3">C9/C8</f>
        <v>1.1430530164533825</v>
      </c>
      <c r="D20" s="4">
        <f t="shared" si="3"/>
        <v>1.1203703703703705</v>
      </c>
      <c r="E20" s="4">
        <f t="shared" si="3"/>
        <v>3.6381909547738731</v>
      </c>
    </row>
  </sheetData>
  <conditionalFormatting sqref="B2:B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2026-04-10T10:39:03Z</dcterms:created>
  <dcterms:modified xsi:type="dcterms:W3CDTF">2026-04-10T10:43:12Z</dcterms:modified>
</cp:coreProperties>
</file>