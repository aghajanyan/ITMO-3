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datasets\"/>
    </mc:Choice>
  </mc:AlternateContent>
  <bookViews>
    <workbookView xWindow="0" yWindow="0" windowWidth="28800" windowHeight="12885" activeTab="8"/>
  </bookViews>
  <sheets>
    <sheet name="All sectors" sheetId="1" r:id="rId1"/>
    <sheet name="IT" sheetId="3" r:id="rId2"/>
    <sheet name="Добыча" sheetId="2" r:id="rId3"/>
    <sheet name="Промышленность" sheetId="6" r:id="rId4"/>
    <sheet name="Недвижимость" sheetId="7" r:id="rId5"/>
    <sheet name="Наука" sheetId="8" r:id="rId6"/>
    <sheet name="Сельхоз" sheetId="9" r:id="rId7"/>
    <sheet name="Строительство" sheetId="12" r:id="rId8"/>
    <sheet name="Логистика" sheetId="13" r:id="rId9"/>
    <sheet name="Коммуналка" sheetId="11" r:id="rId10"/>
    <sheet name="Административный" sheetId="5" r:id="rId11"/>
  </sheets>
  <calcPr calcId="162913"/>
</workbook>
</file>

<file path=xl/calcChain.xml><?xml version="1.0" encoding="utf-8"?>
<calcChain xmlns="http://schemas.openxmlformats.org/spreadsheetml/2006/main">
  <c r="F8" i="13" l="1"/>
  <c r="E8" i="13"/>
  <c r="D8" i="13"/>
  <c r="C8" i="13"/>
  <c r="F8" i="12"/>
  <c r="E8" i="12"/>
  <c r="D8" i="12"/>
  <c r="C8" i="12"/>
  <c r="F8" i="11"/>
  <c r="E8" i="11"/>
  <c r="D8" i="11"/>
  <c r="C8" i="11"/>
  <c r="F8" i="9"/>
  <c r="E8" i="9"/>
  <c r="D8" i="9"/>
  <c r="C8" i="9"/>
  <c r="F8" i="8"/>
  <c r="E8" i="8"/>
  <c r="D8" i="8"/>
  <c r="C8" i="8"/>
  <c r="F8" i="7"/>
  <c r="E8" i="7"/>
  <c r="D8" i="7"/>
  <c r="C8" i="7"/>
  <c r="F8" i="6"/>
  <c r="E8" i="6"/>
  <c r="D8" i="6"/>
  <c r="C8" i="6"/>
  <c r="F8" i="5"/>
  <c r="E8" i="5"/>
  <c r="D8" i="5"/>
  <c r="C8" i="5"/>
  <c r="F8" i="3"/>
  <c r="E8" i="3"/>
  <c r="D8" i="3"/>
  <c r="C8" i="3"/>
  <c r="D8" i="2"/>
  <c r="E8" i="2"/>
  <c r="F8" i="2"/>
  <c r="C8" i="2"/>
</calcChain>
</file>

<file path=xl/sharedStrings.xml><?xml version="1.0" encoding="utf-8"?>
<sst xmlns="http://schemas.openxmlformats.org/spreadsheetml/2006/main" count="177" uniqueCount="18">
  <si>
    <t>sector</t>
  </si>
  <si>
    <t>year</t>
  </si>
  <si>
    <t>VDS_s</t>
  </si>
  <si>
    <t>ITusage_s</t>
  </si>
  <si>
    <t>BDusage_s</t>
  </si>
  <si>
    <t>ITcosts_s</t>
  </si>
  <si>
    <t>Горнодобывающая промышленность и разработка карьеров</t>
  </si>
  <si>
    <t>Деятельность в области административного и вспомогательного обслуживания</t>
  </si>
  <si>
    <t>Информация и связь</t>
  </si>
  <si>
    <t>Обрабатывающая промышленность</t>
  </si>
  <si>
    <t>Операции с недвижимым имуществом</t>
  </si>
  <si>
    <t>Профессиональная, научная и техническая деятельность</t>
  </si>
  <si>
    <t>Сельское, лесное и рыбное хозяйство</t>
  </si>
  <si>
    <t>Снабжение электроэнергией, газом, паром, горячей водой и кондиционированным воздухом</t>
  </si>
  <si>
    <t>Строительство</t>
  </si>
  <si>
    <t>Транспорт и складирование</t>
  </si>
  <si>
    <t>Финансовая и страховая деятельность</t>
  </si>
  <si>
    <t>Медиана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</si>
</sst>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opLeftCell="A19" zoomScale="85" zoomScaleNormal="85" workbookViewId="0">
      <selection activeCell="A47" sqref="A47:F51"/>
    </sheetView>
  </sheetViews>
  <sheetFormatPr defaultRowHeight="15" x14ac:dyDescent="0.25"/>
  <cols>
    <col min="1" max="1" width="88.28515625" customWidth="1"/>
    <col min="3" max="3" width="16" customWidth="1"/>
    <col min="4" max="4" width="12.7109375" customWidth="1"/>
    <col min="5" max="5" width="13.5703125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2021</v>
      </c>
      <c r="C2" s="4">
        <v>11886878</v>
      </c>
      <c r="D2" s="2">
        <v>1339</v>
      </c>
      <c r="E2" s="3">
        <v>1.9417475728155342E-2</v>
      </c>
      <c r="F2" s="4">
        <v>67742.100000000006</v>
      </c>
    </row>
    <row r="3" spans="1:6" x14ac:dyDescent="0.25">
      <c r="A3" s="2" t="s">
        <v>6</v>
      </c>
      <c r="B3" s="2">
        <v>2022</v>
      </c>
      <c r="C3" s="4">
        <v>12929253.949999999</v>
      </c>
      <c r="D3" s="2">
        <v>1571</v>
      </c>
      <c r="E3" s="3">
        <v>2.1642266072565249E-2</v>
      </c>
      <c r="F3" s="4">
        <v>70078.505000000005</v>
      </c>
    </row>
    <row r="4" spans="1:6" x14ac:dyDescent="0.25">
      <c r="A4" s="2" t="s">
        <v>6</v>
      </c>
      <c r="B4" s="2">
        <v>2023</v>
      </c>
      <c r="C4" s="4">
        <v>10832458.244999999</v>
      </c>
      <c r="D4" s="2">
        <v>1613</v>
      </c>
      <c r="E4" s="3">
        <v>2.603843769373838E-2</v>
      </c>
      <c r="F4" s="4">
        <v>84612.337500000009</v>
      </c>
    </row>
    <row r="5" spans="1:6" x14ac:dyDescent="0.25">
      <c r="A5" s="2" t="s">
        <v>6</v>
      </c>
      <c r="B5" s="2">
        <v>2024</v>
      </c>
      <c r="C5" s="4">
        <v>10153770.282</v>
      </c>
      <c r="D5" s="2">
        <v>1836</v>
      </c>
      <c r="E5" s="3">
        <v>2.178649237472767E-2</v>
      </c>
      <c r="F5" s="4">
        <v>48542.602199999987</v>
      </c>
    </row>
    <row r="6" spans="1:6" x14ac:dyDescent="0.25">
      <c r="A6" s="2" t="s">
        <v>6</v>
      </c>
      <c r="B6" s="2">
        <v>2025</v>
      </c>
      <c r="C6" s="4">
        <v>9396120.3839999996</v>
      </c>
      <c r="D6" s="2">
        <v>1505</v>
      </c>
      <c r="E6" s="3">
        <v>3.3887043189368769E-2</v>
      </c>
      <c r="F6" s="4">
        <v>44273.930399999997</v>
      </c>
    </row>
    <row r="7" spans="1:6" x14ac:dyDescent="0.25">
      <c r="A7" s="2" t="s">
        <v>7</v>
      </c>
      <c r="B7" s="2">
        <v>2021</v>
      </c>
      <c r="C7" s="4">
        <v>1741828.5</v>
      </c>
      <c r="D7" s="2">
        <v>9633</v>
      </c>
      <c r="E7" s="3">
        <v>5.3981106612685558E-3</v>
      </c>
      <c r="F7" s="4">
        <v>3351.3</v>
      </c>
    </row>
    <row r="8" spans="1:6" x14ac:dyDescent="0.25">
      <c r="A8" s="2" t="s">
        <v>7</v>
      </c>
      <c r="B8" s="2">
        <v>2022</v>
      </c>
      <c r="C8" s="4">
        <v>1886286.425</v>
      </c>
      <c r="D8" s="2">
        <v>11085</v>
      </c>
      <c r="E8" s="3">
        <v>1.0464591790708159E-2</v>
      </c>
      <c r="F8" s="4">
        <v>17033.744999999999</v>
      </c>
    </row>
    <row r="9" spans="1:6" x14ac:dyDescent="0.25">
      <c r="A9" s="2" t="s">
        <v>7</v>
      </c>
      <c r="B9" s="2">
        <v>2023</v>
      </c>
      <c r="C9" s="4">
        <v>1989346.0874999999</v>
      </c>
      <c r="D9" s="2">
        <v>11581</v>
      </c>
      <c r="E9" s="3">
        <v>7.5123046369052759E-3</v>
      </c>
      <c r="F9" s="4">
        <v>7830.7875000000004</v>
      </c>
    </row>
    <row r="10" spans="1:6" x14ac:dyDescent="0.25">
      <c r="A10" s="2" t="s">
        <v>7</v>
      </c>
      <c r="B10" s="2">
        <v>2024</v>
      </c>
      <c r="C10" s="4">
        <v>1983896.493</v>
      </c>
      <c r="D10" s="2">
        <v>12537</v>
      </c>
      <c r="E10" s="3">
        <v>1.57932519741565E-2</v>
      </c>
      <c r="F10" s="4">
        <v>5482.1543999999994</v>
      </c>
    </row>
    <row r="11" spans="1:6" x14ac:dyDescent="0.25">
      <c r="A11" s="2" t="s">
        <v>7</v>
      </c>
      <c r="B11" s="2">
        <v>2025</v>
      </c>
      <c r="C11" s="4">
        <v>1721759.004</v>
      </c>
      <c r="D11" s="2">
        <v>11444</v>
      </c>
      <c r="E11" s="3">
        <v>2.001048584411045E-2</v>
      </c>
      <c r="F11" s="4">
        <v>9169.1208000000006</v>
      </c>
    </row>
    <row r="12" spans="1:6" x14ac:dyDescent="0.25">
      <c r="A12" s="2" t="s">
        <v>8</v>
      </c>
      <c r="B12" s="2">
        <v>2021</v>
      </c>
      <c r="C12" s="4">
        <v>1952156.8</v>
      </c>
      <c r="D12" s="2">
        <v>5206</v>
      </c>
      <c r="E12" s="3">
        <v>3.2654629273914708E-2</v>
      </c>
      <c r="F12" s="4">
        <v>104634.9</v>
      </c>
    </row>
    <row r="13" spans="1:6" x14ac:dyDescent="0.25">
      <c r="A13" s="2" t="s">
        <v>8</v>
      </c>
      <c r="B13" s="2">
        <v>2022</v>
      </c>
      <c r="C13" s="4">
        <v>1792724.375</v>
      </c>
      <c r="D13" s="2">
        <v>6936</v>
      </c>
      <c r="E13" s="3">
        <v>6.58881199538639E-2</v>
      </c>
      <c r="F13" s="4">
        <v>199952.38500000001</v>
      </c>
    </row>
    <row r="14" spans="1:6" x14ac:dyDescent="0.25">
      <c r="A14" s="2" t="s">
        <v>8</v>
      </c>
      <c r="B14" s="2">
        <v>2023</v>
      </c>
      <c r="C14" s="4">
        <v>1829547.9675</v>
      </c>
      <c r="D14" s="2">
        <v>7308</v>
      </c>
      <c r="E14" s="3">
        <v>4.3103448275862072E-2</v>
      </c>
      <c r="F14" s="4">
        <v>312598.19850000012</v>
      </c>
    </row>
    <row r="15" spans="1:6" x14ac:dyDescent="0.25">
      <c r="A15" s="2" t="s">
        <v>8</v>
      </c>
      <c r="B15" s="2">
        <v>2024</v>
      </c>
      <c r="C15" s="4">
        <v>1862064.4055999999</v>
      </c>
      <c r="D15" s="2">
        <v>8035</v>
      </c>
      <c r="E15" s="3">
        <v>4.1194772868699443E-2</v>
      </c>
      <c r="F15" s="4">
        <v>168206.56020000001</v>
      </c>
    </row>
    <row r="16" spans="1:6" x14ac:dyDescent="0.25">
      <c r="A16" s="2" t="s">
        <v>8</v>
      </c>
      <c r="B16" s="2">
        <v>2025</v>
      </c>
      <c r="C16" s="4">
        <v>2054620.9151999999</v>
      </c>
      <c r="D16" s="2">
        <v>7393</v>
      </c>
      <c r="E16" s="3">
        <v>6.1679967536859191E-2</v>
      </c>
      <c r="F16" s="4">
        <v>167554.59839999999</v>
      </c>
    </row>
    <row r="17" spans="1:6" x14ac:dyDescent="0.25">
      <c r="A17" s="2" t="s">
        <v>9</v>
      </c>
      <c r="B17" s="2">
        <v>2021</v>
      </c>
      <c r="C17" s="4">
        <v>11424766</v>
      </c>
      <c r="D17" s="2">
        <v>8470</v>
      </c>
      <c r="E17" s="3">
        <v>1.3577331759149941E-2</v>
      </c>
      <c r="F17" s="4">
        <v>60729.1</v>
      </c>
    </row>
    <row r="18" spans="1:6" x14ac:dyDescent="0.25">
      <c r="A18" s="2" t="s">
        <v>9</v>
      </c>
      <c r="B18" s="2">
        <v>2022</v>
      </c>
      <c r="C18" s="4">
        <v>11840322.35</v>
      </c>
      <c r="D18" s="2">
        <v>10340</v>
      </c>
      <c r="E18" s="3">
        <v>2.059961315280464E-2</v>
      </c>
      <c r="F18" s="4">
        <v>59233.78</v>
      </c>
    </row>
    <row r="19" spans="1:6" x14ac:dyDescent="0.25">
      <c r="A19" s="2" t="s">
        <v>9</v>
      </c>
      <c r="B19" s="2">
        <v>2023</v>
      </c>
      <c r="C19" s="4">
        <v>10347492.27</v>
      </c>
      <c r="D19" s="2">
        <v>10256</v>
      </c>
      <c r="E19" s="3">
        <v>2.1840873634945399E-2</v>
      </c>
      <c r="F19" s="4">
        <v>52849.761000000013</v>
      </c>
    </row>
    <row r="20" spans="1:6" x14ac:dyDescent="0.25">
      <c r="A20" s="2" t="s">
        <v>9</v>
      </c>
      <c r="B20" s="2">
        <v>2024</v>
      </c>
      <c r="C20" s="4">
        <v>10469620.812000001</v>
      </c>
      <c r="D20" s="2">
        <v>11397</v>
      </c>
      <c r="E20" s="3">
        <v>1.8864613494779331E-2</v>
      </c>
      <c r="F20" s="4">
        <v>48243.0576</v>
      </c>
    </row>
    <row r="21" spans="1:6" x14ac:dyDescent="0.25">
      <c r="A21" s="2" t="s">
        <v>9</v>
      </c>
      <c r="B21" s="2">
        <v>2025</v>
      </c>
      <c r="C21" s="4">
        <v>10396322.495999999</v>
      </c>
      <c r="D21" s="2">
        <v>10611</v>
      </c>
      <c r="E21" s="3">
        <v>2.61049853925172E-2</v>
      </c>
      <c r="F21" s="4">
        <v>43959.535199999998</v>
      </c>
    </row>
    <row r="22" spans="1:6" x14ac:dyDescent="0.25">
      <c r="A22" s="2" t="s">
        <v>10</v>
      </c>
      <c r="B22" s="2">
        <v>2021</v>
      </c>
      <c r="C22" s="4">
        <v>5486403</v>
      </c>
      <c r="D22" s="2">
        <v>9472</v>
      </c>
      <c r="E22" s="3">
        <v>1.1613175675675681E-3</v>
      </c>
      <c r="F22" s="4">
        <v>5342.3</v>
      </c>
    </row>
    <row r="23" spans="1:6" x14ac:dyDescent="0.25">
      <c r="A23" s="2" t="s">
        <v>10</v>
      </c>
      <c r="B23" s="2">
        <v>2022</v>
      </c>
      <c r="C23" s="4">
        <v>5722677.7000000002</v>
      </c>
      <c r="D23" s="2">
        <v>10450</v>
      </c>
      <c r="E23" s="3">
        <v>7.3684210526315788E-3</v>
      </c>
      <c r="F23" s="4">
        <v>3380.11</v>
      </c>
    </row>
    <row r="24" spans="1:6" x14ac:dyDescent="0.25">
      <c r="A24" s="2" t="s">
        <v>10</v>
      </c>
      <c r="B24" s="2">
        <v>2023</v>
      </c>
      <c r="C24" s="4">
        <v>6304234.7850000011</v>
      </c>
      <c r="D24" s="2">
        <v>10282</v>
      </c>
      <c r="E24" s="3">
        <v>4.3765804318226034E-3</v>
      </c>
      <c r="F24" s="4">
        <v>3999.2534999999998</v>
      </c>
    </row>
    <row r="25" spans="1:6" x14ac:dyDescent="0.25">
      <c r="A25" s="2" t="s">
        <v>10</v>
      </c>
      <c r="B25" s="2">
        <v>2024</v>
      </c>
      <c r="C25" s="4">
        <v>7154088.5099999998</v>
      </c>
      <c r="D25" s="2">
        <v>11286</v>
      </c>
      <c r="E25" s="3">
        <v>5.2277157540315438E-3</v>
      </c>
      <c r="F25" s="4">
        <v>3791.2446</v>
      </c>
    </row>
    <row r="26" spans="1:6" x14ac:dyDescent="0.25">
      <c r="A26" s="2" t="s">
        <v>10</v>
      </c>
      <c r="B26" s="2">
        <v>2025</v>
      </c>
      <c r="C26" s="4">
        <v>7568458.6320000002</v>
      </c>
      <c r="D26" s="2">
        <v>10326</v>
      </c>
      <c r="E26" s="3">
        <v>1.6560139453805928E-2</v>
      </c>
      <c r="F26" s="4">
        <v>2749.6224000000002</v>
      </c>
    </row>
    <row r="27" spans="1:6" x14ac:dyDescent="0.25">
      <c r="A27" s="2" t="s">
        <v>11</v>
      </c>
      <c r="B27" s="2">
        <v>2021</v>
      </c>
      <c r="C27" s="4">
        <v>3106546.5</v>
      </c>
      <c r="D27" s="2">
        <v>13025</v>
      </c>
      <c r="E27" s="3">
        <v>1.2130518234165069E-2</v>
      </c>
      <c r="F27" s="4">
        <v>42336.800000000003</v>
      </c>
    </row>
    <row r="28" spans="1:6" x14ac:dyDescent="0.25">
      <c r="A28" s="2" t="s">
        <v>11</v>
      </c>
      <c r="B28" s="2">
        <v>2022</v>
      </c>
      <c r="C28" s="4">
        <v>2913359.87</v>
      </c>
      <c r="D28" s="2">
        <v>15632</v>
      </c>
      <c r="E28" s="3">
        <v>7.6125895598771753E-3</v>
      </c>
      <c r="F28" s="4">
        <v>31461.305</v>
      </c>
    </row>
    <row r="29" spans="1:6" x14ac:dyDescent="0.25">
      <c r="A29" s="2" t="s">
        <v>11</v>
      </c>
      <c r="B29" s="2">
        <v>2023</v>
      </c>
      <c r="C29" s="4">
        <v>2952657.7349999999</v>
      </c>
      <c r="D29" s="2">
        <v>14609</v>
      </c>
      <c r="E29" s="3">
        <v>1.8276404955849139E-2</v>
      </c>
      <c r="F29" s="4">
        <v>28864.8855</v>
      </c>
    </row>
    <row r="30" spans="1:6" x14ac:dyDescent="0.25">
      <c r="A30" s="2" t="s">
        <v>11</v>
      </c>
      <c r="B30" s="2">
        <v>2024</v>
      </c>
      <c r="C30" s="4">
        <v>2628025.8420000002</v>
      </c>
      <c r="D30" s="2">
        <v>15742</v>
      </c>
      <c r="E30" s="3">
        <v>2.42662939905984E-2</v>
      </c>
      <c r="F30" s="4">
        <v>23860.547399999999</v>
      </c>
    </row>
    <row r="31" spans="1:6" x14ac:dyDescent="0.25">
      <c r="A31" s="2" t="s">
        <v>11</v>
      </c>
      <c r="B31" s="2">
        <v>2025</v>
      </c>
      <c r="C31" s="4">
        <v>2367562.176</v>
      </c>
      <c r="D31" s="2">
        <v>14206</v>
      </c>
      <c r="E31" s="3">
        <v>2.2314514993664651E-2</v>
      </c>
      <c r="F31" s="4">
        <v>22153.32</v>
      </c>
    </row>
    <row r="32" spans="1:6" x14ac:dyDescent="0.25">
      <c r="A32" s="2" t="s">
        <v>12</v>
      </c>
      <c r="B32" s="2">
        <v>2021</v>
      </c>
      <c r="C32" s="4">
        <v>4222766.5</v>
      </c>
      <c r="D32" s="2">
        <v>7589</v>
      </c>
      <c r="E32" s="3">
        <v>1.8447753327184081E-3</v>
      </c>
      <c r="F32" s="4">
        <v>1413.9</v>
      </c>
    </row>
    <row r="33" spans="1:6" x14ac:dyDescent="0.25">
      <c r="A33" s="2" t="s">
        <v>12</v>
      </c>
      <c r="B33" s="2">
        <v>2022</v>
      </c>
      <c r="C33" s="4">
        <v>4628018.375</v>
      </c>
      <c r="D33" s="2">
        <v>8521</v>
      </c>
      <c r="E33" s="3">
        <v>2.699213707311349E-3</v>
      </c>
      <c r="F33" s="4">
        <v>2063.9699999999998</v>
      </c>
    </row>
    <row r="34" spans="1:6" x14ac:dyDescent="0.25">
      <c r="A34" s="2" t="s">
        <v>12</v>
      </c>
      <c r="B34" s="2">
        <v>2023</v>
      </c>
      <c r="C34" s="4">
        <v>3220913.4075000002</v>
      </c>
      <c r="D34" s="2">
        <v>8114</v>
      </c>
      <c r="E34" s="3">
        <v>3.9438008380576779E-3</v>
      </c>
      <c r="F34" s="4">
        <v>1958.067</v>
      </c>
    </row>
    <row r="35" spans="1:6" x14ac:dyDescent="0.25">
      <c r="A35" s="2" t="s">
        <v>12</v>
      </c>
      <c r="B35" s="2">
        <v>2024</v>
      </c>
      <c r="C35" s="4">
        <v>3279622.7940000002</v>
      </c>
      <c r="D35" s="2">
        <v>9339</v>
      </c>
      <c r="E35" s="3">
        <v>4.818503051718599E-3</v>
      </c>
      <c r="F35" s="4">
        <v>1927.5419999999999</v>
      </c>
    </row>
    <row r="36" spans="1:6" x14ac:dyDescent="0.25">
      <c r="A36" s="2" t="s">
        <v>12</v>
      </c>
      <c r="B36" s="2">
        <v>2025</v>
      </c>
      <c r="C36" s="4">
        <v>3101890.68</v>
      </c>
      <c r="D36" s="2">
        <v>6070</v>
      </c>
      <c r="E36" s="3">
        <v>9.5551894563426689E-3</v>
      </c>
      <c r="F36" s="4">
        <v>1384.0848000000001</v>
      </c>
    </row>
    <row r="37" spans="1:6" x14ac:dyDescent="0.25">
      <c r="A37" s="2" t="s">
        <v>13</v>
      </c>
      <c r="B37" s="2">
        <v>2021</v>
      </c>
      <c r="C37" s="4">
        <v>1310044.2</v>
      </c>
      <c r="D37" s="2">
        <v>717</v>
      </c>
      <c r="E37" s="3">
        <v>4.4630404463040438E-2</v>
      </c>
      <c r="F37" s="4">
        <v>11862.8</v>
      </c>
    </row>
    <row r="38" spans="1:6" x14ac:dyDescent="0.25">
      <c r="A38" s="2" t="s">
        <v>13</v>
      </c>
      <c r="B38" s="2">
        <v>2022</v>
      </c>
      <c r="C38" s="4">
        <v>1234589.98</v>
      </c>
      <c r="D38" s="2">
        <v>798</v>
      </c>
      <c r="E38" s="3">
        <v>3.5087719298245612E-2</v>
      </c>
      <c r="F38" s="4">
        <v>8198.76</v>
      </c>
    </row>
    <row r="39" spans="1:6" x14ac:dyDescent="0.25">
      <c r="A39" s="2" t="s">
        <v>13</v>
      </c>
      <c r="B39" s="2">
        <v>2023</v>
      </c>
      <c r="C39" s="4">
        <v>1191452.115</v>
      </c>
      <c r="D39" s="2">
        <v>834</v>
      </c>
      <c r="E39" s="3">
        <v>2.9976019184652279E-2</v>
      </c>
      <c r="F39" s="4">
        <v>9826.924500000001</v>
      </c>
    </row>
    <row r="40" spans="1:6" x14ac:dyDescent="0.25">
      <c r="A40" s="2" t="s">
        <v>13</v>
      </c>
      <c r="B40" s="2">
        <v>2024</v>
      </c>
      <c r="C40" s="4">
        <v>1246494.9996</v>
      </c>
      <c r="D40" s="2">
        <v>844</v>
      </c>
      <c r="E40" s="3">
        <v>4.1469194312796213E-2</v>
      </c>
      <c r="F40" s="4">
        <v>11792.5524</v>
      </c>
    </row>
    <row r="41" spans="1:6" x14ac:dyDescent="0.25">
      <c r="A41" s="2" t="s">
        <v>13</v>
      </c>
      <c r="B41" s="2">
        <v>2025</v>
      </c>
      <c r="C41" s="4">
        <v>1208385.2592</v>
      </c>
      <c r="D41" s="2">
        <v>639</v>
      </c>
      <c r="E41" s="3">
        <v>4.6948356807511728E-2</v>
      </c>
      <c r="F41" s="4">
        <v>10113.263999999999</v>
      </c>
    </row>
    <row r="42" spans="1:6" x14ac:dyDescent="0.25">
      <c r="A42" s="2" t="s">
        <v>14</v>
      </c>
      <c r="B42" s="2">
        <v>2021</v>
      </c>
      <c r="C42" s="4">
        <v>4765552.5</v>
      </c>
      <c r="D42" s="2">
        <v>15409</v>
      </c>
      <c r="E42" s="3">
        <v>3.8289311441365441E-3</v>
      </c>
      <c r="F42" s="4">
        <v>16509.599999999999</v>
      </c>
    </row>
    <row r="43" spans="1:6" x14ac:dyDescent="0.25">
      <c r="A43" s="2" t="s">
        <v>14</v>
      </c>
      <c r="B43" s="2">
        <v>2022</v>
      </c>
      <c r="C43" s="4">
        <v>4636488.625</v>
      </c>
      <c r="D43" s="2">
        <v>19371</v>
      </c>
      <c r="E43" s="3">
        <v>6.6594393681276131E-3</v>
      </c>
      <c r="F43" s="4">
        <v>6778.3249999999998</v>
      </c>
    </row>
    <row r="44" spans="1:6" x14ac:dyDescent="0.25">
      <c r="A44" s="2" t="s">
        <v>14</v>
      </c>
      <c r="B44" s="2">
        <v>2023</v>
      </c>
      <c r="C44" s="4">
        <v>4738252.4775</v>
      </c>
      <c r="D44" s="2">
        <v>17872</v>
      </c>
      <c r="E44" s="3">
        <v>1.2645478961504031E-2</v>
      </c>
      <c r="F44" s="4">
        <v>8728.0410000000011</v>
      </c>
    </row>
    <row r="45" spans="1:6" x14ac:dyDescent="0.25">
      <c r="A45" s="2" t="s">
        <v>14</v>
      </c>
      <c r="B45" s="2">
        <v>2024</v>
      </c>
      <c r="C45" s="4">
        <v>5054164.68</v>
      </c>
      <c r="D45" s="2">
        <v>21347</v>
      </c>
      <c r="E45" s="3">
        <v>1.133648756265517E-2</v>
      </c>
      <c r="F45" s="4">
        <v>10250.3334</v>
      </c>
    </row>
    <row r="46" spans="1:6" x14ac:dyDescent="0.25">
      <c r="A46" s="2" t="s">
        <v>14</v>
      </c>
      <c r="B46" s="2">
        <v>2025</v>
      </c>
      <c r="C46" s="4">
        <v>4969254.5279999999</v>
      </c>
      <c r="D46" s="2">
        <v>19714</v>
      </c>
      <c r="E46" s="3">
        <v>1.8311859592167998E-2</v>
      </c>
      <c r="F46" s="4">
        <v>6442.6824000000006</v>
      </c>
    </row>
    <row r="47" spans="1:6" x14ac:dyDescent="0.25">
      <c r="A47" s="2" t="s">
        <v>15</v>
      </c>
      <c r="B47" s="2">
        <v>2021</v>
      </c>
      <c r="C47" s="4">
        <v>5718757</v>
      </c>
      <c r="D47" s="2">
        <v>6539</v>
      </c>
      <c r="E47" s="3">
        <v>7.7993576999541214E-3</v>
      </c>
      <c r="F47" s="4">
        <v>28459.200000000001</v>
      </c>
    </row>
    <row r="48" spans="1:6" x14ac:dyDescent="0.25">
      <c r="A48" s="2" t="s">
        <v>15</v>
      </c>
      <c r="B48" s="2">
        <v>2022</v>
      </c>
      <c r="C48" s="4">
        <v>5432726.9749999996</v>
      </c>
      <c r="D48" s="2">
        <v>8191</v>
      </c>
      <c r="E48" s="3">
        <v>1.635941887437431E-2</v>
      </c>
      <c r="F48" s="4">
        <v>29470.945</v>
      </c>
    </row>
    <row r="49" spans="1:6" x14ac:dyDescent="0.25">
      <c r="A49" s="2" t="s">
        <v>15</v>
      </c>
      <c r="B49" s="2">
        <v>2023</v>
      </c>
      <c r="C49" s="4">
        <v>4735027.4550000001</v>
      </c>
      <c r="D49" s="2">
        <v>8201</v>
      </c>
      <c r="E49" s="3">
        <v>2.767955127423485E-2</v>
      </c>
      <c r="F49" s="4">
        <v>25761.334500000001</v>
      </c>
    </row>
    <row r="50" spans="1:6" x14ac:dyDescent="0.25">
      <c r="A50" s="2" t="s">
        <v>15</v>
      </c>
      <c r="B50" s="2">
        <v>2024</v>
      </c>
      <c r="C50" s="4">
        <v>4791203.8260000004</v>
      </c>
      <c r="D50" s="2">
        <v>9147</v>
      </c>
      <c r="E50" s="3">
        <v>1.7929375751612551E-2</v>
      </c>
      <c r="F50" s="4">
        <v>27061.0458</v>
      </c>
    </row>
    <row r="51" spans="1:6" x14ac:dyDescent="0.25">
      <c r="A51" s="2" t="s">
        <v>15</v>
      </c>
      <c r="B51" s="2">
        <v>2025</v>
      </c>
      <c r="C51" s="4">
        <v>4917959.9280000003</v>
      </c>
      <c r="D51" s="2">
        <v>8852</v>
      </c>
      <c r="E51" s="3">
        <v>2.0786262991414371E-2</v>
      </c>
      <c r="F51" s="4">
        <v>22122.2736</v>
      </c>
    </row>
    <row r="52" spans="1:6" x14ac:dyDescent="0.25">
      <c r="A52" s="2" t="s">
        <v>16</v>
      </c>
      <c r="B52" s="2">
        <v>2025</v>
      </c>
      <c r="C52" s="4">
        <v>2826751.0320000001</v>
      </c>
      <c r="D52" s="2">
        <v>18</v>
      </c>
      <c r="E52" s="3">
        <v>0.1111111111111111</v>
      </c>
      <c r="F52" s="4">
        <v>37.648800000000001</v>
      </c>
    </row>
  </sheetData>
  <conditionalFormatting sqref="C2:C5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5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5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5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G12" sqref="G12"/>
    </sheetView>
  </sheetViews>
  <sheetFormatPr defaultRowHeight="15" x14ac:dyDescent="0.25"/>
  <cols>
    <col min="1" max="1" width="58.5703125" customWidth="1"/>
    <col min="3" max="3" width="15.85546875" customWidth="1"/>
    <col min="4" max="4" width="14.28515625" customWidth="1"/>
    <col min="5" max="5" width="16.5703125" customWidth="1"/>
    <col min="6" max="6" width="15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8</v>
      </c>
      <c r="B2" s="2">
        <v>2021</v>
      </c>
      <c r="C2" s="4">
        <v>1952156.8</v>
      </c>
      <c r="D2" s="2">
        <v>5206</v>
      </c>
      <c r="E2" s="3">
        <v>3.2654629273914708E-2</v>
      </c>
      <c r="F2" s="4">
        <v>104634.9</v>
      </c>
    </row>
    <row r="3" spans="1:6" x14ac:dyDescent="0.25">
      <c r="A3" s="2" t="s">
        <v>8</v>
      </c>
      <c r="B3" s="2">
        <v>2022</v>
      </c>
      <c r="C3" s="4">
        <v>1792724.375</v>
      </c>
      <c r="D3" s="2">
        <v>6936</v>
      </c>
      <c r="E3" s="3">
        <v>6.58881199538639E-2</v>
      </c>
      <c r="F3" s="4">
        <v>199952.38500000001</v>
      </c>
    </row>
    <row r="4" spans="1:6" x14ac:dyDescent="0.25">
      <c r="A4" s="2" t="s">
        <v>8</v>
      </c>
      <c r="B4" s="2">
        <v>2023</v>
      </c>
      <c r="C4" s="4">
        <v>1829547.9675</v>
      </c>
      <c r="D4" s="2">
        <v>7308</v>
      </c>
      <c r="E4" s="3">
        <v>4.3103448275862072E-2</v>
      </c>
      <c r="F4" s="4">
        <v>312598.19850000012</v>
      </c>
    </row>
    <row r="5" spans="1:6" x14ac:dyDescent="0.25">
      <c r="A5" s="2" t="s">
        <v>8</v>
      </c>
      <c r="B5" s="2">
        <v>2024</v>
      </c>
      <c r="C5" s="4">
        <v>1862064.4055999999</v>
      </c>
      <c r="D5" s="2">
        <v>8035</v>
      </c>
      <c r="E5" s="3">
        <v>4.1194772868699443E-2</v>
      </c>
      <c r="F5" s="4">
        <v>168206.56020000001</v>
      </c>
    </row>
    <row r="6" spans="1:6" x14ac:dyDescent="0.25">
      <c r="A6" s="2" t="s">
        <v>8</v>
      </c>
      <c r="B6" s="2">
        <v>2025</v>
      </c>
      <c r="C6" s="4">
        <v>2054620.9151999999</v>
      </c>
      <c r="D6" s="2">
        <v>7393</v>
      </c>
      <c r="E6" s="3">
        <v>6.1679967536859191E-2</v>
      </c>
      <c r="F6" s="4">
        <v>167554.59839999999</v>
      </c>
    </row>
    <row r="8" spans="1:6" x14ac:dyDescent="0.25">
      <c r="A8" s="5" t="s">
        <v>17</v>
      </c>
      <c r="C8" s="4">
        <f>MEDIAN(C2:C6)</f>
        <v>1862064.4055999999</v>
      </c>
      <c r="D8" s="4">
        <f t="shared" ref="D8:F8" si="0">MEDIAN(D2:D6)</f>
        <v>7308</v>
      </c>
      <c r="E8" s="3">
        <f t="shared" si="0"/>
        <v>4.3103448275862072E-2</v>
      </c>
      <c r="F8" s="4">
        <f t="shared" si="0"/>
        <v>168206.56020000001</v>
      </c>
    </row>
  </sheetData>
  <conditionalFormatting sqref="C2:C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sqref="A1:F1"/>
    </sheetView>
  </sheetViews>
  <sheetFormatPr defaultRowHeight="15" x14ac:dyDescent="0.25"/>
  <cols>
    <col min="1" max="1" width="70.140625" customWidth="1"/>
    <col min="3" max="3" width="15.42578125" customWidth="1"/>
    <col min="4" max="4" width="12.5703125" customWidth="1"/>
    <col min="5" max="5" width="12.140625" customWidth="1"/>
    <col min="6" max="6" width="1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2021</v>
      </c>
      <c r="C2" s="4">
        <v>11886878</v>
      </c>
      <c r="D2" s="2">
        <v>1339</v>
      </c>
      <c r="E2" s="3">
        <v>1.9417475728155342E-2</v>
      </c>
      <c r="F2" s="4">
        <v>67742.100000000006</v>
      </c>
    </row>
    <row r="3" spans="1:6" x14ac:dyDescent="0.25">
      <c r="A3" s="2" t="s">
        <v>6</v>
      </c>
      <c r="B3" s="2">
        <v>2022</v>
      </c>
      <c r="C3" s="4">
        <v>12929253.949999999</v>
      </c>
      <c r="D3" s="2">
        <v>1571</v>
      </c>
      <c r="E3" s="3">
        <v>2.1642266072565249E-2</v>
      </c>
      <c r="F3" s="4">
        <v>70078.505000000005</v>
      </c>
    </row>
    <row r="4" spans="1:6" x14ac:dyDescent="0.25">
      <c r="A4" s="2" t="s">
        <v>6</v>
      </c>
      <c r="B4" s="2">
        <v>2023</v>
      </c>
      <c r="C4" s="4">
        <v>10832458.244999999</v>
      </c>
      <c r="D4" s="2">
        <v>1613</v>
      </c>
      <c r="E4" s="3">
        <v>2.603843769373838E-2</v>
      </c>
      <c r="F4" s="4">
        <v>84612.337500000009</v>
      </c>
    </row>
    <row r="5" spans="1:6" x14ac:dyDescent="0.25">
      <c r="A5" s="2" t="s">
        <v>6</v>
      </c>
      <c r="B5" s="2">
        <v>2024</v>
      </c>
      <c r="C5" s="4">
        <v>10153770.282</v>
      </c>
      <c r="D5" s="2">
        <v>1836</v>
      </c>
      <c r="E5" s="3">
        <v>2.178649237472767E-2</v>
      </c>
      <c r="F5" s="4">
        <v>48542.602199999987</v>
      </c>
    </row>
    <row r="6" spans="1:6" x14ac:dyDescent="0.25">
      <c r="A6" s="2" t="s">
        <v>6</v>
      </c>
      <c r="B6" s="2">
        <v>2025</v>
      </c>
      <c r="C6" s="4">
        <v>9396120.3839999996</v>
      </c>
      <c r="D6" s="2">
        <v>1505</v>
      </c>
      <c r="E6" s="3">
        <v>3.3887043189368769E-2</v>
      </c>
      <c r="F6" s="4">
        <v>44273.930399999997</v>
      </c>
    </row>
    <row r="8" spans="1:6" x14ac:dyDescent="0.25">
      <c r="A8" s="5" t="s">
        <v>17</v>
      </c>
      <c r="C8" s="4">
        <f>MEDIAN(C2:C6)</f>
        <v>10832458.244999999</v>
      </c>
      <c r="D8" s="4">
        <f t="shared" ref="D8:F8" si="0">MEDIAN(D2:D6)</f>
        <v>1571</v>
      </c>
      <c r="E8" s="3">
        <f t="shared" si="0"/>
        <v>2.178649237472767E-2</v>
      </c>
      <c r="F8" s="4">
        <f t="shared" si="0"/>
        <v>67742.100000000006</v>
      </c>
    </row>
  </sheetData>
  <conditionalFormatting sqref="C2:C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H17" sqref="H17"/>
    </sheetView>
  </sheetViews>
  <sheetFormatPr defaultRowHeight="15" x14ac:dyDescent="0.25"/>
  <cols>
    <col min="1" max="1" width="70.140625" customWidth="1"/>
    <col min="3" max="3" width="15.42578125" customWidth="1"/>
    <col min="4" max="4" width="12.5703125" customWidth="1"/>
    <col min="5" max="5" width="12.140625" customWidth="1"/>
    <col min="6" max="6" width="1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9</v>
      </c>
      <c r="B2" s="2">
        <v>2021</v>
      </c>
      <c r="C2" s="4">
        <v>11424766</v>
      </c>
      <c r="D2" s="2">
        <v>8470</v>
      </c>
      <c r="E2" s="3">
        <v>1.3577331759149941E-2</v>
      </c>
      <c r="F2" s="4">
        <v>60729.1</v>
      </c>
    </row>
    <row r="3" spans="1:6" x14ac:dyDescent="0.25">
      <c r="A3" s="2" t="s">
        <v>9</v>
      </c>
      <c r="B3" s="2">
        <v>2022</v>
      </c>
      <c r="C3" s="4">
        <v>11840322.35</v>
      </c>
      <c r="D3" s="2">
        <v>10340</v>
      </c>
      <c r="E3" s="3">
        <v>2.059961315280464E-2</v>
      </c>
      <c r="F3" s="4">
        <v>59233.78</v>
      </c>
    </row>
    <row r="4" spans="1:6" x14ac:dyDescent="0.25">
      <c r="A4" s="2" t="s">
        <v>9</v>
      </c>
      <c r="B4" s="2">
        <v>2023</v>
      </c>
      <c r="C4" s="4">
        <v>10347492.27</v>
      </c>
      <c r="D4" s="2">
        <v>10256</v>
      </c>
      <c r="E4" s="3">
        <v>2.1840873634945399E-2</v>
      </c>
      <c r="F4" s="4">
        <v>52849.761000000013</v>
      </c>
    </row>
    <row r="5" spans="1:6" x14ac:dyDescent="0.25">
      <c r="A5" s="2" t="s">
        <v>9</v>
      </c>
      <c r="B5" s="2">
        <v>2024</v>
      </c>
      <c r="C5" s="4">
        <v>10469620.812000001</v>
      </c>
      <c r="D5" s="2">
        <v>11397</v>
      </c>
      <c r="E5" s="3">
        <v>1.8864613494779331E-2</v>
      </c>
      <c r="F5" s="4">
        <v>48243.0576</v>
      </c>
    </row>
    <row r="6" spans="1:6" x14ac:dyDescent="0.25">
      <c r="A6" s="2" t="s">
        <v>9</v>
      </c>
      <c r="B6" s="2">
        <v>2025</v>
      </c>
      <c r="C6" s="4">
        <v>10396322.495999999</v>
      </c>
      <c r="D6" s="2">
        <v>10611</v>
      </c>
      <c r="E6" s="3">
        <v>2.61049853925172E-2</v>
      </c>
      <c r="F6" s="4">
        <v>43959.535199999998</v>
      </c>
    </row>
    <row r="8" spans="1:6" x14ac:dyDescent="0.25">
      <c r="A8" s="5" t="s">
        <v>17</v>
      </c>
      <c r="C8" s="4">
        <f>MEDIAN(C2:C6)</f>
        <v>10469620.812000001</v>
      </c>
      <c r="D8" s="4">
        <f t="shared" ref="D8:F8" si="0">MEDIAN(D2:D6)</f>
        <v>10340</v>
      </c>
      <c r="E8" s="3">
        <f t="shared" si="0"/>
        <v>2.059961315280464E-2</v>
      </c>
      <c r="F8" s="4">
        <f t="shared" si="0"/>
        <v>52849.761000000013</v>
      </c>
    </row>
  </sheetData>
  <conditionalFormatting sqref="C2:C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B11" sqref="B11"/>
    </sheetView>
  </sheetViews>
  <sheetFormatPr defaultRowHeight="15" x14ac:dyDescent="0.25"/>
  <cols>
    <col min="1" max="1" width="70.140625" customWidth="1"/>
    <col min="3" max="3" width="15.42578125" customWidth="1"/>
    <col min="4" max="4" width="12.5703125" customWidth="1"/>
    <col min="5" max="5" width="12.140625" customWidth="1"/>
    <col min="6" max="6" width="1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10</v>
      </c>
      <c r="B2" s="2">
        <v>2021</v>
      </c>
      <c r="C2" s="4">
        <v>5486403</v>
      </c>
      <c r="D2" s="2">
        <v>9472</v>
      </c>
      <c r="E2" s="3">
        <v>1.1613175675675681E-3</v>
      </c>
      <c r="F2" s="4">
        <v>5342.3</v>
      </c>
    </row>
    <row r="3" spans="1:6" x14ac:dyDescent="0.25">
      <c r="A3" s="2" t="s">
        <v>10</v>
      </c>
      <c r="B3" s="2">
        <v>2022</v>
      </c>
      <c r="C3" s="4">
        <v>5722677.7000000002</v>
      </c>
      <c r="D3" s="2">
        <v>10450</v>
      </c>
      <c r="E3" s="3">
        <v>7.3684210526315788E-3</v>
      </c>
      <c r="F3" s="4">
        <v>3380.11</v>
      </c>
    </row>
    <row r="4" spans="1:6" x14ac:dyDescent="0.25">
      <c r="A4" s="2" t="s">
        <v>10</v>
      </c>
      <c r="B4" s="2">
        <v>2023</v>
      </c>
      <c r="C4" s="4">
        <v>6304234.7850000011</v>
      </c>
      <c r="D4" s="2">
        <v>10282</v>
      </c>
      <c r="E4" s="3">
        <v>4.3765804318226034E-3</v>
      </c>
      <c r="F4" s="4">
        <v>3999.2534999999998</v>
      </c>
    </row>
    <row r="5" spans="1:6" x14ac:dyDescent="0.25">
      <c r="A5" s="2" t="s">
        <v>10</v>
      </c>
      <c r="B5" s="2">
        <v>2024</v>
      </c>
      <c r="C5" s="4">
        <v>7154088.5099999998</v>
      </c>
      <c r="D5" s="2">
        <v>11286</v>
      </c>
      <c r="E5" s="3">
        <v>5.2277157540315438E-3</v>
      </c>
      <c r="F5" s="4">
        <v>3791.2446</v>
      </c>
    </row>
    <row r="6" spans="1:6" x14ac:dyDescent="0.25">
      <c r="A6" s="2" t="s">
        <v>10</v>
      </c>
      <c r="B6" s="2">
        <v>2025</v>
      </c>
      <c r="C6" s="4">
        <v>7568458.6320000002</v>
      </c>
      <c r="D6" s="2">
        <v>10326</v>
      </c>
      <c r="E6" s="3">
        <v>1.6560139453805928E-2</v>
      </c>
      <c r="F6" s="4">
        <v>2749.6224000000002</v>
      </c>
    </row>
    <row r="8" spans="1:6" x14ac:dyDescent="0.25">
      <c r="A8" s="5" t="s">
        <v>17</v>
      </c>
      <c r="C8" s="4">
        <f>MEDIAN(C2:C6)</f>
        <v>6304234.7850000011</v>
      </c>
      <c r="D8" s="4">
        <f t="shared" ref="D8:F8" si="0">MEDIAN(D2:D6)</f>
        <v>10326</v>
      </c>
      <c r="E8" s="3">
        <f t="shared" si="0"/>
        <v>5.2277157540315438E-3</v>
      </c>
      <c r="F8" s="4">
        <f t="shared" si="0"/>
        <v>3791.2446</v>
      </c>
    </row>
  </sheetData>
  <conditionalFormatting sqref="C2:C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E22" sqref="E22"/>
    </sheetView>
  </sheetViews>
  <sheetFormatPr defaultRowHeight="15" x14ac:dyDescent="0.25"/>
  <cols>
    <col min="1" max="1" width="70.140625" customWidth="1"/>
    <col min="3" max="3" width="15.42578125" customWidth="1"/>
    <col min="4" max="4" width="12.5703125" customWidth="1"/>
    <col min="5" max="5" width="12.140625" customWidth="1"/>
    <col min="6" max="6" width="1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11</v>
      </c>
      <c r="B2" s="2">
        <v>2021</v>
      </c>
      <c r="C2" s="4">
        <v>3106546.5</v>
      </c>
      <c r="D2" s="2">
        <v>13025</v>
      </c>
      <c r="E2" s="3">
        <v>1.2130518234165069E-2</v>
      </c>
      <c r="F2" s="4">
        <v>42336.800000000003</v>
      </c>
    </row>
    <row r="3" spans="1:6" x14ac:dyDescent="0.25">
      <c r="A3" s="2" t="s">
        <v>11</v>
      </c>
      <c r="B3" s="2">
        <v>2022</v>
      </c>
      <c r="C3" s="4">
        <v>2913359.87</v>
      </c>
      <c r="D3" s="2">
        <v>15632</v>
      </c>
      <c r="E3" s="3">
        <v>7.6125895598771753E-3</v>
      </c>
      <c r="F3" s="4">
        <v>31461.305</v>
      </c>
    </row>
    <row r="4" spans="1:6" x14ac:dyDescent="0.25">
      <c r="A4" s="2" t="s">
        <v>11</v>
      </c>
      <c r="B4" s="2">
        <v>2023</v>
      </c>
      <c r="C4" s="4">
        <v>2952657.7349999999</v>
      </c>
      <c r="D4" s="2">
        <v>14609</v>
      </c>
      <c r="E4" s="3">
        <v>1.8276404955849139E-2</v>
      </c>
      <c r="F4" s="4">
        <v>28864.8855</v>
      </c>
    </row>
    <row r="5" spans="1:6" x14ac:dyDescent="0.25">
      <c r="A5" s="2" t="s">
        <v>11</v>
      </c>
      <c r="B5" s="2">
        <v>2024</v>
      </c>
      <c r="C5" s="4">
        <v>2628025.8420000002</v>
      </c>
      <c r="D5" s="2">
        <v>15742</v>
      </c>
      <c r="E5" s="3">
        <v>2.42662939905984E-2</v>
      </c>
      <c r="F5" s="4">
        <v>23860.547399999999</v>
      </c>
    </row>
    <row r="6" spans="1:6" x14ac:dyDescent="0.25">
      <c r="A6" s="2" t="s">
        <v>11</v>
      </c>
      <c r="B6" s="2">
        <v>2025</v>
      </c>
      <c r="C6" s="4">
        <v>2367562.176</v>
      </c>
      <c r="D6" s="2">
        <v>14206</v>
      </c>
      <c r="E6" s="3">
        <v>2.2314514993664651E-2</v>
      </c>
      <c r="F6" s="4">
        <v>22153.32</v>
      </c>
    </row>
    <row r="8" spans="1:6" x14ac:dyDescent="0.25">
      <c r="A8" s="5" t="s">
        <v>17</v>
      </c>
      <c r="C8" s="4">
        <f>MEDIAN(C2:C6)</f>
        <v>2913359.87</v>
      </c>
      <c r="D8" s="4">
        <f t="shared" ref="D8:F8" si="0">MEDIAN(D2:D6)</f>
        <v>14609</v>
      </c>
      <c r="E8" s="3">
        <f t="shared" si="0"/>
        <v>1.8276404955849139E-2</v>
      </c>
      <c r="F8" s="4">
        <f t="shared" si="0"/>
        <v>28864.8855</v>
      </c>
    </row>
  </sheetData>
  <conditionalFormatting sqref="C2:C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A15" sqref="A15"/>
    </sheetView>
  </sheetViews>
  <sheetFormatPr defaultRowHeight="15" x14ac:dyDescent="0.25"/>
  <cols>
    <col min="1" max="1" width="70.140625" customWidth="1"/>
    <col min="3" max="3" width="15.42578125" customWidth="1"/>
    <col min="4" max="4" width="12.5703125" customWidth="1"/>
    <col min="5" max="5" width="12.140625" customWidth="1"/>
    <col min="6" max="6" width="1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12</v>
      </c>
      <c r="B2" s="2">
        <v>2021</v>
      </c>
      <c r="C2" s="4">
        <v>4222766.5</v>
      </c>
      <c r="D2" s="2">
        <v>7589</v>
      </c>
      <c r="E2" s="3">
        <v>1.8447753327184081E-3</v>
      </c>
      <c r="F2" s="4">
        <v>1413.9</v>
      </c>
    </row>
    <row r="3" spans="1:6" x14ac:dyDescent="0.25">
      <c r="A3" s="2" t="s">
        <v>12</v>
      </c>
      <c r="B3" s="2">
        <v>2022</v>
      </c>
      <c r="C3" s="4">
        <v>4628018.375</v>
      </c>
      <c r="D3" s="2">
        <v>8521</v>
      </c>
      <c r="E3" s="3">
        <v>2.699213707311349E-3</v>
      </c>
      <c r="F3" s="4">
        <v>2063.9699999999998</v>
      </c>
    </row>
    <row r="4" spans="1:6" x14ac:dyDescent="0.25">
      <c r="A4" s="2" t="s">
        <v>12</v>
      </c>
      <c r="B4" s="2">
        <v>2023</v>
      </c>
      <c r="C4" s="4">
        <v>3220913.4075000002</v>
      </c>
      <c r="D4" s="2">
        <v>8114</v>
      </c>
      <c r="E4" s="3">
        <v>3.9438008380576779E-3</v>
      </c>
      <c r="F4" s="4">
        <v>1958.067</v>
      </c>
    </row>
    <row r="5" spans="1:6" x14ac:dyDescent="0.25">
      <c r="A5" s="2" t="s">
        <v>12</v>
      </c>
      <c r="B5" s="2">
        <v>2024</v>
      </c>
      <c r="C5" s="4">
        <v>3279622.7940000002</v>
      </c>
      <c r="D5" s="2">
        <v>9339</v>
      </c>
      <c r="E5" s="3">
        <v>4.818503051718599E-3</v>
      </c>
      <c r="F5" s="4">
        <v>1927.5419999999999</v>
      </c>
    </row>
    <row r="6" spans="1:6" x14ac:dyDescent="0.25">
      <c r="A6" s="2" t="s">
        <v>12</v>
      </c>
      <c r="B6" s="2">
        <v>2025</v>
      </c>
      <c r="C6" s="4">
        <v>3101890.68</v>
      </c>
      <c r="D6" s="2">
        <v>6070</v>
      </c>
      <c r="E6" s="3">
        <v>9.5551894563426689E-3</v>
      </c>
      <c r="F6" s="4">
        <v>1384.0848000000001</v>
      </c>
    </row>
    <row r="8" spans="1:6" x14ac:dyDescent="0.25">
      <c r="A8" s="5" t="s">
        <v>17</v>
      </c>
      <c r="C8" s="4">
        <f>MEDIAN(C2:C6)</f>
        <v>3279622.7940000002</v>
      </c>
      <c r="D8" s="4">
        <f t="shared" ref="D8:F8" si="0">MEDIAN(D2:D6)</f>
        <v>8114</v>
      </c>
      <c r="E8" s="3">
        <f t="shared" si="0"/>
        <v>3.9438008380576779E-3</v>
      </c>
      <c r="F8" s="4">
        <f t="shared" si="0"/>
        <v>1927.5419999999999</v>
      </c>
    </row>
  </sheetData>
  <conditionalFormatting sqref="C2:C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A12" sqref="A12"/>
    </sheetView>
  </sheetViews>
  <sheetFormatPr defaultRowHeight="15" x14ac:dyDescent="0.25"/>
  <cols>
    <col min="1" max="1" width="70.140625" customWidth="1"/>
    <col min="3" max="3" width="15.42578125" customWidth="1"/>
    <col min="4" max="4" width="12.5703125" customWidth="1"/>
    <col min="5" max="5" width="12.140625" customWidth="1"/>
    <col min="6" max="6" width="1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14</v>
      </c>
      <c r="B2" s="2">
        <v>2021</v>
      </c>
      <c r="C2" s="4">
        <v>4765552.5</v>
      </c>
      <c r="D2" s="2">
        <v>15409</v>
      </c>
      <c r="E2" s="3">
        <v>3.8289311441365441E-3</v>
      </c>
      <c r="F2" s="4">
        <v>16509.599999999999</v>
      </c>
    </row>
    <row r="3" spans="1:6" x14ac:dyDescent="0.25">
      <c r="A3" s="2" t="s">
        <v>14</v>
      </c>
      <c r="B3" s="2">
        <v>2022</v>
      </c>
      <c r="C3" s="4">
        <v>4636488.625</v>
      </c>
      <c r="D3" s="2">
        <v>19371</v>
      </c>
      <c r="E3" s="3">
        <v>6.6594393681276131E-3</v>
      </c>
      <c r="F3" s="4">
        <v>6778.3249999999998</v>
      </c>
    </row>
    <row r="4" spans="1:6" x14ac:dyDescent="0.25">
      <c r="A4" s="2" t="s">
        <v>14</v>
      </c>
      <c r="B4" s="2">
        <v>2023</v>
      </c>
      <c r="C4" s="4">
        <v>4738252.4775</v>
      </c>
      <c r="D4" s="2">
        <v>17872</v>
      </c>
      <c r="E4" s="3">
        <v>1.2645478961504031E-2</v>
      </c>
      <c r="F4" s="4">
        <v>8728.0410000000011</v>
      </c>
    </row>
    <row r="5" spans="1:6" x14ac:dyDescent="0.25">
      <c r="A5" s="2" t="s">
        <v>14</v>
      </c>
      <c r="B5" s="2">
        <v>2024</v>
      </c>
      <c r="C5" s="4">
        <v>5054164.68</v>
      </c>
      <c r="D5" s="2">
        <v>21347</v>
      </c>
      <c r="E5" s="3">
        <v>1.133648756265517E-2</v>
      </c>
      <c r="F5" s="4">
        <v>10250.3334</v>
      </c>
    </row>
    <row r="6" spans="1:6" x14ac:dyDescent="0.25">
      <c r="A6" s="2" t="s">
        <v>14</v>
      </c>
      <c r="B6" s="2">
        <v>2025</v>
      </c>
      <c r="C6" s="4">
        <v>4969254.5279999999</v>
      </c>
      <c r="D6" s="2">
        <v>19714</v>
      </c>
      <c r="E6" s="3">
        <v>1.8311859592167998E-2</v>
      </c>
      <c r="F6" s="4">
        <v>6442.6824000000006</v>
      </c>
    </row>
    <row r="8" spans="1:6" x14ac:dyDescent="0.25">
      <c r="A8" s="5" t="s">
        <v>17</v>
      </c>
      <c r="C8" s="4">
        <f>MEDIAN(C2:C6)</f>
        <v>4765552.5</v>
      </c>
      <c r="D8" s="4">
        <f t="shared" ref="D8:F8" si="0">MEDIAN(D2:D6)</f>
        <v>19371</v>
      </c>
      <c r="E8" s="3">
        <f t="shared" si="0"/>
        <v>1.133648756265517E-2</v>
      </c>
      <c r="F8" s="4">
        <f t="shared" si="0"/>
        <v>8728.0410000000011</v>
      </c>
    </row>
  </sheetData>
  <conditionalFormatting sqref="C2:C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J8" sqref="J8"/>
    </sheetView>
  </sheetViews>
  <sheetFormatPr defaultRowHeight="15" x14ac:dyDescent="0.25"/>
  <cols>
    <col min="1" max="1" width="70.140625" customWidth="1"/>
    <col min="3" max="3" width="15.42578125" customWidth="1"/>
    <col min="4" max="4" width="12.5703125" customWidth="1"/>
    <col min="5" max="5" width="12.140625" customWidth="1"/>
    <col min="6" max="6" width="1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15</v>
      </c>
      <c r="B2" s="2">
        <v>2021</v>
      </c>
      <c r="C2" s="4">
        <v>5718757</v>
      </c>
      <c r="D2" s="2">
        <v>6539</v>
      </c>
      <c r="E2" s="3">
        <v>7.7993576999541214E-3</v>
      </c>
      <c r="F2" s="4">
        <v>28459.200000000001</v>
      </c>
    </row>
    <row r="3" spans="1:6" x14ac:dyDescent="0.25">
      <c r="A3" s="2" t="s">
        <v>15</v>
      </c>
      <c r="B3" s="2">
        <v>2022</v>
      </c>
      <c r="C3" s="4">
        <v>5432726.9749999996</v>
      </c>
      <c r="D3" s="2">
        <v>8191</v>
      </c>
      <c r="E3" s="3">
        <v>1.635941887437431E-2</v>
      </c>
      <c r="F3" s="4">
        <v>29470.945</v>
      </c>
    </row>
    <row r="4" spans="1:6" x14ac:dyDescent="0.25">
      <c r="A4" s="2" t="s">
        <v>15</v>
      </c>
      <c r="B4" s="2">
        <v>2023</v>
      </c>
      <c r="C4" s="4">
        <v>4735027.4550000001</v>
      </c>
      <c r="D4" s="2">
        <v>8201</v>
      </c>
      <c r="E4" s="3">
        <v>2.767955127423485E-2</v>
      </c>
      <c r="F4" s="4">
        <v>25761.334500000001</v>
      </c>
    </row>
    <row r="5" spans="1:6" x14ac:dyDescent="0.25">
      <c r="A5" s="2" t="s">
        <v>15</v>
      </c>
      <c r="B5" s="2">
        <v>2024</v>
      </c>
      <c r="C5" s="4">
        <v>4791203.8260000004</v>
      </c>
      <c r="D5" s="2">
        <v>9147</v>
      </c>
      <c r="E5" s="3">
        <v>1.7929375751612551E-2</v>
      </c>
      <c r="F5" s="4">
        <v>27061.0458</v>
      </c>
    </row>
    <row r="6" spans="1:6" x14ac:dyDescent="0.25">
      <c r="A6" s="2" t="s">
        <v>15</v>
      </c>
      <c r="B6" s="2">
        <v>2025</v>
      </c>
      <c r="C6" s="4">
        <v>4917959.9280000003</v>
      </c>
      <c r="D6" s="2">
        <v>8852</v>
      </c>
      <c r="E6" s="3">
        <v>2.0786262991414371E-2</v>
      </c>
      <c r="F6" s="4">
        <v>22122.2736</v>
      </c>
    </row>
    <row r="8" spans="1:6" x14ac:dyDescent="0.25">
      <c r="A8" s="5" t="s">
        <v>17</v>
      </c>
      <c r="C8" s="4">
        <f>MEDIAN(C2:C6)</f>
        <v>4917959.9280000003</v>
      </c>
      <c r="D8" s="4">
        <f t="shared" ref="D8:F8" si="0">MEDIAN(D2:D6)</f>
        <v>8201</v>
      </c>
      <c r="E8" s="3">
        <f t="shared" si="0"/>
        <v>1.7929375751612551E-2</v>
      </c>
      <c r="F8" s="4">
        <f t="shared" si="0"/>
        <v>27061.0458</v>
      </c>
    </row>
  </sheetData>
  <conditionalFormatting sqref="C2:C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A13" sqref="A13"/>
    </sheetView>
  </sheetViews>
  <sheetFormatPr defaultRowHeight="15" x14ac:dyDescent="0.25"/>
  <cols>
    <col min="1" max="1" width="70.140625" customWidth="1"/>
    <col min="3" max="3" width="15.42578125" customWidth="1"/>
    <col min="4" max="4" width="12.5703125" customWidth="1"/>
    <col min="5" max="5" width="12.140625" customWidth="1"/>
    <col min="6" max="6" width="1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13</v>
      </c>
      <c r="B2" s="2">
        <v>2021</v>
      </c>
      <c r="C2" s="4">
        <v>1310044.2</v>
      </c>
      <c r="D2" s="2">
        <v>717</v>
      </c>
      <c r="E2" s="3">
        <v>4.4630404463040438E-2</v>
      </c>
      <c r="F2" s="4">
        <v>11862.8</v>
      </c>
    </row>
    <row r="3" spans="1:6" x14ac:dyDescent="0.25">
      <c r="A3" s="2" t="s">
        <v>13</v>
      </c>
      <c r="B3" s="2">
        <v>2022</v>
      </c>
      <c r="C3" s="4">
        <v>1234589.98</v>
      </c>
      <c r="D3" s="2">
        <v>798</v>
      </c>
      <c r="E3" s="3">
        <v>3.5087719298245612E-2</v>
      </c>
      <c r="F3" s="4">
        <v>8198.76</v>
      </c>
    </row>
    <row r="4" spans="1:6" x14ac:dyDescent="0.25">
      <c r="A4" s="2" t="s">
        <v>13</v>
      </c>
      <c r="B4" s="2">
        <v>2023</v>
      </c>
      <c r="C4" s="4">
        <v>1191452.115</v>
      </c>
      <c r="D4" s="2">
        <v>834</v>
      </c>
      <c r="E4" s="3">
        <v>2.9976019184652279E-2</v>
      </c>
      <c r="F4" s="4">
        <v>9826.924500000001</v>
      </c>
    </row>
    <row r="5" spans="1:6" x14ac:dyDescent="0.25">
      <c r="A5" s="2" t="s">
        <v>13</v>
      </c>
      <c r="B5" s="2">
        <v>2024</v>
      </c>
      <c r="C5" s="4">
        <v>1246494.9996</v>
      </c>
      <c r="D5" s="2">
        <v>844</v>
      </c>
      <c r="E5" s="3">
        <v>4.1469194312796213E-2</v>
      </c>
      <c r="F5" s="4">
        <v>11792.5524</v>
      </c>
    </row>
    <row r="6" spans="1:6" x14ac:dyDescent="0.25">
      <c r="A6" s="2" t="s">
        <v>13</v>
      </c>
      <c r="B6" s="2">
        <v>2025</v>
      </c>
      <c r="C6" s="4">
        <v>1208385.2592</v>
      </c>
      <c r="D6" s="2">
        <v>639</v>
      </c>
      <c r="E6" s="3">
        <v>4.6948356807511728E-2</v>
      </c>
      <c r="F6" s="4">
        <v>10113.263999999999</v>
      </c>
    </row>
    <row r="8" spans="1:6" x14ac:dyDescent="0.25">
      <c r="A8" s="5" t="s">
        <v>17</v>
      </c>
      <c r="C8" s="4">
        <f>MEDIAN(C2:C6)</f>
        <v>1234589.98</v>
      </c>
      <c r="D8" s="4">
        <f t="shared" ref="D8:F8" si="0">MEDIAN(D2:D6)</f>
        <v>798</v>
      </c>
      <c r="E8" s="3">
        <f t="shared" si="0"/>
        <v>4.1469194312796213E-2</v>
      </c>
      <c r="F8" s="4">
        <f t="shared" si="0"/>
        <v>10113.263999999999</v>
      </c>
    </row>
  </sheetData>
  <conditionalFormatting sqref="C2:C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15" sqref="C15"/>
    </sheetView>
  </sheetViews>
  <sheetFormatPr defaultRowHeight="15" x14ac:dyDescent="0.25"/>
  <cols>
    <col min="1" max="1" width="70.140625" customWidth="1"/>
    <col min="3" max="3" width="15.42578125" customWidth="1"/>
    <col min="4" max="4" width="12.5703125" customWidth="1"/>
    <col min="5" max="5" width="12.140625" customWidth="1"/>
    <col min="6" max="6" width="1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7</v>
      </c>
      <c r="B2" s="2">
        <v>2021</v>
      </c>
      <c r="C2" s="4">
        <v>1741828.5</v>
      </c>
      <c r="D2" s="2">
        <v>9633</v>
      </c>
      <c r="E2" s="3">
        <v>5.3981106612685558E-3</v>
      </c>
      <c r="F2" s="4">
        <v>3351.3</v>
      </c>
    </row>
    <row r="3" spans="1:6" x14ac:dyDescent="0.25">
      <c r="A3" s="2" t="s">
        <v>7</v>
      </c>
      <c r="B3" s="2">
        <v>2022</v>
      </c>
      <c r="C3" s="4">
        <v>1886286.425</v>
      </c>
      <c r="D3" s="2">
        <v>11085</v>
      </c>
      <c r="E3" s="3">
        <v>1.0464591790708159E-2</v>
      </c>
      <c r="F3" s="4">
        <v>17033.744999999999</v>
      </c>
    </row>
    <row r="4" spans="1:6" x14ac:dyDescent="0.25">
      <c r="A4" s="2" t="s">
        <v>7</v>
      </c>
      <c r="B4" s="2">
        <v>2023</v>
      </c>
      <c r="C4" s="4">
        <v>1989346.0874999999</v>
      </c>
      <c r="D4" s="2">
        <v>11581</v>
      </c>
      <c r="E4" s="3">
        <v>7.5123046369052759E-3</v>
      </c>
      <c r="F4" s="4">
        <v>7830.7875000000004</v>
      </c>
    </row>
    <row r="5" spans="1:6" x14ac:dyDescent="0.25">
      <c r="A5" s="2" t="s">
        <v>7</v>
      </c>
      <c r="B5" s="2">
        <v>2024</v>
      </c>
      <c r="C5" s="4">
        <v>1983896.493</v>
      </c>
      <c r="D5" s="2">
        <v>12537</v>
      </c>
      <c r="E5" s="3">
        <v>1.57932519741565E-2</v>
      </c>
      <c r="F5" s="4">
        <v>5482.1543999999994</v>
      </c>
    </row>
    <row r="6" spans="1:6" x14ac:dyDescent="0.25">
      <c r="A6" s="2" t="s">
        <v>7</v>
      </c>
      <c r="B6" s="2">
        <v>2025</v>
      </c>
      <c r="C6" s="4">
        <v>1721759.004</v>
      </c>
      <c r="D6" s="2">
        <v>11444</v>
      </c>
      <c r="E6" s="3">
        <v>2.001048584411045E-2</v>
      </c>
      <c r="F6" s="4">
        <v>9169.1208000000006</v>
      </c>
    </row>
    <row r="8" spans="1:6" x14ac:dyDescent="0.25">
      <c r="A8" s="5" t="s">
        <v>17</v>
      </c>
      <c r="C8" s="4">
        <f>MEDIAN(C2:C6)</f>
        <v>1886286.425</v>
      </c>
      <c r="D8" s="4">
        <f t="shared" ref="D8:F8" si="0">MEDIAN(D2:D6)</f>
        <v>11444</v>
      </c>
      <c r="E8" s="3">
        <f t="shared" si="0"/>
        <v>1.0464591790708159E-2</v>
      </c>
      <c r="F8" s="4">
        <f t="shared" si="0"/>
        <v>7830.7875000000004</v>
      </c>
    </row>
  </sheetData>
  <conditionalFormatting sqref="C2:C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All sectors</vt:lpstr>
      <vt:lpstr>IT</vt:lpstr>
      <vt:lpstr>Добыча</vt:lpstr>
      <vt:lpstr>Промышленность</vt:lpstr>
      <vt:lpstr>Недвижимость</vt:lpstr>
      <vt:lpstr>Наука</vt:lpstr>
      <vt:lpstr>Сельхоз</vt:lpstr>
      <vt:lpstr>Строительство</vt:lpstr>
      <vt:lpstr>Логистика</vt:lpstr>
      <vt:lpstr>Коммуналка</vt:lpstr>
      <vt:lpstr>Административный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2026-10-16T12:12:17Z</dcterms:created>
  <dcterms:modified xsi:type="dcterms:W3CDTF">2026-10-16T13:56:47Z</dcterms:modified>
</cp:coreProperties>
</file>